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searchtool\"/>
    </mc:Choice>
  </mc:AlternateContent>
  <xr:revisionPtr revIDLastSave="0" documentId="13_ncr:1_{FD698E0C-6493-44AD-A0F1-81C3ADCDFFD4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culations" sheetId="7" r:id="rId1"/>
    <sheet name="Dashboard" sheetId="1" r:id="rId2"/>
    <sheet name="Flowchart" sheetId="3" r:id="rId3"/>
  </sheets>
  <definedNames>
    <definedName name="ArrowColor">Dashboard!$M$34</definedName>
    <definedName name="BaseChartArea">Flowchart!$5:$2000</definedName>
    <definedName name="ColorsRange">Dashboard!$M$25:$M$31</definedName>
    <definedName name="ConnectionsFallbackRange" localSheetId="0">Calculations!$BI$7:$BI$74</definedName>
    <definedName name="ConnectionsFallbackRange">Calculations!$BI$7:$BI$74</definedName>
    <definedName name="ConnectionsMax" localSheetId="0">Calculations!$BF$4</definedName>
    <definedName name="ConnectionsMax">Calculations!$BF$4</definedName>
    <definedName name="ConnectionsNextNodeRange" localSheetId="0">Calculations!$BH$7:$BH$74</definedName>
    <definedName name="ConnectionsNextNodeRange">Calculations!$BH$7:$BH$74</definedName>
    <definedName name="ConnectionsNodeSectionRange" localSheetId="0">Calculations!$BF$7:$BF$74</definedName>
    <definedName name="ConnectionsNodeSectionRange">Calculations!$BF$7:$BF$74</definedName>
    <definedName name="ConnectionsThisNodeRange" localSheetId="0">Calculations!$BG$7:$BG$74</definedName>
    <definedName name="ConnectionsThisNodeRange">Calculations!$BG$7:$BG$74</definedName>
    <definedName name="ConvertedNodesRange" localSheetId="0">Calculations!$BB$7:$BE$206</definedName>
    <definedName name="ConvertedNodesRange">Calculations!$BB$7:$BE$206</definedName>
    <definedName name="DependentsDirectionRange" localSheetId="0">Calculations!$AK$7:$AM$206</definedName>
    <definedName name="DependentsDirectionRange">Calculations!$AK$7:$AM$206</definedName>
    <definedName name="DependentsIndexRange" localSheetId="0">Calculations!$P$7:$R$206</definedName>
    <definedName name="DependentsIndexRange">Calculations!$P$7:$R$206</definedName>
    <definedName name="DependentsNodeRange" localSheetId="0">Calculations!$AU$7:$AW$206</definedName>
    <definedName name="DependentsNodeRange">Calculations!$AU$7:$AW$206</definedName>
    <definedName name="DirectionSelector" localSheetId="0">Dashboard!$M$13</definedName>
    <definedName name="DirectionSelector">Dashboard!$M$13</definedName>
    <definedName name="DirectPrecedentRange" localSheetId="0">Calculations!$Y$7:$Y$206</definedName>
    <definedName name="DirectPrecedentRange">Calculations!$Y$7:$Y$206</definedName>
    <definedName name="ErrorCount" localSheetId="0">Calculations!$CP$5</definedName>
    <definedName name="ErrorCount">Calculations!$CP$5</definedName>
    <definedName name="FinalChartArea" localSheetId="0">OFFSET(Flowchart!$B$5,0,0,Calculations!MaxRow-ROW(Flowchart!$B$5)+2,Calculations!MaxColumn-COLUMN(Flowchart!$B$5)+2)</definedName>
    <definedName name="FinalChartArea">Flowchart!$AK$1</definedName>
    <definedName name="GapXDiff" localSheetId="0">Dashboard!$M$17</definedName>
    <definedName name="GapXDiff">Dashboard!$M$17</definedName>
    <definedName name="GapYDiff" localSheetId="0">Dashboard!$M$18</definedName>
    <definedName name="GapYDiff">Dashboard!$M$18</definedName>
    <definedName name="GridCombinedRange" localSheetId="0">Calculations!$X$7:$X$206</definedName>
    <definedName name="GridCombinedRange">Calculations!$X$7:$X$206</definedName>
    <definedName name="GridXRange" localSheetId="0">Calculations!$V$7:$V$206</definedName>
    <definedName name="GridXRange">Calculations!$V$7:$V$206</definedName>
    <definedName name="GridYRange" localSheetId="0">Calculations!$W$7:$W$206</definedName>
    <definedName name="GridYRange">Calculations!$W$7:$W$206</definedName>
    <definedName name="IDSourceRange" localSheetId="0">Calculations!$E$7:$E$206</definedName>
    <definedName name="IDSourceRange">Calculations!$E$7:$E$206</definedName>
    <definedName name="LabelsRange" localSheetId="0">Calculations!$AO$7:$AQ$206</definedName>
    <definedName name="LabelsRange">Calculations!$AO$7:$AQ$206</definedName>
    <definedName name="MaxColumn" localSheetId="0">Calculations!$BM$5</definedName>
    <definedName name="MaxColumn">Calculations!$BM$5</definedName>
    <definedName name="MaxRow" localSheetId="0">Calculations!$BN$5</definedName>
    <definedName name="MaxRow">Calculations!$BN$5</definedName>
    <definedName name="NextIDFormula" localSheetId="0">Calculations!$G$4</definedName>
    <definedName name="NextIDFormula">Calculations!$G$4</definedName>
    <definedName name="NextIDSourceRange" localSheetId="0">Calculations!$G$7:$G$206</definedName>
    <definedName name="NextIDSourceRange">Calculations!$G$7:$G$206</definedName>
    <definedName name="Node1UseRange" localSheetId="0">Calculations!$AX$7:$AX$206</definedName>
    <definedName name="Node1UseRange">Calculations!$AX$7:$AX$206</definedName>
    <definedName name="Node2UseRange" localSheetId="0">Calculations!$AY$7:$AY$206</definedName>
    <definedName name="Node2UseRange">Calculations!$AY$7:$AY$206</definedName>
    <definedName name="Node3UseRange" localSheetId="0">Calculations!$AZ$7:$AZ$206</definedName>
    <definedName name="Node3UseRange">Calculations!$AZ$7:$AZ$206</definedName>
    <definedName name="Node4UseRange" localSheetId="0">Calculations!$BA$7:$BA$206</definedName>
    <definedName name="Node4UseRange">Calculations!$BA$7:$BA$206</definedName>
    <definedName name="ProcessIndex" localSheetId="0">Calculations!$Z$5</definedName>
    <definedName name="ProcessIndex">Calculations!$Z$5</definedName>
    <definedName name="ProcessOrderFallback" localSheetId="0">Calculations!$Y$5</definedName>
    <definedName name="ProcessOrderFallback">Calculations!$Y$5</definedName>
    <definedName name="ProcessOrderRange" localSheetId="0">Calculations!$Z$7:$Z$206</definedName>
    <definedName name="ProcessOrderRange">Calculations!$Z$7:$Z$206</definedName>
    <definedName name="ShapeColorRange" localSheetId="0">Calculations!$BQ$7:$BQ$206</definedName>
    <definedName name="ShapeColorRange">Calculations!$BQ$7:$BQ$206</definedName>
    <definedName name="ShapeFontColor">Dashboard!$M$33</definedName>
    <definedName name="ShapeFontSize">Dashboard!$M$19</definedName>
    <definedName name="ShapeHeight">Dashboard!$M$16</definedName>
    <definedName name="ShapeHeightRange" localSheetId="0">Calculations!$BN$7:$BN$206</definedName>
    <definedName name="ShapeHeightRange">Calculations!$BN$7:$BN$206</definedName>
    <definedName name="ShapeTextRange" localSheetId="0">Calculations!$BP$7:$BP$206</definedName>
    <definedName name="ShapeTextRange">Calculations!$BP$7:$BP$206</definedName>
    <definedName name="ShapeTypeRange" localSheetId="0">Calculations!$BO$7:$BO$206</definedName>
    <definedName name="ShapeTypeRange">Calculations!$BO$7:$BO$206</definedName>
    <definedName name="ShapeWidth">Dashboard!$M$15</definedName>
    <definedName name="ShapeWidthRange" localSheetId="0">Calculations!$BM$7:$BM$206</definedName>
    <definedName name="ShapeWidthRange">Calculations!$BM$7:$BM$206</definedName>
    <definedName name="ShapeXRange" localSheetId="0">Calculations!$BK$7:$BK$206</definedName>
    <definedName name="ShapeXRange">Calculations!$BK$7:$BK$206</definedName>
    <definedName name="ShapeYRange" localSheetId="0">Calculations!$BL$7:$BL$206</definedName>
    <definedName name="ShapeYRange">Calculations!$BL$7:$BL$206</definedName>
    <definedName name="StartGridX" localSheetId="0">Calculations!$V$5</definedName>
    <definedName name="StartGridX">Calculations!$V$5</definedName>
    <definedName name="StartGridY" localSheetId="0">Calculations!$W$5</definedName>
    <definedName name="StartGridY">Calculations!$W$5</definedName>
    <definedName name="StartShapeIndex" localSheetId="0">Calculations!$C$5</definedName>
    <definedName name="StartShapeIndex">Calculations!$C$5</definedName>
    <definedName name="StartX" localSheetId="0">Calculations!$BK$5</definedName>
    <definedName name="StartX">Calculations!$BK$5</definedName>
    <definedName name="StartY" localSheetId="0">Calculations!$BL$5</definedName>
    <definedName name="StartY">Calculations!$BL$5</definedName>
    <definedName name="TotalDependentsRange" localSheetId="0">Calculations!$S$7:$S$206</definedName>
    <definedName name="TotalDependentsRange">Calculations!$S$7:$S$206</definedName>
    <definedName name="TotalPrecedentsRange" localSheetId="0">Calculations!$T$7:$T$206</definedName>
    <definedName name="TotalPrecedentsRange">Calculations!$T$7:$T$206</definedName>
    <definedName name="ValidRange" localSheetId="0">Calculations!$D$7:$D$206</definedName>
    <definedName name="ValidRange">Calculations!$D$7:$D$206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7" l="1"/>
  <c r="BW35" i="7"/>
  <c r="BV35" i="7"/>
  <c r="BW34" i="7"/>
  <c r="BV34" i="7"/>
  <c r="BW33" i="7"/>
  <c r="BV33" i="7"/>
  <c r="BW32" i="7"/>
  <c r="BV32" i="7"/>
  <c r="BW31" i="7"/>
  <c r="BV31" i="7"/>
  <c r="BW30" i="7"/>
  <c r="BV30" i="7"/>
  <c r="BW29" i="7"/>
  <c r="BV29" i="7"/>
  <c r="BW28" i="7"/>
  <c r="BV28" i="7"/>
  <c r="BW27" i="7"/>
  <c r="BV27" i="7"/>
  <c r="BW26" i="7"/>
  <c r="BV26" i="7"/>
  <c r="BW25" i="7"/>
  <c r="BV25" i="7"/>
  <c r="BW24" i="7"/>
  <c r="BV24" i="7"/>
  <c r="BW23" i="7"/>
  <c r="BV23" i="7"/>
  <c r="BW22" i="7"/>
  <c r="BV22" i="7"/>
  <c r="BW21" i="7"/>
  <c r="BV21" i="7"/>
  <c r="BW20" i="7"/>
  <c r="BV20" i="7"/>
  <c r="BW19" i="7"/>
  <c r="BV19" i="7"/>
  <c r="BW18" i="7"/>
  <c r="BV18" i="7"/>
  <c r="BW17" i="7"/>
  <c r="BV17" i="7"/>
  <c r="BW16" i="7"/>
  <c r="BV16" i="7"/>
  <c r="BW15" i="7"/>
  <c r="BV15" i="7"/>
  <c r="BW14" i="7"/>
  <c r="BV14" i="7"/>
  <c r="BW13" i="7"/>
  <c r="BV13" i="7"/>
  <c r="BW12" i="7"/>
  <c r="BV12" i="7"/>
  <c r="BW11" i="7"/>
  <c r="BV11" i="7"/>
  <c r="BW10" i="7"/>
  <c r="BV10" i="7"/>
  <c r="BW9" i="7"/>
  <c r="BV9" i="7"/>
  <c r="BW8" i="7"/>
  <c r="BV8" i="7"/>
  <c r="BW7" i="7"/>
  <c r="BV7" i="7"/>
  <c r="D206" i="7"/>
  <c r="G206" i="7" s="1"/>
  <c r="D205" i="7"/>
  <c r="G205" i="7" s="1"/>
  <c r="D204" i="7"/>
  <c r="K204" i="7" s="1"/>
  <c r="D203" i="7"/>
  <c r="K203" i="7" s="1"/>
  <c r="D202" i="7"/>
  <c r="G202" i="7" s="1"/>
  <c r="D201" i="7"/>
  <c r="G201" i="7" s="1"/>
  <c r="D200" i="7"/>
  <c r="J200" i="7" s="1"/>
  <c r="D199" i="7"/>
  <c r="G199" i="7" s="1"/>
  <c r="D198" i="7"/>
  <c r="G198" i="7" s="1"/>
  <c r="D197" i="7"/>
  <c r="G197" i="7" s="1"/>
  <c r="D196" i="7"/>
  <c r="H196" i="7" s="1"/>
  <c r="D195" i="7"/>
  <c r="G195" i="7" s="1"/>
  <c r="D194" i="7"/>
  <c r="G194" i="7" s="1"/>
  <c r="D193" i="7"/>
  <c r="G193" i="7" s="1"/>
  <c r="D192" i="7"/>
  <c r="J192" i="7" s="1"/>
  <c r="D191" i="7"/>
  <c r="G191" i="7" s="1"/>
  <c r="D190" i="7"/>
  <c r="G190" i="7" s="1"/>
  <c r="D189" i="7"/>
  <c r="G189" i="7" s="1"/>
  <c r="D188" i="7"/>
  <c r="K188" i="7" s="1"/>
  <c r="D187" i="7"/>
  <c r="G187" i="7" s="1"/>
  <c r="D186" i="7"/>
  <c r="G186" i="7" s="1"/>
  <c r="D185" i="7"/>
  <c r="G185" i="7" s="1"/>
  <c r="D184" i="7"/>
  <c r="F184" i="7" s="1"/>
  <c r="D183" i="7"/>
  <c r="G183" i="7" s="1"/>
  <c r="D182" i="7"/>
  <c r="G182" i="7" s="1"/>
  <c r="D181" i="7"/>
  <c r="G181" i="7" s="1"/>
  <c r="D180" i="7"/>
  <c r="K180" i="7" s="1"/>
  <c r="D179" i="7"/>
  <c r="G179" i="7" s="1"/>
  <c r="D178" i="7"/>
  <c r="G178" i="7" s="1"/>
  <c r="D177" i="7"/>
  <c r="G177" i="7" s="1"/>
  <c r="D176" i="7"/>
  <c r="G176" i="7" s="1"/>
  <c r="D175" i="7"/>
  <c r="G175" i="7" s="1"/>
  <c r="D174" i="7"/>
  <c r="G174" i="7" s="1"/>
  <c r="D173" i="7"/>
  <c r="G173" i="7" s="1"/>
  <c r="D172" i="7"/>
  <c r="G172" i="7" s="1"/>
  <c r="D171" i="7"/>
  <c r="G171" i="7" s="1"/>
  <c r="D170" i="7"/>
  <c r="G170" i="7" s="1"/>
  <c r="D169" i="7"/>
  <c r="G169" i="7" s="1"/>
  <c r="D168" i="7"/>
  <c r="G168" i="7" s="1"/>
  <c r="D167" i="7"/>
  <c r="G167" i="7" s="1"/>
  <c r="D166" i="7"/>
  <c r="G166" i="7" s="1"/>
  <c r="D165" i="7"/>
  <c r="G165" i="7" s="1"/>
  <c r="D164" i="7"/>
  <c r="G164" i="7" s="1"/>
  <c r="D163" i="7"/>
  <c r="G163" i="7" s="1"/>
  <c r="D162" i="7"/>
  <c r="G162" i="7" s="1"/>
  <c r="D161" i="7"/>
  <c r="G161" i="7" s="1"/>
  <c r="D160" i="7"/>
  <c r="G160" i="7" s="1"/>
  <c r="D159" i="7"/>
  <c r="G159" i="7" s="1"/>
  <c r="D158" i="7"/>
  <c r="G158" i="7" s="1"/>
  <c r="D157" i="7"/>
  <c r="G157" i="7" s="1"/>
  <c r="D156" i="7"/>
  <c r="G156" i="7" s="1"/>
  <c r="D155" i="7"/>
  <c r="G155" i="7" s="1"/>
  <c r="D154" i="7"/>
  <c r="G154" i="7" s="1"/>
  <c r="D153" i="7"/>
  <c r="G153" i="7" s="1"/>
  <c r="D152" i="7"/>
  <c r="K152" i="7" s="1"/>
  <c r="D151" i="7"/>
  <c r="G151" i="7" s="1"/>
  <c r="D150" i="7"/>
  <c r="G150" i="7" s="1"/>
  <c r="D149" i="7"/>
  <c r="G149" i="7" s="1"/>
  <c r="D148" i="7"/>
  <c r="G148" i="7" s="1"/>
  <c r="D147" i="7"/>
  <c r="G147" i="7" s="1"/>
  <c r="D146" i="7"/>
  <c r="G146" i="7" s="1"/>
  <c r="D145" i="7"/>
  <c r="G145" i="7" s="1"/>
  <c r="D144" i="7"/>
  <c r="G144" i="7" s="1"/>
  <c r="D143" i="7"/>
  <c r="G143" i="7" s="1"/>
  <c r="D142" i="7"/>
  <c r="G142" i="7" s="1"/>
  <c r="D141" i="7"/>
  <c r="G141" i="7" s="1"/>
  <c r="D140" i="7"/>
  <c r="F140" i="7" s="1"/>
  <c r="D139" i="7"/>
  <c r="G139" i="7" s="1"/>
  <c r="D138" i="7"/>
  <c r="G138" i="7" s="1"/>
  <c r="D137" i="7"/>
  <c r="G137" i="7" s="1"/>
  <c r="D136" i="7"/>
  <c r="H136" i="7" s="1"/>
  <c r="D135" i="7"/>
  <c r="G135" i="7" s="1"/>
  <c r="D134" i="7"/>
  <c r="G134" i="7" s="1"/>
  <c r="D133" i="7"/>
  <c r="G133" i="7" s="1"/>
  <c r="D132" i="7"/>
  <c r="H132" i="7" s="1"/>
  <c r="D131" i="7"/>
  <c r="G131" i="7" s="1"/>
  <c r="D130" i="7"/>
  <c r="G130" i="7" s="1"/>
  <c r="D129" i="7"/>
  <c r="G129" i="7" s="1"/>
  <c r="D128" i="7"/>
  <c r="H128" i="7" s="1"/>
  <c r="D127" i="7"/>
  <c r="G127" i="7" s="1"/>
  <c r="D126" i="7"/>
  <c r="G126" i="7" s="1"/>
  <c r="D125" i="7"/>
  <c r="G125" i="7" s="1"/>
  <c r="D124" i="7"/>
  <c r="H124" i="7" s="1"/>
  <c r="D123" i="7"/>
  <c r="G123" i="7" s="1"/>
  <c r="D122" i="7"/>
  <c r="G122" i="7" s="1"/>
  <c r="D121" i="7"/>
  <c r="G121" i="7" s="1"/>
  <c r="D120" i="7"/>
  <c r="G120" i="7" s="1"/>
  <c r="D119" i="7"/>
  <c r="G119" i="7" s="1"/>
  <c r="D118" i="7"/>
  <c r="G118" i="7" s="1"/>
  <c r="D117" i="7"/>
  <c r="G117" i="7" s="1"/>
  <c r="D116" i="7"/>
  <c r="H116" i="7" s="1"/>
  <c r="D115" i="7"/>
  <c r="G115" i="7" s="1"/>
  <c r="D114" i="7"/>
  <c r="G114" i="7" s="1"/>
  <c r="D113" i="7"/>
  <c r="G113" i="7" s="1"/>
  <c r="D112" i="7"/>
  <c r="G112" i="7" s="1"/>
  <c r="D111" i="7"/>
  <c r="G111" i="7" s="1"/>
  <c r="D110" i="7"/>
  <c r="G110" i="7" s="1"/>
  <c r="D109" i="7"/>
  <c r="G109" i="7" s="1"/>
  <c r="D108" i="7"/>
  <c r="G108" i="7" s="1"/>
  <c r="D107" i="7"/>
  <c r="G107" i="7" s="1"/>
  <c r="D106" i="7"/>
  <c r="G106" i="7" s="1"/>
  <c r="D105" i="7"/>
  <c r="G105" i="7" s="1"/>
  <c r="D104" i="7"/>
  <c r="G104" i="7" s="1"/>
  <c r="D103" i="7"/>
  <c r="G103" i="7" s="1"/>
  <c r="D102" i="7"/>
  <c r="G102" i="7" s="1"/>
  <c r="D101" i="7"/>
  <c r="G101" i="7" s="1"/>
  <c r="D100" i="7"/>
  <c r="J100" i="7" s="1"/>
  <c r="D99" i="7"/>
  <c r="G99" i="7" s="1"/>
  <c r="D98" i="7"/>
  <c r="G98" i="7" s="1"/>
  <c r="D97" i="7"/>
  <c r="G97" i="7" s="1"/>
  <c r="D96" i="7"/>
  <c r="J96" i="7" s="1"/>
  <c r="D95" i="7"/>
  <c r="G95" i="7" s="1"/>
  <c r="D94" i="7"/>
  <c r="G94" i="7" s="1"/>
  <c r="D93" i="7"/>
  <c r="G93" i="7" s="1"/>
  <c r="D92" i="7"/>
  <c r="J92" i="7" s="1"/>
  <c r="D91" i="7"/>
  <c r="G91" i="7" s="1"/>
  <c r="D90" i="7"/>
  <c r="G90" i="7" s="1"/>
  <c r="D89" i="7"/>
  <c r="G89" i="7" s="1"/>
  <c r="D88" i="7"/>
  <c r="J88" i="7" s="1"/>
  <c r="D87" i="7"/>
  <c r="G87" i="7" s="1"/>
  <c r="D86" i="7"/>
  <c r="G86" i="7" s="1"/>
  <c r="D85" i="7"/>
  <c r="G85" i="7" s="1"/>
  <c r="D84" i="7"/>
  <c r="E84" i="7" s="1"/>
  <c r="D83" i="7"/>
  <c r="G83" i="7" s="1"/>
  <c r="D82" i="7"/>
  <c r="G82" i="7" s="1"/>
  <c r="D81" i="7"/>
  <c r="G81" i="7" s="1"/>
  <c r="D80" i="7"/>
  <c r="E80" i="7" s="1"/>
  <c r="D79" i="7"/>
  <c r="G79" i="7" s="1"/>
  <c r="D78" i="7"/>
  <c r="G78" i="7" s="1"/>
  <c r="D77" i="7"/>
  <c r="G77" i="7" s="1"/>
  <c r="D76" i="7"/>
  <c r="G76" i="7" s="1"/>
  <c r="D75" i="7"/>
  <c r="G75" i="7" s="1"/>
  <c r="D74" i="7"/>
  <c r="G74" i="7" s="1"/>
  <c r="D73" i="7"/>
  <c r="G73" i="7" s="1"/>
  <c r="D72" i="7"/>
  <c r="E72" i="7" s="1"/>
  <c r="D71" i="7"/>
  <c r="G71" i="7" s="1"/>
  <c r="D70" i="7"/>
  <c r="G70" i="7" s="1"/>
  <c r="D69" i="7"/>
  <c r="G69" i="7" s="1"/>
  <c r="D68" i="7"/>
  <c r="G68" i="7" s="1"/>
  <c r="D67" i="7"/>
  <c r="G67" i="7" s="1"/>
  <c r="D66" i="7"/>
  <c r="G66" i="7" s="1"/>
  <c r="D65" i="7"/>
  <c r="G65" i="7" s="1"/>
  <c r="D64" i="7"/>
  <c r="E64" i="7" s="1"/>
  <c r="D63" i="7"/>
  <c r="G63" i="7" s="1"/>
  <c r="D62" i="7"/>
  <c r="G62" i="7" s="1"/>
  <c r="D61" i="7"/>
  <c r="G61" i="7" s="1"/>
  <c r="D60" i="7"/>
  <c r="G60" i="7" s="1"/>
  <c r="D59" i="7"/>
  <c r="G59" i="7" s="1"/>
  <c r="D58" i="7"/>
  <c r="G58" i="7" s="1"/>
  <c r="D57" i="7"/>
  <c r="G57" i="7" s="1"/>
  <c r="D56" i="7"/>
  <c r="E56" i="7" s="1"/>
  <c r="D55" i="7"/>
  <c r="G55" i="7" s="1"/>
  <c r="D54" i="7"/>
  <c r="G54" i="7" s="1"/>
  <c r="D53" i="7"/>
  <c r="G53" i="7" s="1"/>
  <c r="D52" i="7"/>
  <c r="G52" i="7" s="1"/>
  <c r="D51" i="7"/>
  <c r="G51" i="7" s="1"/>
  <c r="D50" i="7"/>
  <c r="G50" i="7" s="1"/>
  <c r="D49" i="7"/>
  <c r="G49" i="7" s="1"/>
  <c r="D48" i="7"/>
  <c r="G48" i="7" s="1"/>
  <c r="D47" i="7"/>
  <c r="G47" i="7" s="1"/>
  <c r="D46" i="7"/>
  <c r="G46" i="7" s="1"/>
  <c r="D45" i="7"/>
  <c r="G45" i="7" s="1"/>
  <c r="D44" i="7"/>
  <c r="E44" i="7" s="1"/>
  <c r="D43" i="7"/>
  <c r="G43" i="7" s="1"/>
  <c r="D42" i="7"/>
  <c r="G42" i="7" s="1"/>
  <c r="D41" i="7"/>
  <c r="G41" i="7" s="1"/>
  <c r="D40" i="7"/>
  <c r="G40" i="7" s="1"/>
  <c r="D39" i="7"/>
  <c r="CG39" i="7" s="1"/>
  <c r="D38" i="7"/>
  <c r="G38" i="7" s="1"/>
  <c r="D37" i="7"/>
  <c r="G37" i="7" s="1"/>
  <c r="D36" i="7"/>
  <c r="E36" i="7" s="1"/>
  <c r="D35" i="7"/>
  <c r="G35" i="7" s="1"/>
  <c r="D34" i="7"/>
  <c r="G34" i="7" s="1"/>
  <c r="D33" i="7"/>
  <c r="G33" i="7" s="1"/>
  <c r="D32" i="7"/>
  <c r="G32" i="7" s="1"/>
  <c r="D31" i="7"/>
  <c r="G31" i="7" s="1"/>
  <c r="D30" i="7"/>
  <c r="G30" i="7" s="1"/>
  <c r="D29" i="7"/>
  <c r="G29" i="7" s="1"/>
  <c r="D28" i="7"/>
  <c r="E28" i="7" s="1"/>
  <c r="D27" i="7"/>
  <c r="G27" i="7" s="1"/>
  <c r="D26" i="7"/>
  <c r="G26" i="7" s="1"/>
  <c r="D25" i="7"/>
  <c r="G25" i="7" s="1"/>
  <c r="D24" i="7"/>
  <c r="G24" i="7" s="1"/>
  <c r="D23" i="7"/>
  <c r="E23" i="7" s="1"/>
  <c r="D22" i="7"/>
  <c r="G22" i="7" s="1"/>
  <c r="D21" i="7"/>
  <c r="G21" i="7" s="1"/>
  <c r="D20" i="7"/>
  <c r="K20" i="7" s="1"/>
  <c r="D19" i="7"/>
  <c r="K19" i="7" s="1"/>
  <c r="D18" i="7"/>
  <c r="G18" i="7" s="1"/>
  <c r="D17" i="7"/>
  <c r="G17" i="7" s="1"/>
  <c r="D16" i="7"/>
  <c r="K16" i="7" s="1"/>
  <c r="D15" i="7"/>
  <c r="K15" i="7" s="1"/>
  <c r="D14" i="7"/>
  <c r="G14" i="7" s="1"/>
  <c r="D13" i="7"/>
  <c r="G13" i="7" s="1"/>
  <c r="D12" i="7"/>
  <c r="K12" i="7" s="1"/>
  <c r="D11" i="7"/>
  <c r="K11" i="7" s="1"/>
  <c r="D10" i="7"/>
  <c r="G10" i="7" s="1"/>
  <c r="D9" i="7"/>
  <c r="G9" i="7" s="1"/>
  <c r="D8" i="7"/>
  <c r="K8" i="7" s="1"/>
  <c r="D7" i="7"/>
  <c r="G7" i="7" s="1"/>
  <c r="BL5" i="7"/>
  <c r="BK5" i="7"/>
  <c r="X206" i="7"/>
  <c r="X205" i="7"/>
  <c r="X204" i="7"/>
  <c r="X203" i="7"/>
  <c r="X202" i="7"/>
  <c r="X201" i="7"/>
  <c r="X200" i="7"/>
  <c r="X199" i="7"/>
  <c r="X198" i="7"/>
  <c r="X197" i="7"/>
  <c r="X196" i="7"/>
  <c r="X195" i="7"/>
  <c r="X194" i="7"/>
  <c r="X193" i="7"/>
  <c r="X192" i="7"/>
  <c r="X191" i="7"/>
  <c r="X190" i="7"/>
  <c r="X189" i="7"/>
  <c r="X188" i="7"/>
  <c r="X187" i="7"/>
  <c r="X186" i="7"/>
  <c r="X185" i="7"/>
  <c r="X184" i="7"/>
  <c r="X183" i="7"/>
  <c r="X182" i="7"/>
  <c r="X181" i="7"/>
  <c r="X180" i="7"/>
  <c r="X179" i="7"/>
  <c r="X178" i="7"/>
  <c r="X177" i="7"/>
  <c r="X176" i="7"/>
  <c r="X175" i="7"/>
  <c r="X174" i="7"/>
  <c r="X173" i="7"/>
  <c r="X172" i="7"/>
  <c r="X171" i="7"/>
  <c r="X170" i="7"/>
  <c r="X169" i="7"/>
  <c r="X168" i="7"/>
  <c r="X167" i="7"/>
  <c r="X166" i="7"/>
  <c r="X165" i="7"/>
  <c r="X164" i="7"/>
  <c r="X163" i="7"/>
  <c r="X162" i="7"/>
  <c r="X161" i="7"/>
  <c r="X160" i="7"/>
  <c r="X159" i="7"/>
  <c r="X158" i="7"/>
  <c r="X157" i="7"/>
  <c r="X156" i="7"/>
  <c r="X155" i="7"/>
  <c r="X154" i="7"/>
  <c r="X153" i="7"/>
  <c r="X152" i="7"/>
  <c r="X151" i="7"/>
  <c r="X150" i="7"/>
  <c r="X149" i="7"/>
  <c r="X148" i="7"/>
  <c r="X147" i="7"/>
  <c r="X146" i="7"/>
  <c r="X145" i="7"/>
  <c r="X144" i="7"/>
  <c r="X143" i="7"/>
  <c r="X142" i="7"/>
  <c r="X141" i="7"/>
  <c r="X140" i="7"/>
  <c r="X139" i="7"/>
  <c r="X138" i="7"/>
  <c r="X137" i="7"/>
  <c r="X136" i="7"/>
  <c r="X135" i="7"/>
  <c r="X134" i="7"/>
  <c r="X133" i="7"/>
  <c r="X132" i="7"/>
  <c r="X131" i="7"/>
  <c r="X130" i="7"/>
  <c r="X129" i="7"/>
  <c r="X128" i="7"/>
  <c r="X127" i="7"/>
  <c r="X126" i="7"/>
  <c r="X125" i="7"/>
  <c r="X124" i="7"/>
  <c r="X123" i="7"/>
  <c r="X122" i="7"/>
  <c r="X121" i="7"/>
  <c r="X120" i="7"/>
  <c r="X119" i="7"/>
  <c r="X118" i="7"/>
  <c r="X117" i="7"/>
  <c r="X116" i="7"/>
  <c r="X115" i="7"/>
  <c r="X114" i="7"/>
  <c r="X113" i="7"/>
  <c r="X112" i="7"/>
  <c r="X111" i="7"/>
  <c r="X110" i="7"/>
  <c r="X109" i="7"/>
  <c r="X108" i="7"/>
  <c r="X107" i="7"/>
  <c r="X106" i="7"/>
  <c r="X105" i="7"/>
  <c r="X104" i="7"/>
  <c r="X103" i="7"/>
  <c r="X102" i="7"/>
  <c r="X101" i="7"/>
  <c r="X100" i="7"/>
  <c r="X99" i="7"/>
  <c r="X98" i="7"/>
  <c r="X97" i="7"/>
  <c r="X96" i="7"/>
  <c r="X95" i="7"/>
  <c r="X94" i="7"/>
  <c r="X93" i="7"/>
  <c r="X92" i="7"/>
  <c r="X91" i="7"/>
  <c r="X90" i="7"/>
  <c r="X89" i="7"/>
  <c r="X88" i="7"/>
  <c r="X87" i="7"/>
  <c r="X86" i="7"/>
  <c r="X85" i="7"/>
  <c r="X84" i="7"/>
  <c r="X83" i="7"/>
  <c r="X82" i="7"/>
  <c r="X81" i="7"/>
  <c r="X80" i="7"/>
  <c r="X79" i="7"/>
  <c r="X78" i="7"/>
  <c r="X77" i="7"/>
  <c r="X76" i="7"/>
  <c r="X75" i="7"/>
  <c r="X74" i="7"/>
  <c r="X73" i="7"/>
  <c r="X72" i="7"/>
  <c r="X71" i="7"/>
  <c r="X70" i="7"/>
  <c r="X69" i="7"/>
  <c r="X68" i="7"/>
  <c r="X67" i="7"/>
  <c r="X66" i="7"/>
  <c r="X65" i="7"/>
  <c r="X64" i="7"/>
  <c r="X63" i="7"/>
  <c r="X62" i="7"/>
  <c r="X61" i="7"/>
  <c r="X60" i="7"/>
  <c r="X59" i="7"/>
  <c r="X58" i="7"/>
  <c r="X57" i="7"/>
  <c r="X56" i="7"/>
  <c r="X55" i="7"/>
  <c r="X54" i="7"/>
  <c r="X53" i="7"/>
  <c r="X52" i="7"/>
  <c r="X51" i="7"/>
  <c r="X50" i="7"/>
  <c r="X49" i="7"/>
  <c r="X48" i="7"/>
  <c r="X47" i="7"/>
  <c r="X46" i="7"/>
  <c r="X45" i="7"/>
  <c r="X44" i="7"/>
  <c r="X43" i="7"/>
  <c r="X42" i="7"/>
  <c r="X41" i="7"/>
  <c r="X40" i="7"/>
  <c r="X39" i="7"/>
  <c r="X38" i="7"/>
  <c r="X37" i="7"/>
  <c r="X36" i="7"/>
  <c r="X35" i="7"/>
  <c r="X34" i="7"/>
  <c r="X33" i="7"/>
  <c r="X32" i="7"/>
  <c r="X31" i="7"/>
  <c r="X30" i="7"/>
  <c r="X29" i="7"/>
  <c r="X28" i="7"/>
  <c r="X27" i="7"/>
  <c r="X26" i="7"/>
  <c r="X25" i="7"/>
  <c r="X24" i="7"/>
  <c r="X23" i="7"/>
  <c r="X22" i="7"/>
  <c r="X21" i="7"/>
  <c r="X20" i="7"/>
  <c r="X19" i="7"/>
  <c r="X18" i="7"/>
  <c r="X17" i="7"/>
  <c r="CQ16" i="7"/>
  <c r="X16" i="7"/>
  <c r="CQ15" i="7"/>
  <c r="X15" i="7"/>
  <c r="CQ14" i="7"/>
  <c r="AI14" i="7"/>
  <c r="AI17" i="7" s="1"/>
  <c r="AH14" i="7"/>
  <c r="AH17" i="7" s="1"/>
  <c r="AG14" i="7"/>
  <c r="AG17" i="7" s="1"/>
  <c r="X14" i="7"/>
  <c r="CQ13" i="7"/>
  <c r="AI13" i="7"/>
  <c r="AH13" i="7"/>
  <c r="AG13" i="7"/>
  <c r="X13" i="7"/>
  <c r="CQ12" i="7"/>
  <c r="AI12" i="7"/>
  <c r="AH12" i="7"/>
  <c r="AG12" i="7"/>
  <c r="X12" i="7"/>
  <c r="CQ11" i="7"/>
  <c r="AI11" i="7"/>
  <c r="AH11" i="7"/>
  <c r="AG11" i="7"/>
  <c r="X11" i="7"/>
  <c r="CQ10" i="7"/>
  <c r="AI10" i="7"/>
  <c r="AH10" i="7"/>
  <c r="AG10" i="7"/>
  <c r="X10" i="7"/>
  <c r="CQ9" i="7"/>
  <c r="AI9" i="7"/>
  <c r="AH9" i="7"/>
  <c r="AG9" i="7"/>
  <c r="X9" i="7"/>
  <c r="CQ8" i="7"/>
  <c r="AI8" i="7"/>
  <c r="AI16" i="7" s="1"/>
  <c r="AH8" i="7"/>
  <c r="AH16" i="7" s="1"/>
  <c r="AG8" i="7"/>
  <c r="AG16" i="7" s="1"/>
  <c r="X8" i="7"/>
  <c r="CQ7" i="7"/>
  <c r="AI7" i="7"/>
  <c r="AI15" i="7" s="1"/>
  <c r="AH7" i="7"/>
  <c r="AH15" i="7" s="1"/>
  <c r="AG7" i="7"/>
  <c r="AG15" i="7" s="1"/>
  <c r="X7" i="7"/>
  <c r="Z5" i="7" a="1"/>
  <c r="Z5" i="7" s="1"/>
  <c r="CL4" i="7"/>
  <c r="CP16" i="7" s="1"/>
  <c r="CK4" i="7"/>
  <c r="CP15" i="7" s="1"/>
  <c r="CJ4" i="7"/>
  <c r="CP14" i="7" s="1"/>
  <c r="CI4" i="7"/>
  <c r="CP13" i="7" s="1"/>
  <c r="CH4" i="7"/>
  <c r="CP12" i="7" s="1"/>
  <c r="BF4" i="7" a="1"/>
  <c r="BF4" i="7" s="1"/>
  <c r="G11" i="7" l="1"/>
  <c r="G15" i="7"/>
  <c r="G19" i="7"/>
  <c r="O19" i="7" s="1"/>
  <c r="G23" i="7"/>
  <c r="G39" i="7"/>
  <c r="G203" i="7"/>
  <c r="G8" i="7"/>
  <c r="N8" i="7" s="1"/>
  <c r="AL8" i="7" s="1"/>
  <c r="G12" i="7"/>
  <c r="N12" i="7" s="1"/>
  <c r="AL12" i="7" s="1"/>
  <c r="G16" i="7"/>
  <c r="N16" i="7" s="1"/>
  <c r="G20" i="7"/>
  <c r="O20" i="7" s="1"/>
  <c r="AQ20" i="7" s="1"/>
  <c r="G28" i="7"/>
  <c r="G36" i="7"/>
  <c r="G44" i="7"/>
  <c r="G56" i="7"/>
  <c r="G64" i="7"/>
  <c r="G72" i="7"/>
  <c r="G80" i="7"/>
  <c r="G84" i="7"/>
  <c r="G88" i="7"/>
  <c r="G92" i="7"/>
  <c r="G96" i="7"/>
  <c r="G100" i="7"/>
  <c r="G116" i="7"/>
  <c r="G124" i="7"/>
  <c r="G128" i="7"/>
  <c r="G132" i="7"/>
  <c r="G136" i="7"/>
  <c r="G140" i="7"/>
  <c r="G152" i="7"/>
  <c r="G180" i="7"/>
  <c r="G184" i="7"/>
  <c r="G188" i="7"/>
  <c r="G192" i="7"/>
  <c r="G196" i="7"/>
  <c r="G200" i="7"/>
  <c r="G204" i="7"/>
  <c r="M15" i="7"/>
  <c r="K7" i="7"/>
  <c r="BQ7" i="7" s="1"/>
  <c r="K9" i="7"/>
  <c r="BQ9" i="7" s="1"/>
  <c r="O9" i="7"/>
  <c r="AM9" i="7" s="1"/>
  <c r="K13" i="7"/>
  <c r="BQ13" i="7" s="1"/>
  <c r="N13" i="7"/>
  <c r="K17" i="7"/>
  <c r="BQ17" i="7" s="1"/>
  <c r="N17" i="7"/>
  <c r="K21" i="7"/>
  <c r="BQ21" i="7" s="1"/>
  <c r="N21" i="7"/>
  <c r="I25" i="7"/>
  <c r="I29" i="7"/>
  <c r="I33" i="7"/>
  <c r="I37" i="7"/>
  <c r="I41" i="7"/>
  <c r="I45" i="7"/>
  <c r="I49" i="7"/>
  <c r="I53" i="7"/>
  <c r="I57" i="7"/>
  <c r="BQ61" i="7"/>
  <c r="I65" i="7"/>
  <c r="N7" i="7"/>
  <c r="AL7" i="7" s="1"/>
  <c r="I87" i="7"/>
  <c r="E103" i="7"/>
  <c r="E107" i="7"/>
  <c r="E111" i="7"/>
  <c r="F115" i="7"/>
  <c r="BP115" i="7" s="1"/>
  <c r="J119" i="7"/>
  <c r="F123" i="7"/>
  <c r="BP123" i="7" s="1"/>
  <c r="K127" i="7"/>
  <c r="CG131" i="7"/>
  <c r="J135" i="7"/>
  <c r="F139" i="7"/>
  <c r="BP139" i="7" s="1"/>
  <c r="CG143" i="7"/>
  <c r="CG147" i="7"/>
  <c r="CG151" i="7"/>
  <c r="BQ183" i="7"/>
  <c r="BQ187" i="7"/>
  <c r="I69" i="7"/>
  <c r="I77" i="7"/>
  <c r="I97" i="7"/>
  <c r="I101" i="7"/>
  <c r="E105" i="7"/>
  <c r="E109" i="7"/>
  <c r="E113" i="7"/>
  <c r="CG121" i="7"/>
  <c r="CG125" i="7"/>
  <c r="CG129" i="7"/>
  <c r="J133" i="7"/>
  <c r="K137" i="7"/>
  <c r="K141" i="7"/>
  <c r="F145" i="7"/>
  <c r="BP145" i="7" s="1"/>
  <c r="CG149" i="7"/>
  <c r="I157" i="7"/>
  <c r="I161" i="7"/>
  <c r="I165" i="7"/>
  <c r="I169" i="7"/>
  <c r="I173" i="7"/>
  <c r="I177" i="7"/>
  <c r="I181" i="7"/>
  <c r="I185" i="7"/>
  <c r="J189" i="7"/>
  <c r="H197" i="7"/>
  <c r="I205" i="7"/>
  <c r="I14" i="7"/>
  <c r="BB14" i="7" s="1"/>
  <c r="N14" i="7"/>
  <c r="I22" i="7"/>
  <c r="BB22" i="7" s="1"/>
  <c r="N22" i="7"/>
  <c r="AP22" i="7" s="1"/>
  <c r="I30" i="7"/>
  <c r="I38" i="7"/>
  <c r="I42" i="7"/>
  <c r="I50" i="7"/>
  <c r="I58" i="7"/>
  <c r="I62" i="7"/>
  <c r="I70" i="7"/>
  <c r="I78" i="7"/>
  <c r="I82" i="7"/>
  <c r="E98" i="7"/>
  <c r="F102" i="7"/>
  <c r="BP102" i="7" s="1"/>
  <c r="H130" i="7"/>
  <c r="F146" i="7"/>
  <c r="BP146" i="7" s="1"/>
  <c r="H154" i="7"/>
  <c r="F166" i="7"/>
  <c r="BP166" i="7" s="1"/>
  <c r="K186" i="7"/>
  <c r="BQ206" i="7"/>
  <c r="I73" i="7"/>
  <c r="I81" i="7"/>
  <c r="I93" i="7"/>
  <c r="K117" i="7"/>
  <c r="K10" i="7"/>
  <c r="BQ10" i="7" s="1"/>
  <c r="K18" i="7"/>
  <c r="BQ18" i="7" s="1"/>
  <c r="N18" i="7"/>
  <c r="I26" i="7"/>
  <c r="I34" i="7"/>
  <c r="I46" i="7"/>
  <c r="I54" i="7"/>
  <c r="I66" i="7"/>
  <c r="I74" i="7"/>
  <c r="F86" i="7"/>
  <c r="BP86" i="7" s="1"/>
  <c r="H94" i="7"/>
  <c r="H134" i="7"/>
  <c r="K150" i="7"/>
  <c r="K182" i="7"/>
  <c r="BQ190" i="7"/>
  <c r="H198" i="7"/>
  <c r="J198" i="7"/>
  <c r="F9" i="7"/>
  <c r="BP9" i="7" s="1"/>
  <c r="I16" i="7"/>
  <c r="J173" i="7"/>
  <c r="BQ173" i="7"/>
  <c r="CG145" i="7"/>
  <c r="CG127" i="7"/>
  <c r="H45" i="7"/>
  <c r="H140" i="7"/>
  <c r="CG137" i="7"/>
  <c r="H61" i="7"/>
  <c r="CG141" i="7"/>
  <c r="I8" i="7"/>
  <c r="BO8" i="7" s="1"/>
  <c r="H77" i="7"/>
  <c r="H92" i="7"/>
  <c r="E182" i="7"/>
  <c r="J190" i="7"/>
  <c r="F8" i="7"/>
  <c r="BP8" i="7" s="1"/>
  <c r="I20" i="7"/>
  <c r="BN20" i="7" s="1"/>
  <c r="H190" i="7"/>
  <c r="H29" i="7"/>
  <c r="J161" i="7"/>
  <c r="F182" i="7"/>
  <c r="BP182" i="7" s="1"/>
  <c r="F100" i="7"/>
  <c r="BP100" i="7" s="1"/>
  <c r="H102" i="7"/>
  <c r="H144" i="7"/>
  <c r="F197" i="7"/>
  <c r="BP197" i="7" s="1"/>
  <c r="E16" i="7"/>
  <c r="E17" i="7"/>
  <c r="I19" i="7"/>
  <c r="BE19" i="7" s="1"/>
  <c r="F88" i="7"/>
  <c r="BP88" i="7" s="1"/>
  <c r="F96" i="7"/>
  <c r="BP96" i="7" s="1"/>
  <c r="H100" i="7"/>
  <c r="K133" i="7"/>
  <c r="H152" i="7"/>
  <c r="F173" i="7"/>
  <c r="BP173" i="7" s="1"/>
  <c r="J177" i="7"/>
  <c r="I182" i="7"/>
  <c r="I184" i="7"/>
  <c r="K189" i="7"/>
  <c r="I12" i="7"/>
  <c r="BN12" i="7" s="1"/>
  <c r="H33" i="7"/>
  <c r="H49" i="7"/>
  <c r="H65" i="7"/>
  <c r="H81" i="7"/>
  <c r="F157" i="7"/>
  <c r="BP157" i="7" s="1"/>
  <c r="J165" i="7"/>
  <c r="J205" i="7"/>
  <c r="BQ205" i="7"/>
  <c r="E8" i="7"/>
  <c r="E9" i="7"/>
  <c r="I11" i="7"/>
  <c r="BM11" i="7" s="1"/>
  <c r="F16" i="7"/>
  <c r="BP16" i="7" s="1"/>
  <c r="F17" i="7"/>
  <c r="BP17" i="7" s="1"/>
  <c r="H26" i="7"/>
  <c r="E29" i="7"/>
  <c r="H42" i="7"/>
  <c r="E45" i="7"/>
  <c r="H58" i="7"/>
  <c r="E61" i="7"/>
  <c r="H74" i="7"/>
  <c r="E77" i="7"/>
  <c r="J86" i="7"/>
  <c r="H88" i="7"/>
  <c r="J94" i="7"/>
  <c r="H96" i="7"/>
  <c r="H120" i="7"/>
  <c r="BQ157" i="7"/>
  <c r="J183" i="7"/>
  <c r="CG41" i="7"/>
  <c r="E25" i="7"/>
  <c r="H38" i="7"/>
  <c r="E41" i="7"/>
  <c r="K135" i="7"/>
  <c r="F147" i="7"/>
  <c r="BP147" i="7" s="1"/>
  <c r="F150" i="7"/>
  <c r="BP150" i="7" s="1"/>
  <c r="F169" i="7"/>
  <c r="BP169" i="7" s="1"/>
  <c r="K187" i="7"/>
  <c r="CG135" i="7"/>
  <c r="I7" i="7"/>
  <c r="BO7" i="7" s="1"/>
  <c r="E20" i="7"/>
  <c r="E21" i="7"/>
  <c r="H25" i="7"/>
  <c r="H34" i="7"/>
  <c r="E37" i="7"/>
  <c r="H41" i="7"/>
  <c r="H50" i="7"/>
  <c r="E53" i="7"/>
  <c r="H57" i="7"/>
  <c r="H66" i="7"/>
  <c r="E69" i="7"/>
  <c r="H73" i="7"/>
  <c r="H82" i="7"/>
  <c r="E92" i="7"/>
  <c r="J117" i="7"/>
  <c r="K119" i="7"/>
  <c r="F133" i="7"/>
  <c r="BP133" i="7" s="1"/>
  <c r="J145" i="7"/>
  <c r="H146" i="7"/>
  <c r="F152" i="7"/>
  <c r="BP152" i="7" s="1"/>
  <c r="J157" i="7"/>
  <c r="F165" i="7"/>
  <c r="BP165" i="7" s="1"/>
  <c r="F183" i="7"/>
  <c r="BP183" i="7" s="1"/>
  <c r="J186" i="7"/>
  <c r="F187" i="7"/>
  <c r="BP187" i="7" s="1"/>
  <c r="K197" i="7"/>
  <c r="F205" i="7"/>
  <c r="BP205" i="7" s="1"/>
  <c r="K206" i="7"/>
  <c r="BQ182" i="7"/>
  <c r="J187" i="7"/>
  <c r="CG119" i="7"/>
  <c r="H54" i="7"/>
  <c r="E57" i="7"/>
  <c r="H70" i="7"/>
  <c r="E73" i="7"/>
  <c r="E183" i="7"/>
  <c r="K183" i="7"/>
  <c r="E187" i="7"/>
  <c r="CG117" i="7"/>
  <c r="E12" i="7"/>
  <c r="E13" i="7"/>
  <c r="I15" i="7"/>
  <c r="CG133" i="7"/>
  <c r="F12" i="7"/>
  <c r="BP12" i="7" s="1"/>
  <c r="F13" i="7"/>
  <c r="BP13" i="7" s="1"/>
  <c r="F20" i="7"/>
  <c r="BP20" i="7" s="1"/>
  <c r="F21" i="7"/>
  <c r="BP21" i="7" s="1"/>
  <c r="H30" i="7"/>
  <c r="E33" i="7"/>
  <c r="H37" i="7"/>
  <c r="H46" i="7"/>
  <c r="E49" i="7"/>
  <c r="H53" i="7"/>
  <c r="H62" i="7"/>
  <c r="E65" i="7"/>
  <c r="H69" i="7"/>
  <c r="H78" i="7"/>
  <c r="E81" i="7"/>
  <c r="H86" i="7"/>
  <c r="E88" i="7"/>
  <c r="F92" i="7"/>
  <c r="BP92" i="7" s="1"/>
  <c r="E96" i="7"/>
  <c r="E100" i="7"/>
  <c r="F144" i="7"/>
  <c r="BP144" i="7" s="1"/>
  <c r="K145" i="7"/>
  <c r="K146" i="7"/>
  <c r="H150" i="7"/>
  <c r="F154" i="7"/>
  <c r="BP154" i="7" s="1"/>
  <c r="F161" i="7"/>
  <c r="BP161" i="7" s="1"/>
  <c r="J169" i="7"/>
  <c r="F177" i="7"/>
  <c r="BP177" i="7" s="1"/>
  <c r="E185" i="7"/>
  <c r="BQ29" i="7"/>
  <c r="J10" i="7"/>
  <c r="I27" i="7"/>
  <c r="H27" i="7"/>
  <c r="E27" i="7"/>
  <c r="I31" i="7"/>
  <c r="H31" i="7"/>
  <c r="E31" i="7"/>
  <c r="I35" i="7"/>
  <c r="H35" i="7"/>
  <c r="E35" i="7"/>
  <c r="I43" i="7"/>
  <c r="H43" i="7"/>
  <c r="E43" i="7"/>
  <c r="I51" i="7"/>
  <c r="H51" i="7"/>
  <c r="E51" i="7"/>
  <c r="I59" i="7"/>
  <c r="H59" i="7"/>
  <c r="E59" i="7"/>
  <c r="I63" i="7"/>
  <c r="H63" i="7"/>
  <c r="E63" i="7"/>
  <c r="I71" i="7"/>
  <c r="H71" i="7"/>
  <c r="E71" i="7"/>
  <c r="I79" i="7"/>
  <c r="H79" i="7"/>
  <c r="E79" i="7"/>
  <c r="K153" i="7"/>
  <c r="J153" i="7"/>
  <c r="I158" i="7"/>
  <c r="J158" i="7"/>
  <c r="K158" i="7"/>
  <c r="BQ163" i="7"/>
  <c r="K163" i="7"/>
  <c r="J163" i="7"/>
  <c r="BQ168" i="7"/>
  <c r="F168" i="7"/>
  <c r="BP168" i="7" s="1"/>
  <c r="K168" i="7"/>
  <c r="J168" i="7"/>
  <c r="I174" i="7"/>
  <c r="J174" i="7"/>
  <c r="K174" i="7"/>
  <c r="BQ179" i="7"/>
  <c r="K179" i="7"/>
  <c r="J179" i="7"/>
  <c r="J7" i="7"/>
  <c r="E10" i="7"/>
  <c r="I24" i="7"/>
  <c r="H24" i="7"/>
  <c r="I32" i="7"/>
  <c r="H32" i="7"/>
  <c r="I40" i="7"/>
  <c r="H40" i="7"/>
  <c r="I48" i="7"/>
  <c r="H48" i="7"/>
  <c r="I52" i="7"/>
  <c r="H52" i="7"/>
  <c r="I60" i="7"/>
  <c r="H60" i="7"/>
  <c r="I68" i="7"/>
  <c r="H68" i="7"/>
  <c r="I76" i="7"/>
  <c r="H76" i="7"/>
  <c r="BQ126" i="7"/>
  <c r="BQ142" i="7"/>
  <c r="H142" i="7"/>
  <c r="F142" i="7"/>
  <c r="BP142" i="7" s="1"/>
  <c r="F153" i="7"/>
  <c r="BP153" i="7" s="1"/>
  <c r="F158" i="7"/>
  <c r="BP158" i="7" s="1"/>
  <c r="F163" i="7"/>
  <c r="BP163" i="7" s="1"/>
  <c r="F174" i="7"/>
  <c r="BP174" i="7" s="1"/>
  <c r="F179" i="7"/>
  <c r="BP179" i="7" s="1"/>
  <c r="H191" i="7"/>
  <c r="F191" i="7"/>
  <c r="BP191" i="7" s="1"/>
  <c r="K191" i="7"/>
  <c r="BQ201" i="7"/>
  <c r="K201" i="7"/>
  <c r="F201" i="7"/>
  <c r="BP201" i="7" s="1"/>
  <c r="BQ174" i="7"/>
  <c r="E7" i="7"/>
  <c r="J8" i="7"/>
  <c r="I9" i="7"/>
  <c r="BN9" i="7" s="1"/>
  <c r="F10" i="7"/>
  <c r="BP10" i="7" s="1"/>
  <c r="E11" i="7"/>
  <c r="J12" i="7"/>
  <c r="I13" i="7"/>
  <c r="BO13" i="7" s="1"/>
  <c r="F14" i="7"/>
  <c r="BP14" i="7" s="1"/>
  <c r="E15" i="7"/>
  <c r="J16" i="7"/>
  <c r="I17" i="7"/>
  <c r="BD17" i="7" s="1"/>
  <c r="F18" i="7"/>
  <c r="BP18" i="7" s="1"/>
  <c r="E19" i="7"/>
  <c r="J20" i="7"/>
  <c r="I21" i="7"/>
  <c r="BE21" i="7" s="1"/>
  <c r="H22" i="7"/>
  <c r="E24" i="7"/>
  <c r="E32" i="7"/>
  <c r="E40" i="7"/>
  <c r="E48" i="7"/>
  <c r="E52" i="7"/>
  <c r="E60" i="7"/>
  <c r="E68" i="7"/>
  <c r="E76" i="7"/>
  <c r="F90" i="7"/>
  <c r="BP90" i="7" s="1"/>
  <c r="J90" i="7"/>
  <c r="H90" i="7"/>
  <c r="H126" i="7"/>
  <c r="H138" i="7"/>
  <c r="K142" i="7"/>
  <c r="BQ156" i="7"/>
  <c r="F156" i="7"/>
  <c r="BP156" i="7" s="1"/>
  <c r="K156" i="7"/>
  <c r="J156" i="7"/>
  <c r="BQ159" i="7"/>
  <c r="K159" i="7"/>
  <c r="J159" i="7"/>
  <c r="BQ162" i="7"/>
  <c r="J162" i="7"/>
  <c r="K162" i="7"/>
  <c r="BQ164" i="7"/>
  <c r="F164" i="7"/>
  <c r="BP164" i="7" s="1"/>
  <c r="K164" i="7"/>
  <c r="J164" i="7"/>
  <c r="BQ167" i="7"/>
  <c r="K167" i="7"/>
  <c r="J167" i="7"/>
  <c r="BQ170" i="7"/>
  <c r="J170" i="7"/>
  <c r="K170" i="7"/>
  <c r="BQ172" i="7"/>
  <c r="F172" i="7"/>
  <c r="BP172" i="7" s="1"/>
  <c r="K172" i="7"/>
  <c r="J172" i="7"/>
  <c r="BQ175" i="7"/>
  <c r="K175" i="7"/>
  <c r="J175" i="7"/>
  <c r="BQ178" i="7"/>
  <c r="J178" i="7"/>
  <c r="K178" i="7"/>
  <c r="BQ180" i="7"/>
  <c r="J180" i="7"/>
  <c r="E180" i="7"/>
  <c r="I180" i="7"/>
  <c r="BQ186" i="7"/>
  <c r="I186" i="7"/>
  <c r="F186" i="7"/>
  <c r="BP186" i="7" s="1"/>
  <c r="J14" i="7"/>
  <c r="J18" i="7"/>
  <c r="I39" i="7"/>
  <c r="H39" i="7"/>
  <c r="E39" i="7"/>
  <c r="I47" i="7"/>
  <c r="H47" i="7"/>
  <c r="E47" i="7"/>
  <c r="I55" i="7"/>
  <c r="H55" i="7"/>
  <c r="E55" i="7"/>
  <c r="I67" i="7"/>
  <c r="H67" i="7"/>
  <c r="E67" i="7"/>
  <c r="I75" i="7"/>
  <c r="H75" i="7"/>
  <c r="E75" i="7"/>
  <c r="I83" i="7"/>
  <c r="H83" i="7"/>
  <c r="E83" i="7"/>
  <c r="F125" i="7"/>
  <c r="BP125" i="7" s="1"/>
  <c r="K125" i="7"/>
  <c r="BQ125" i="7"/>
  <c r="J125" i="7"/>
  <c r="K148" i="7"/>
  <c r="H148" i="7"/>
  <c r="BQ160" i="7"/>
  <c r="F160" i="7"/>
  <c r="BP160" i="7" s="1"/>
  <c r="K160" i="7"/>
  <c r="J160" i="7"/>
  <c r="I166" i="7"/>
  <c r="J166" i="7"/>
  <c r="K166" i="7"/>
  <c r="BQ166" i="7"/>
  <c r="BQ171" i="7"/>
  <c r="K171" i="7"/>
  <c r="J171" i="7"/>
  <c r="BQ176" i="7"/>
  <c r="F176" i="7"/>
  <c r="BP176" i="7" s="1"/>
  <c r="K176" i="7"/>
  <c r="J176" i="7"/>
  <c r="BQ188" i="7"/>
  <c r="J188" i="7"/>
  <c r="E188" i="7"/>
  <c r="I188" i="7"/>
  <c r="J11" i="7"/>
  <c r="E14" i="7"/>
  <c r="J15" i="7"/>
  <c r="E18" i="7"/>
  <c r="J19" i="7"/>
  <c r="E22" i="7"/>
  <c r="I28" i="7"/>
  <c r="H28" i="7"/>
  <c r="I36" i="7"/>
  <c r="H36" i="7"/>
  <c r="I44" i="7"/>
  <c r="H44" i="7"/>
  <c r="I56" i="7"/>
  <c r="H56" i="7"/>
  <c r="I64" i="7"/>
  <c r="H64" i="7"/>
  <c r="I72" i="7"/>
  <c r="H72" i="7"/>
  <c r="I80" i="7"/>
  <c r="H80" i="7"/>
  <c r="H84" i="7"/>
  <c r="F84" i="7"/>
  <c r="BP84" i="7" s="1"/>
  <c r="F148" i="7"/>
  <c r="BP148" i="7" s="1"/>
  <c r="F171" i="7"/>
  <c r="BP171" i="7" s="1"/>
  <c r="H181" i="7"/>
  <c r="BQ181" i="7"/>
  <c r="K181" i="7"/>
  <c r="F181" i="7"/>
  <c r="BP181" i="7" s="1"/>
  <c r="E181" i="7"/>
  <c r="F188" i="7"/>
  <c r="BP188" i="7" s="1"/>
  <c r="H195" i="7"/>
  <c r="K195" i="7"/>
  <c r="F195" i="7"/>
  <c r="BP195" i="7" s="1"/>
  <c r="BQ204" i="7"/>
  <c r="F204" i="7"/>
  <c r="BP204" i="7" s="1"/>
  <c r="J204" i="7"/>
  <c r="F7" i="7"/>
  <c r="BP7" i="7" s="1"/>
  <c r="J9" i="7"/>
  <c r="I10" i="7"/>
  <c r="BO10" i="7" s="1"/>
  <c r="F11" i="7"/>
  <c r="BP11" i="7" s="1"/>
  <c r="J13" i="7"/>
  <c r="F15" i="7"/>
  <c r="BP15" i="7" s="1"/>
  <c r="J17" i="7"/>
  <c r="I18" i="7"/>
  <c r="BN18" i="7" s="1"/>
  <c r="F19" i="7"/>
  <c r="BP19" i="7" s="1"/>
  <c r="J21" i="7"/>
  <c r="I23" i="7"/>
  <c r="BO23" i="7" s="1"/>
  <c r="H23" i="7"/>
  <c r="J84" i="7"/>
  <c r="E90" i="7"/>
  <c r="F98" i="7"/>
  <c r="BP98" i="7" s="1"/>
  <c r="J98" i="7"/>
  <c r="H98" i="7"/>
  <c r="H118" i="7"/>
  <c r="J143" i="7"/>
  <c r="K143" i="7"/>
  <c r="K151" i="7"/>
  <c r="J151" i="7"/>
  <c r="F159" i="7"/>
  <c r="BP159" i="7" s="1"/>
  <c r="F162" i="7"/>
  <c r="BP162" i="7" s="1"/>
  <c r="F167" i="7"/>
  <c r="BP167" i="7" s="1"/>
  <c r="F170" i="7"/>
  <c r="BP170" i="7" s="1"/>
  <c r="F175" i="7"/>
  <c r="BP175" i="7" s="1"/>
  <c r="F178" i="7"/>
  <c r="BP178" i="7" s="1"/>
  <c r="F180" i="7"/>
  <c r="BP180" i="7" s="1"/>
  <c r="J181" i="7"/>
  <c r="E186" i="7"/>
  <c r="I189" i="7"/>
  <c r="F189" i="7"/>
  <c r="BP189" i="7" s="1"/>
  <c r="BQ189" i="7"/>
  <c r="E189" i="7"/>
  <c r="BQ193" i="7"/>
  <c r="K193" i="7"/>
  <c r="F193" i="7"/>
  <c r="BP193" i="7" s="1"/>
  <c r="H199" i="7"/>
  <c r="F199" i="7"/>
  <c r="BP199" i="7" s="1"/>
  <c r="K199" i="7"/>
  <c r="I203" i="7"/>
  <c r="J203" i="7"/>
  <c r="F203" i="7"/>
  <c r="BP203" i="7" s="1"/>
  <c r="I206" i="7"/>
  <c r="J206" i="7"/>
  <c r="F206" i="7"/>
  <c r="BP206" i="7" s="1"/>
  <c r="BQ158" i="7"/>
  <c r="BQ94" i="7"/>
  <c r="F94" i="7"/>
  <c r="BP94" i="7" s="1"/>
  <c r="K140" i="7"/>
  <c r="K144" i="7"/>
  <c r="K154" i="7"/>
  <c r="H182" i="7"/>
  <c r="J182" i="7"/>
  <c r="BQ184" i="7"/>
  <c r="J184" i="7"/>
  <c r="E184" i="7"/>
  <c r="K184" i="7"/>
  <c r="E26" i="7"/>
  <c r="E30" i="7"/>
  <c r="E34" i="7"/>
  <c r="E38" i="7"/>
  <c r="E42" i="7"/>
  <c r="E46" i="7"/>
  <c r="E50" i="7"/>
  <c r="E54" i="7"/>
  <c r="E58" i="7"/>
  <c r="E62" i="7"/>
  <c r="E66" i="7"/>
  <c r="E70" i="7"/>
  <c r="E74" i="7"/>
  <c r="E78" i="7"/>
  <c r="E82" i="7"/>
  <c r="E86" i="7"/>
  <c r="E94" i="7"/>
  <c r="E102" i="7"/>
  <c r="F117" i="7"/>
  <c r="BP117" i="7" s="1"/>
  <c r="H122" i="7"/>
  <c r="J127" i="7"/>
  <c r="BQ185" i="7"/>
  <c r="K185" i="7"/>
  <c r="F185" i="7"/>
  <c r="BP185" i="7" s="1"/>
  <c r="J185" i="7"/>
  <c r="K157" i="7"/>
  <c r="K161" i="7"/>
  <c r="K165" i="7"/>
  <c r="K169" i="7"/>
  <c r="K173" i="7"/>
  <c r="K177" i="7"/>
  <c r="I183" i="7"/>
  <c r="I187" i="7"/>
  <c r="K205" i="7"/>
  <c r="BQ165" i="7"/>
  <c r="BQ197" i="7"/>
  <c r="K85" i="7"/>
  <c r="BQ85" i="7"/>
  <c r="F85" i="7"/>
  <c r="BP85" i="7" s="1"/>
  <c r="J85" i="7"/>
  <c r="E85" i="7"/>
  <c r="BQ89" i="7"/>
  <c r="K89" i="7"/>
  <c r="F89" i="7"/>
  <c r="BP89" i="7" s="1"/>
  <c r="J89" i="7"/>
  <c r="E89" i="7"/>
  <c r="BQ91" i="7"/>
  <c r="K91" i="7"/>
  <c r="F91" i="7"/>
  <c r="BP91" i="7" s="1"/>
  <c r="J91" i="7"/>
  <c r="E91" i="7"/>
  <c r="BQ95" i="7"/>
  <c r="K95" i="7"/>
  <c r="F95" i="7"/>
  <c r="BP95" i="7" s="1"/>
  <c r="J95" i="7"/>
  <c r="E95" i="7"/>
  <c r="BQ99" i="7"/>
  <c r="K99" i="7"/>
  <c r="F99" i="7"/>
  <c r="BP99" i="7" s="1"/>
  <c r="J99" i="7"/>
  <c r="E99" i="7"/>
  <c r="BQ93" i="7"/>
  <c r="H85" i="7"/>
  <c r="H87" i="7"/>
  <c r="H89" i="7"/>
  <c r="H91" i="7"/>
  <c r="H93" i="7"/>
  <c r="H95" i="7"/>
  <c r="H97" i="7"/>
  <c r="H99" i="7"/>
  <c r="H101" i="7"/>
  <c r="BQ104" i="7"/>
  <c r="K104" i="7"/>
  <c r="J104" i="7"/>
  <c r="F104" i="7"/>
  <c r="BP104" i="7" s="1"/>
  <c r="I104" i="7"/>
  <c r="H104" i="7"/>
  <c r="BQ106" i="7"/>
  <c r="K106" i="7"/>
  <c r="J106" i="7"/>
  <c r="F106" i="7"/>
  <c r="BP106" i="7" s="1"/>
  <c r="I106" i="7"/>
  <c r="H106" i="7"/>
  <c r="BQ108" i="7"/>
  <c r="K108" i="7"/>
  <c r="J108" i="7"/>
  <c r="F108" i="7"/>
  <c r="BP108" i="7" s="1"/>
  <c r="I108" i="7"/>
  <c r="H108" i="7"/>
  <c r="K110" i="7"/>
  <c r="J110" i="7"/>
  <c r="F110" i="7"/>
  <c r="BP110" i="7" s="1"/>
  <c r="I110" i="7"/>
  <c r="H110" i="7"/>
  <c r="BQ112" i="7"/>
  <c r="K112" i="7"/>
  <c r="J112" i="7"/>
  <c r="F112" i="7"/>
  <c r="BP112" i="7" s="1"/>
  <c r="I112" i="7"/>
  <c r="H112" i="7"/>
  <c r="BQ114" i="7"/>
  <c r="K114" i="7"/>
  <c r="J114" i="7"/>
  <c r="F114" i="7"/>
  <c r="BP114" i="7" s="1"/>
  <c r="I114" i="7"/>
  <c r="H114" i="7"/>
  <c r="I121" i="7"/>
  <c r="E121" i="7"/>
  <c r="BQ121" i="7"/>
  <c r="H121" i="7"/>
  <c r="J121" i="7"/>
  <c r="F121" i="7"/>
  <c r="BP121" i="7" s="1"/>
  <c r="K129" i="7"/>
  <c r="BQ131" i="7"/>
  <c r="I131" i="7"/>
  <c r="E131" i="7"/>
  <c r="H131" i="7"/>
  <c r="K131" i="7"/>
  <c r="J131" i="7"/>
  <c r="BQ46" i="7"/>
  <c r="BQ110" i="7"/>
  <c r="CG37" i="7"/>
  <c r="N10" i="7"/>
  <c r="K14" i="7"/>
  <c r="BQ14" i="7" s="1"/>
  <c r="I61" i="7"/>
  <c r="I85" i="7"/>
  <c r="I89" i="7"/>
  <c r="I91" i="7"/>
  <c r="I95" i="7"/>
  <c r="I99" i="7"/>
  <c r="E104" i="7"/>
  <c r="E106" i="7"/>
  <c r="E108" i="7"/>
  <c r="E110" i="7"/>
  <c r="E112" i="7"/>
  <c r="E114" i="7"/>
  <c r="K121" i="7"/>
  <c r="BQ123" i="7"/>
  <c r="I123" i="7"/>
  <c r="E123" i="7"/>
  <c r="H123" i="7"/>
  <c r="K123" i="7"/>
  <c r="J123" i="7"/>
  <c r="F131" i="7"/>
  <c r="BP131" i="7" s="1"/>
  <c r="I149" i="7"/>
  <c r="E149" i="7"/>
  <c r="H149" i="7"/>
  <c r="BQ149" i="7"/>
  <c r="J149" i="7"/>
  <c r="F149" i="7"/>
  <c r="BP149" i="7" s="1"/>
  <c r="BQ155" i="7"/>
  <c r="I155" i="7"/>
  <c r="E155" i="7"/>
  <c r="H155" i="7"/>
  <c r="K155" i="7"/>
  <c r="J155" i="7"/>
  <c r="BQ87" i="7"/>
  <c r="K87" i="7"/>
  <c r="F87" i="7"/>
  <c r="BP87" i="7" s="1"/>
  <c r="J87" i="7"/>
  <c r="E87" i="7"/>
  <c r="K93" i="7"/>
  <c r="F93" i="7"/>
  <c r="BP93" i="7" s="1"/>
  <c r="J93" i="7"/>
  <c r="E93" i="7"/>
  <c r="BQ97" i="7"/>
  <c r="K97" i="7"/>
  <c r="F97" i="7"/>
  <c r="BP97" i="7" s="1"/>
  <c r="J97" i="7"/>
  <c r="E97" i="7"/>
  <c r="K101" i="7"/>
  <c r="BQ101" i="7"/>
  <c r="F101" i="7"/>
  <c r="BP101" i="7" s="1"/>
  <c r="J101" i="7"/>
  <c r="E101" i="7"/>
  <c r="I129" i="7"/>
  <c r="E129" i="7"/>
  <c r="BQ129" i="7"/>
  <c r="H129" i="7"/>
  <c r="J129" i="7"/>
  <c r="F129" i="7"/>
  <c r="BP129" i="7" s="1"/>
  <c r="BQ139" i="7"/>
  <c r="I139" i="7"/>
  <c r="E139" i="7"/>
  <c r="H139" i="7"/>
  <c r="K139" i="7"/>
  <c r="J139" i="7"/>
  <c r="CG139" i="7"/>
  <c r="H7" i="7"/>
  <c r="BQ8" i="7"/>
  <c r="H8" i="7"/>
  <c r="H9" i="7"/>
  <c r="H10" i="7"/>
  <c r="BQ11" i="7"/>
  <c r="H11" i="7"/>
  <c r="BQ12" i="7"/>
  <c r="H12" i="7"/>
  <c r="H13" i="7"/>
  <c r="H14" i="7"/>
  <c r="BQ15" i="7"/>
  <c r="H15" i="7"/>
  <c r="BQ16" i="7"/>
  <c r="H16" i="7"/>
  <c r="H17" i="7"/>
  <c r="H18" i="7"/>
  <c r="BQ19" i="7"/>
  <c r="H19" i="7"/>
  <c r="BQ20" i="7"/>
  <c r="H20" i="7"/>
  <c r="H21" i="7"/>
  <c r="K22" i="7"/>
  <c r="BQ22" i="7" s="1"/>
  <c r="J22" i="7"/>
  <c r="F22" i="7"/>
  <c r="BP22" i="7" s="1"/>
  <c r="K23" i="7"/>
  <c r="BQ23" i="7" s="1"/>
  <c r="J23" i="7"/>
  <c r="F23" i="7"/>
  <c r="BP23" i="7" s="1"/>
  <c r="K24" i="7"/>
  <c r="BQ24" i="7" s="1"/>
  <c r="J24" i="7"/>
  <c r="F24" i="7"/>
  <c r="BP24" i="7" s="1"/>
  <c r="BQ25" i="7"/>
  <c r="K25" i="7"/>
  <c r="J25" i="7"/>
  <c r="F25" i="7"/>
  <c r="BP25" i="7" s="1"/>
  <c r="BQ26" i="7"/>
  <c r="K26" i="7"/>
  <c r="J26" i="7"/>
  <c r="F26" i="7"/>
  <c r="BP26" i="7" s="1"/>
  <c r="BQ27" i="7"/>
  <c r="K27" i="7"/>
  <c r="J27" i="7"/>
  <c r="F27" i="7"/>
  <c r="BP27" i="7" s="1"/>
  <c r="BQ28" i="7"/>
  <c r="K28" i="7"/>
  <c r="J28" i="7"/>
  <c r="F28" i="7"/>
  <c r="BP28" i="7" s="1"/>
  <c r="K29" i="7"/>
  <c r="J29" i="7"/>
  <c r="F29" i="7"/>
  <c r="BP29" i="7" s="1"/>
  <c r="K30" i="7"/>
  <c r="BQ30" i="7"/>
  <c r="J30" i="7"/>
  <c r="F30" i="7"/>
  <c r="BP30" i="7" s="1"/>
  <c r="BQ31" i="7"/>
  <c r="K31" i="7"/>
  <c r="J31" i="7"/>
  <c r="F31" i="7"/>
  <c r="BP31" i="7" s="1"/>
  <c r="BQ32" i="7"/>
  <c r="K32" i="7"/>
  <c r="J32" i="7"/>
  <c r="F32" i="7"/>
  <c r="BP32" i="7" s="1"/>
  <c r="BQ33" i="7"/>
  <c r="K33" i="7"/>
  <c r="J33" i="7"/>
  <c r="F33" i="7"/>
  <c r="BP33" i="7" s="1"/>
  <c r="BQ34" i="7"/>
  <c r="K34" i="7"/>
  <c r="J34" i="7"/>
  <c r="F34" i="7"/>
  <c r="BP34" i="7" s="1"/>
  <c r="BQ35" i="7"/>
  <c r="K35" i="7"/>
  <c r="J35" i="7"/>
  <c r="F35" i="7"/>
  <c r="BP35" i="7" s="1"/>
  <c r="BQ36" i="7"/>
  <c r="K36" i="7"/>
  <c r="J36" i="7"/>
  <c r="F36" i="7"/>
  <c r="BP36" i="7" s="1"/>
  <c r="BQ37" i="7"/>
  <c r="K37" i="7"/>
  <c r="J37" i="7"/>
  <c r="F37" i="7"/>
  <c r="BP37" i="7" s="1"/>
  <c r="BQ38" i="7"/>
  <c r="K38" i="7"/>
  <c r="J38" i="7"/>
  <c r="F38" i="7"/>
  <c r="BP38" i="7" s="1"/>
  <c r="BQ39" i="7"/>
  <c r="K39" i="7"/>
  <c r="J39" i="7"/>
  <c r="F39" i="7"/>
  <c r="BP39" i="7" s="1"/>
  <c r="BQ40" i="7"/>
  <c r="K40" i="7"/>
  <c r="J40" i="7"/>
  <c r="F40" i="7"/>
  <c r="BP40" i="7" s="1"/>
  <c r="BQ41" i="7"/>
  <c r="K41" i="7"/>
  <c r="J41" i="7"/>
  <c r="F41" i="7"/>
  <c r="BP41" i="7" s="1"/>
  <c r="BQ42" i="7"/>
  <c r="K42" i="7"/>
  <c r="J42" i="7"/>
  <c r="F42" i="7"/>
  <c r="BP42" i="7" s="1"/>
  <c r="BQ43" i="7"/>
  <c r="K43" i="7"/>
  <c r="J43" i="7"/>
  <c r="F43" i="7"/>
  <c r="BP43" i="7" s="1"/>
  <c r="BQ44" i="7"/>
  <c r="K44" i="7"/>
  <c r="J44" i="7"/>
  <c r="F44" i="7"/>
  <c r="BP44" i="7" s="1"/>
  <c r="BQ45" i="7"/>
  <c r="K45" i="7"/>
  <c r="J45" i="7"/>
  <c r="F45" i="7"/>
  <c r="BP45" i="7" s="1"/>
  <c r="K46" i="7"/>
  <c r="J46" i="7"/>
  <c r="F46" i="7"/>
  <c r="BP46" i="7" s="1"/>
  <c r="BQ47" i="7"/>
  <c r="K47" i="7"/>
  <c r="J47" i="7"/>
  <c r="F47" i="7"/>
  <c r="BP47" i="7" s="1"/>
  <c r="BQ48" i="7"/>
  <c r="K48" i="7"/>
  <c r="J48" i="7"/>
  <c r="F48" i="7"/>
  <c r="BP48" i="7" s="1"/>
  <c r="BQ49" i="7"/>
  <c r="K49" i="7"/>
  <c r="J49" i="7"/>
  <c r="F49" i="7"/>
  <c r="BP49" i="7" s="1"/>
  <c r="BQ50" i="7"/>
  <c r="K50" i="7"/>
  <c r="J50" i="7"/>
  <c r="F50" i="7"/>
  <c r="BP50" i="7" s="1"/>
  <c r="BQ51" i="7"/>
  <c r="K51" i="7"/>
  <c r="J51" i="7"/>
  <c r="F51" i="7"/>
  <c r="BP51" i="7" s="1"/>
  <c r="BQ52" i="7"/>
  <c r="K52" i="7"/>
  <c r="J52" i="7"/>
  <c r="F52" i="7"/>
  <c r="BP52" i="7" s="1"/>
  <c r="BQ53" i="7"/>
  <c r="K53" i="7"/>
  <c r="J53" i="7"/>
  <c r="F53" i="7"/>
  <c r="BP53" i="7" s="1"/>
  <c r="BQ54" i="7"/>
  <c r="K54" i="7"/>
  <c r="J54" i="7"/>
  <c r="F54" i="7"/>
  <c r="BP54" i="7" s="1"/>
  <c r="BQ55" i="7"/>
  <c r="K55" i="7"/>
  <c r="J55" i="7"/>
  <c r="F55" i="7"/>
  <c r="BP55" i="7" s="1"/>
  <c r="BQ56" i="7"/>
  <c r="K56" i="7"/>
  <c r="J56" i="7"/>
  <c r="F56" i="7"/>
  <c r="BP56" i="7" s="1"/>
  <c r="BQ57" i="7"/>
  <c r="K57" i="7"/>
  <c r="J57" i="7"/>
  <c r="F57" i="7"/>
  <c r="BP57" i="7" s="1"/>
  <c r="BQ58" i="7"/>
  <c r="K58" i="7"/>
  <c r="J58" i="7"/>
  <c r="F58" i="7"/>
  <c r="BP58" i="7" s="1"/>
  <c r="BQ59" i="7"/>
  <c r="K59" i="7"/>
  <c r="J59" i="7"/>
  <c r="F59" i="7"/>
  <c r="BP59" i="7" s="1"/>
  <c r="BQ60" i="7"/>
  <c r="K60" i="7"/>
  <c r="J60" i="7"/>
  <c r="F60" i="7"/>
  <c r="BP60" i="7" s="1"/>
  <c r="K61" i="7"/>
  <c r="J61" i="7"/>
  <c r="F61" i="7"/>
  <c r="BP61" i="7" s="1"/>
  <c r="K62" i="7"/>
  <c r="BQ62" i="7"/>
  <c r="J62" i="7"/>
  <c r="F62" i="7"/>
  <c r="BP62" i="7" s="1"/>
  <c r="BQ63" i="7"/>
  <c r="K63" i="7"/>
  <c r="J63" i="7"/>
  <c r="F63" i="7"/>
  <c r="BP63" i="7" s="1"/>
  <c r="BQ64" i="7"/>
  <c r="K64" i="7"/>
  <c r="J64" i="7"/>
  <c r="F64" i="7"/>
  <c r="BP64" i="7" s="1"/>
  <c r="BQ65" i="7"/>
  <c r="K65" i="7"/>
  <c r="J65" i="7"/>
  <c r="F65" i="7"/>
  <c r="BP65" i="7" s="1"/>
  <c r="BQ66" i="7"/>
  <c r="K66" i="7"/>
  <c r="J66" i="7"/>
  <c r="F66" i="7"/>
  <c r="BP66" i="7" s="1"/>
  <c r="BQ67" i="7"/>
  <c r="K67" i="7"/>
  <c r="J67" i="7"/>
  <c r="F67" i="7"/>
  <c r="BP67" i="7" s="1"/>
  <c r="BQ68" i="7"/>
  <c r="K68" i="7"/>
  <c r="J68" i="7"/>
  <c r="F68" i="7"/>
  <c r="BP68" i="7" s="1"/>
  <c r="BQ69" i="7"/>
  <c r="K69" i="7"/>
  <c r="J69" i="7"/>
  <c r="F69" i="7"/>
  <c r="BP69" i="7" s="1"/>
  <c r="BQ70" i="7"/>
  <c r="K70" i="7"/>
  <c r="J70" i="7"/>
  <c r="F70" i="7"/>
  <c r="BP70" i="7" s="1"/>
  <c r="BQ71" i="7"/>
  <c r="K71" i="7"/>
  <c r="J71" i="7"/>
  <c r="F71" i="7"/>
  <c r="BP71" i="7" s="1"/>
  <c r="BQ72" i="7"/>
  <c r="K72" i="7"/>
  <c r="J72" i="7"/>
  <c r="F72" i="7"/>
  <c r="BP72" i="7" s="1"/>
  <c r="BQ73" i="7"/>
  <c r="K73" i="7"/>
  <c r="J73" i="7"/>
  <c r="F73" i="7"/>
  <c r="BP73" i="7" s="1"/>
  <c r="BQ74" i="7"/>
  <c r="K74" i="7"/>
  <c r="J74" i="7"/>
  <c r="F74" i="7"/>
  <c r="BP74" i="7" s="1"/>
  <c r="BQ75" i="7"/>
  <c r="K75" i="7"/>
  <c r="J75" i="7"/>
  <c r="F75" i="7"/>
  <c r="BP75" i="7" s="1"/>
  <c r="BQ76" i="7"/>
  <c r="K76" i="7"/>
  <c r="J76" i="7"/>
  <c r="F76" i="7"/>
  <c r="BP76" i="7" s="1"/>
  <c r="BQ77" i="7"/>
  <c r="K77" i="7"/>
  <c r="J77" i="7"/>
  <c r="F77" i="7"/>
  <c r="BP77" i="7" s="1"/>
  <c r="K78" i="7"/>
  <c r="J78" i="7"/>
  <c r="F78" i="7"/>
  <c r="BP78" i="7" s="1"/>
  <c r="BQ79" i="7"/>
  <c r="K79" i="7"/>
  <c r="J79" i="7"/>
  <c r="F79" i="7"/>
  <c r="BP79" i="7" s="1"/>
  <c r="BQ80" i="7"/>
  <c r="K80" i="7"/>
  <c r="J80" i="7"/>
  <c r="F80" i="7"/>
  <c r="BP80" i="7" s="1"/>
  <c r="BQ81" i="7"/>
  <c r="K81" i="7"/>
  <c r="J81" i="7"/>
  <c r="F81" i="7"/>
  <c r="BP81" i="7" s="1"/>
  <c r="BQ82" i="7"/>
  <c r="K82" i="7"/>
  <c r="J82" i="7"/>
  <c r="F82" i="7"/>
  <c r="BP82" i="7" s="1"/>
  <c r="BQ83" i="7"/>
  <c r="K83" i="7"/>
  <c r="J83" i="7"/>
  <c r="F83" i="7"/>
  <c r="BP83" i="7" s="1"/>
  <c r="BQ103" i="7"/>
  <c r="K103" i="7"/>
  <c r="J103" i="7"/>
  <c r="F103" i="7"/>
  <c r="BP103" i="7" s="1"/>
  <c r="I103" i="7"/>
  <c r="H103" i="7"/>
  <c r="BQ105" i="7"/>
  <c r="K105" i="7"/>
  <c r="J105" i="7"/>
  <c r="F105" i="7"/>
  <c r="BP105" i="7" s="1"/>
  <c r="I105" i="7"/>
  <c r="H105" i="7"/>
  <c r="BQ107" i="7"/>
  <c r="K107" i="7"/>
  <c r="J107" i="7"/>
  <c r="F107" i="7"/>
  <c r="BP107" i="7" s="1"/>
  <c r="I107" i="7"/>
  <c r="H107" i="7"/>
  <c r="K109" i="7"/>
  <c r="J109" i="7"/>
  <c r="F109" i="7"/>
  <c r="BP109" i="7" s="1"/>
  <c r="BQ109" i="7"/>
  <c r="I109" i="7"/>
  <c r="H109" i="7"/>
  <c r="BQ111" i="7"/>
  <c r="K111" i="7"/>
  <c r="J111" i="7"/>
  <c r="F111" i="7"/>
  <c r="BP111" i="7" s="1"/>
  <c r="I111" i="7"/>
  <c r="H111" i="7"/>
  <c r="BQ113" i="7"/>
  <c r="K113" i="7"/>
  <c r="J113" i="7"/>
  <c r="F113" i="7"/>
  <c r="BP113" i="7" s="1"/>
  <c r="I113" i="7"/>
  <c r="H113" i="7"/>
  <c r="BQ115" i="7"/>
  <c r="I115" i="7"/>
  <c r="E115" i="7"/>
  <c r="H115" i="7"/>
  <c r="K115" i="7"/>
  <c r="J115" i="7"/>
  <c r="I137" i="7"/>
  <c r="E137" i="7"/>
  <c r="BQ137" i="7"/>
  <c r="H137" i="7"/>
  <c r="J137" i="7"/>
  <c r="F137" i="7"/>
  <c r="BP137" i="7" s="1"/>
  <c r="I141" i="7"/>
  <c r="E141" i="7"/>
  <c r="H141" i="7"/>
  <c r="BQ141" i="7"/>
  <c r="J141" i="7"/>
  <c r="F141" i="7"/>
  <c r="BP141" i="7" s="1"/>
  <c r="BQ147" i="7"/>
  <c r="I147" i="7"/>
  <c r="E147" i="7"/>
  <c r="H147" i="7"/>
  <c r="K147" i="7"/>
  <c r="J147" i="7"/>
  <c r="K149" i="7"/>
  <c r="F155" i="7"/>
  <c r="BP155" i="7" s="1"/>
  <c r="BQ78" i="7"/>
  <c r="BQ119" i="7"/>
  <c r="I119" i="7"/>
  <c r="E119" i="7"/>
  <c r="H119" i="7"/>
  <c r="BQ127" i="7"/>
  <c r="I127" i="7"/>
  <c r="E127" i="7"/>
  <c r="H127" i="7"/>
  <c r="BQ135" i="7"/>
  <c r="I135" i="7"/>
  <c r="E135" i="7"/>
  <c r="H135" i="7"/>
  <c r="BQ143" i="7"/>
  <c r="I143" i="7"/>
  <c r="E143" i="7"/>
  <c r="H143" i="7"/>
  <c r="BQ151" i="7"/>
  <c r="I151" i="7"/>
  <c r="E151" i="7"/>
  <c r="H151" i="7"/>
  <c r="I194" i="7"/>
  <c r="E194" i="7"/>
  <c r="BQ194" i="7"/>
  <c r="K194" i="7"/>
  <c r="F194" i="7"/>
  <c r="BP194" i="7" s="1"/>
  <c r="J194" i="7"/>
  <c r="H194" i="7"/>
  <c r="I202" i="7"/>
  <c r="E202" i="7"/>
  <c r="H202" i="7"/>
  <c r="BQ202" i="7"/>
  <c r="F202" i="7"/>
  <c r="BP202" i="7" s="1"/>
  <c r="K202" i="7"/>
  <c r="J202" i="7"/>
  <c r="BQ84" i="7"/>
  <c r="K84" i="7"/>
  <c r="I84" i="7"/>
  <c r="BQ86" i="7"/>
  <c r="K86" i="7"/>
  <c r="I86" i="7"/>
  <c r="BQ88" i="7"/>
  <c r="K88" i="7"/>
  <c r="I88" i="7"/>
  <c r="BQ90" i="7"/>
  <c r="K90" i="7"/>
  <c r="I90" i="7"/>
  <c r="BQ92" i="7"/>
  <c r="K92" i="7"/>
  <c r="I92" i="7"/>
  <c r="K94" i="7"/>
  <c r="I94" i="7"/>
  <c r="BQ96" i="7"/>
  <c r="K96" i="7"/>
  <c r="I96" i="7"/>
  <c r="BQ98" i="7"/>
  <c r="K98" i="7"/>
  <c r="I98" i="7"/>
  <c r="BQ100" i="7"/>
  <c r="K100" i="7"/>
  <c r="I100" i="7"/>
  <c r="BQ102" i="7"/>
  <c r="K102" i="7"/>
  <c r="J102" i="7"/>
  <c r="I102" i="7"/>
  <c r="I117" i="7"/>
  <c r="E117" i="7"/>
  <c r="H117" i="7"/>
  <c r="BQ117" i="7"/>
  <c r="F119" i="7"/>
  <c r="BP119" i="7" s="1"/>
  <c r="I125" i="7"/>
  <c r="E125" i="7"/>
  <c r="H125" i="7"/>
  <c r="F127" i="7"/>
  <c r="BP127" i="7" s="1"/>
  <c r="I133" i="7"/>
  <c r="E133" i="7"/>
  <c r="H133" i="7"/>
  <c r="BQ133" i="7"/>
  <c r="F135" i="7"/>
  <c r="BP135" i="7" s="1"/>
  <c r="F143" i="7"/>
  <c r="BP143" i="7" s="1"/>
  <c r="I145" i="7"/>
  <c r="E145" i="7"/>
  <c r="BQ145" i="7"/>
  <c r="H145" i="7"/>
  <c r="F151" i="7"/>
  <c r="BP151" i="7" s="1"/>
  <c r="I153" i="7"/>
  <c r="E153" i="7"/>
  <c r="BQ153" i="7"/>
  <c r="H153" i="7"/>
  <c r="BQ196" i="7"/>
  <c r="I196" i="7"/>
  <c r="E196" i="7"/>
  <c r="K196" i="7"/>
  <c r="F196" i="7"/>
  <c r="BP196" i="7" s="1"/>
  <c r="J196" i="7"/>
  <c r="BQ116" i="7"/>
  <c r="I116" i="7"/>
  <c r="E116" i="7"/>
  <c r="J116" i="7"/>
  <c r="I118" i="7"/>
  <c r="E118" i="7"/>
  <c r="J118" i="7"/>
  <c r="BQ120" i="7"/>
  <c r="I120" i="7"/>
  <c r="E120" i="7"/>
  <c r="J120" i="7"/>
  <c r="BQ122" i="7"/>
  <c r="I122" i="7"/>
  <c r="E122" i="7"/>
  <c r="J122" i="7"/>
  <c r="BQ124" i="7"/>
  <c r="I124" i="7"/>
  <c r="E124" i="7"/>
  <c r="J124" i="7"/>
  <c r="I126" i="7"/>
  <c r="E126" i="7"/>
  <c r="J126" i="7"/>
  <c r="BQ128" i="7"/>
  <c r="I128" i="7"/>
  <c r="E128" i="7"/>
  <c r="J128" i="7"/>
  <c r="BQ130" i="7"/>
  <c r="I130" i="7"/>
  <c r="E130" i="7"/>
  <c r="J130" i="7"/>
  <c r="BQ132" i="7"/>
  <c r="I132" i="7"/>
  <c r="E132" i="7"/>
  <c r="J132" i="7"/>
  <c r="I134" i="7"/>
  <c r="E134" i="7"/>
  <c r="J134" i="7"/>
  <c r="BQ136" i="7"/>
  <c r="I136" i="7"/>
  <c r="E136" i="7"/>
  <c r="J136" i="7"/>
  <c r="BQ138" i="7"/>
  <c r="I138" i="7"/>
  <c r="E138" i="7"/>
  <c r="J138" i="7"/>
  <c r="BQ140" i="7"/>
  <c r="I140" i="7"/>
  <c r="E140" i="7"/>
  <c r="J140" i="7"/>
  <c r="I142" i="7"/>
  <c r="E142" i="7"/>
  <c r="J142" i="7"/>
  <c r="BQ144" i="7"/>
  <c r="I144" i="7"/>
  <c r="E144" i="7"/>
  <c r="J144" i="7"/>
  <c r="BQ146" i="7"/>
  <c r="I146" i="7"/>
  <c r="E146" i="7"/>
  <c r="J146" i="7"/>
  <c r="BQ148" i="7"/>
  <c r="I148" i="7"/>
  <c r="E148" i="7"/>
  <c r="J148" i="7"/>
  <c r="I150" i="7"/>
  <c r="E150" i="7"/>
  <c r="J150" i="7"/>
  <c r="BQ152" i="7"/>
  <c r="I152" i="7"/>
  <c r="E152" i="7"/>
  <c r="J152" i="7"/>
  <c r="BQ154" i="7"/>
  <c r="I154" i="7"/>
  <c r="E154" i="7"/>
  <c r="J154" i="7"/>
  <c r="BQ192" i="7"/>
  <c r="I192" i="7"/>
  <c r="E192" i="7"/>
  <c r="K192" i="7"/>
  <c r="F192" i="7"/>
  <c r="BP192" i="7" s="1"/>
  <c r="BQ200" i="7"/>
  <c r="I200" i="7"/>
  <c r="E200" i="7"/>
  <c r="K200" i="7"/>
  <c r="F200" i="7"/>
  <c r="BP200" i="7" s="1"/>
  <c r="F116" i="7"/>
  <c r="BP116" i="7" s="1"/>
  <c r="K116" i="7"/>
  <c r="F118" i="7"/>
  <c r="BP118" i="7" s="1"/>
  <c r="K118" i="7"/>
  <c r="F120" i="7"/>
  <c r="BP120" i="7" s="1"/>
  <c r="K120" i="7"/>
  <c r="F122" i="7"/>
  <c r="BP122" i="7" s="1"/>
  <c r="K122" i="7"/>
  <c r="F124" i="7"/>
  <c r="BP124" i="7" s="1"/>
  <c r="K124" i="7"/>
  <c r="F126" i="7"/>
  <c r="BP126" i="7" s="1"/>
  <c r="K126" i="7"/>
  <c r="F128" i="7"/>
  <c r="BP128" i="7" s="1"/>
  <c r="K128" i="7"/>
  <c r="F130" i="7"/>
  <c r="BP130" i="7" s="1"/>
  <c r="K130" i="7"/>
  <c r="F132" i="7"/>
  <c r="BP132" i="7" s="1"/>
  <c r="K132" i="7"/>
  <c r="F134" i="7"/>
  <c r="BP134" i="7" s="1"/>
  <c r="K134" i="7"/>
  <c r="F136" i="7"/>
  <c r="BP136" i="7" s="1"/>
  <c r="K136" i="7"/>
  <c r="F138" i="7"/>
  <c r="BP138" i="7" s="1"/>
  <c r="K138" i="7"/>
  <c r="I190" i="7"/>
  <c r="E190" i="7"/>
  <c r="K190" i="7"/>
  <c r="F190" i="7"/>
  <c r="BP190" i="7" s="1"/>
  <c r="H192" i="7"/>
  <c r="I198" i="7"/>
  <c r="E198" i="7"/>
  <c r="K198" i="7"/>
  <c r="F198" i="7"/>
  <c r="BP198" i="7" s="1"/>
  <c r="H200" i="7"/>
  <c r="BQ118" i="7"/>
  <c r="BQ134" i="7"/>
  <c r="BQ150" i="7"/>
  <c r="BQ198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3" i="7"/>
  <c r="H184" i="7"/>
  <c r="H185" i="7"/>
  <c r="H186" i="7"/>
  <c r="H187" i="7"/>
  <c r="H188" i="7"/>
  <c r="H189" i="7"/>
  <c r="H193" i="7"/>
  <c r="H201" i="7"/>
  <c r="BQ161" i="7"/>
  <c r="BQ169" i="7"/>
  <c r="BQ177" i="7"/>
  <c r="E156" i="7"/>
  <c r="I156" i="7"/>
  <c r="E157" i="7"/>
  <c r="E158" i="7"/>
  <c r="E159" i="7"/>
  <c r="I159" i="7"/>
  <c r="E160" i="7"/>
  <c r="I160" i="7"/>
  <c r="E161" i="7"/>
  <c r="E162" i="7"/>
  <c r="I162" i="7"/>
  <c r="E163" i="7"/>
  <c r="I163" i="7"/>
  <c r="E164" i="7"/>
  <c r="I164" i="7"/>
  <c r="E165" i="7"/>
  <c r="E166" i="7"/>
  <c r="E167" i="7"/>
  <c r="I167" i="7"/>
  <c r="E168" i="7"/>
  <c r="I168" i="7"/>
  <c r="E169" i="7"/>
  <c r="E170" i="7"/>
  <c r="I170" i="7"/>
  <c r="E171" i="7"/>
  <c r="I171" i="7"/>
  <c r="E172" i="7"/>
  <c r="I172" i="7"/>
  <c r="E173" i="7"/>
  <c r="E174" i="7"/>
  <c r="E175" i="7"/>
  <c r="I175" i="7"/>
  <c r="E176" i="7"/>
  <c r="I176" i="7"/>
  <c r="E177" i="7"/>
  <c r="E178" i="7"/>
  <c r="I178" i="7"/>
  <c r="E179" i="7"/>
  <c r="I179" i="7"/>
  <c r="I191" i="7"/>
  <c r="E191" i="7"/>
  <c r="BQ191" i="7"/>
  <c r="J191" i="7"/>
  <c r="I193" i="7"/>
  <c r="E193" i="7"/>
  <c r="J193" i="7"/>
  <c r="I195" i="7"/>
  <c r="E195" i="7"/>
  <c r="BQ195" i="7"/>
  <c r="J195" i="7"/>
  <c r="I197" i="7"/>
  <c r="E197" i="7"/>
  <c r="J197" i="7"/>
  <c r="I199" i="7"/>
  <c r="E199" i="7"/>
  <c r="BQ199" i="7"/>
  <c r="J199" i="7"/>
  <c r="I201" i="7"/>
  <c r="E201" i="7"/>
  <c r="J201" i="7"/>
  <c r="H203" i="7"/>
  <c r="H204" i="7"/>
  <c r="H205" i="7"/>
  <c r="H206" i="7"/>
  <c r="BQ203" i="7"/>
  <c r="E203" i="7"/>
  <c r="E204" i="7"/>
  <c r="I204" i="7"/>
  <c r="E205" i="7"/>
  <c r="E206" i="7"/>
  <c r="N119" i="7"/>
  <c r="AV119" i="7" s="1"/>
  <c r="M127" i="7"/>
  <c r="M143" i="7"/>
  <c r="N121" i="7"/>
  <c r="Q121" i="7" s="1"/>
  <c r="M141" i="7"/>
  <c r="M185" i="7"/>
  <c r="N135" i="7"/>
  <c r="AP135" i="7" s="1"/>
  <c r="N41" i="7"/>
  <c r="AP41" i="7" s="1"/>
  <c r="M137" i="7"/>
  <c r="O133" i="7"/>
  <c r="R133" i="7" s="1"/>
  <c r="N39" i="7"/>
  <c r="AP39" i="7" s="1"/>
  <c r="CG43" i="7"/>
  <c r="CG45" i="7"/>
  <c r="CG47" i="7"/>
  <c r="CG49" i="7"/>
  <c r="CG51" i="7"/>
  <c r="CG53" i="7"/>
  <c r="CG55" i="7"/>
  <c r="CG57" i="7"/>
  <c r="CG59" i="7"/>
  <c r="CG61" i="7"/>
  <c r="CG63" i="7"/>
  <c r="CG65" i="7"/>
  <c r="CG67" i="7"/>
  <c r="CG69" i="7"/>
  <c r="CG71" i="7"/>
  <c r="CG73" i="7"/>
  <c r="CG75" i="7"/>
  <c r="CG77" i="7"/>
  <c r="CG81" i="7"/>
  <c r="CG83" i="7"/>
  <c r="CG85" i="7"/>
  <c r="CG87" i="7"/>
  <c r="CG89" i="7"/>
  <c r="CG91" i="7"/>
  <c r="CG93" i="7"/>
  <c r="CG23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8" i="7"/>
  <c r="CG40" i="7"/>
  <c r="CG42" i="7"/>
  <c r="CG44" i="7"/>
  <c r="CG46" i="7"/>
  <c r="CG48" i="7"/>
  <c r="CG50" i="7"/>
  <c r="CG52" i="7"/>
  <c r="CG95" i="7"/>
  <c r="CG97" i="7"/>
  <c r="CG99" i="7"/>
  <c r="CG101" i="7"/>
  <c r="CG103" i="7"/>
  <c r="CG105" i="7"/>
  <c r="CG107" i="7"/>
  <c r="CG109" i="7"/>
  <c r="CG111" i="7"/>
  <c r="CG113" i="7"/>
  <c r="CG115" i="7"/>
  <c r="CG54" i="7"/>
  <c r="CG56" i="7"/>
  <c r="CG58" i="7"/>
  <c r="CG60" i="7"/>
  <c r="CG62" i="7"/>
  <c r="CG64" i="7"/>
  <c r="CG68" i="7"/>
  <c r="CG74" i="7"/>
  <c r="CG76" i="7"/>
  <c r="BL197" i="7"/>
  <c r="BL201" i="7"/>
  <c r="BL205" i="7"/>
  <c r="CG153" i="7"/>
  <c r="CG155" i="7"/>
  <c r="CG157" i="7"/>
  <c r="CG159" i="7"/>
  <c r="CG161" i="7"/>
  <c r="CG187" i="7"/>
  <c r="CG189" i="7"/>
  <c r="CG191" i="7"/>
  <c r="CG193" i="7"/>
  <c r="CG124" i="7"/>
  <c r="CG126" i="7"/>
  <c r="CG164" i="7"/>
  <c r="CG166" i="7"/>
  <c r="CG168" i="7"/>
  <c r="CG170" i="7"/>
  <c r="CG172" i="7"/>
  <c r="CG174" i="7"/>
  <c r="CG176" i="7"/>
  <c r="CG178" i="7"/>
  <c r="CG180" i="7"/>
  <c r="CG182" i="7"/>
  <c r="CG184" i="7"/>
  <c r="CG198" i="7"/>
  <c r="CG22" i="7"/>
  <c r="CG24" i="7"/>
  <c r="BL70" i="7"/>
  <c r="BL80" i="7"/>
  <c r="BL82" i="7"/>
  <c r="BL84" i="7"/>
  <c r="BL88" i="7"/>
  <c r="BL90" i="7"/>
  <c r="BL92" i="7"/>
  <c r="BL96" i="7"/>
  <c r="BL98" i="7"/>
  <c r="BL100" i="7"/>
  <c r="BL104" i="7"/>
  <c r="BL106" i="7"/>
  <c r="BL108" i="7"/>
  <c r="BL112" i="7"/>
  <c r="BL114" i="7"/>
  <c r="BL116" i="7"/>
  <c r="BL120" i="7"/>
  <c r="BL122" i="7"/>
  <c r="BL128" i="7"/>
  <c r="BL132" i="7"/>
  <c r="BL134" i="7"/>
  <c r="BL136" i="7"/>
  <c r="BL140" i="7"/>
  <c r="BL152" i="7"/>
  <c r="BL156" i="7"/>
  <c r="BL188" i="7"/>
  <c r="BL192" i="7"/>
  <c r="N24" i="7"/>
  <c r="N30" i="7"/>
  <c r="AC30" i="7" s="1"/>
  <c r="N32" i="7"/>
  <c r="AL32" i="7" s="1"/>
  <c r="O36" i="7"/>
  <c r="N38" i="7"/>
  <c r="AC38" i="7" s="1"/>
  <c r="M44" i="7"/>
  <c r="M46" i="7"/>
  <c r="M52" i="7"/>
  <c r="N54" i="7"/>
  <c r="O56" i="7"/>
  <c r="AQ56" i="7" s="1"/>
  <c r="N60" i="7"/>
  <c r="AP60" i="7" s="1"/>
  <c r="N62" i="7"/>
  <c r="AC62" i="7" s="1"/>
  <c r="M64" i="7"/>
  <c r="M68" i="7"/>
  <c r="N70" i="7"/>
  <c r="N76" i="7"/>
  <c r="AC76" i="7" s="1"/>
  <c r="N78" i="7"/>
  <c r="AP78" i="7" s="1"/>
  <c r="N84" i="7"/>
  <c r="AP84" i="7" s="1"/>
  <c r="M86" i="7"/>
  <c r="M88" i="7"/>
  <c r="O92" i="7"/>
  <c r="O94" i="7"/>
  <c r="AQ94" i="7" s="1"/>
  <c r="O98" i="7"/>
  <c r="AQ98" i="7" s="1"/>
  <c r="N100" i="7"/>
  <c r="AP100" i="7" s="1"/>
  <c r="N102" i="7"/>
  <c r="AP102" i="7" s="1"/>
  <c r="M108" i="7"/>
  <c r="N110" i="7"/>
  <c r="AP110" i="7" s="1"/>
  <c r="M116" i="7"/>
  <c r="O118" i="7"/>
  <c r="R118" i="7" s="1"/>
  <c r="M122" i="7"/>
  <c r="N124" i="7"/>
  <c r="AP124" i="7" s="1"/>
  <c r="M126" i="7"/>
  <c r="M130" i="7"/>
  <c r="N132" i="7"/>
  <c r="N134" i="7"/>
  <c r="N136" i="7"/>
  <c r="N140" i="7"/>
  <c r="M142" i="7"/>
  <c r="N148" i="7"/>
  <c r="N150" i="7"/>
  <c r="N152" i="7"/>
  <c r="AL152" i="7" s="1"/>
  <c r="O154" i="7"/>
  <c r="AQ154" i="7" s="1"/>
  <c r="N156" i="7"/>
  <c r="AP156" i="7" s="1"/>
  <c r="N158" i="7"/>
  <c r="AP158" i="7" s="1"/>
  <c r="O160" i="7"/>
  <c r="AQ160" i="7" s="1"/>
  <c r="O164" i="7"/>
  <c r="AD164" i="7" s="1"/>
  <c r="N166" i="7"/>
  <c r="AV166" i="7" s="1"/>
  <c r="M168" i="7"/>
  <c r="M170" i="7"/>
  <c r="M172" i="7"/>
  <c r="M174" i="7"/>
  <c r="N178" i="7"/>
  <c r="AC178" i="7" s="1"/>
  <c r="O180" i="7"/>
  <c r="AD180" i="7" s="1"/>
  <c r="N182" i="7"/>
  <c r="AL182" i="7" s="1"/>
  <c r="N186" i="7"/>
  <c r="N188" i="7"/>
  <c r="O190" i="7"/>
  <c r="AQ190" i="7" s="1"/>
  <c r="N196" i="7"/>
  <c r="AP196" i="7" s="1"/>
  <c r="M198" i="7"/>
  <c r="N200" i="7"/>
  <c r="AL200" i="7" s="1"/>
  <c r="O202" i="7"/>
  <c r="AM202" i="7" s="1"/>
  <c r="O204" i="7"/>
  <c r="AD204" i="7" s="1"/>
  <c r="O206" i="7"/>
  <c r="AD206" i="7" s="1"/>
  <c r="O23" i="7"/>
  <c r="N25" i="7"/>
  <c r="O27" i="7"/>
  <c r="AQ27" i="7" s="1"/>
  <c r="N31" i="7"/>
  <c r="AP31" i="7" s="1"/>
  <c r="N35" i="7"/>
  <c r="AC35" i="7" s="1"/>
  <c r="N47" i="7"/>
  <c r="AP47" i="7" s="1"/>
  <c r="N49" i="7"/>
  <c r="Q49" i="7" s="1"/>
  <c r="N55" i="7"/>
  <c r="AP55" i="7" s="1"/>
  <c r="M57" i="7"/>
  <c r="O61" i="7"/>
  <c r="O63" i="7"/>
  <c r="AQ63" i="7" s="1"/>
  <c r="M65" i="7"/>
  <c r="M69" i="7"/>
  <c r="N71" i="7"/>
  <c r="AV71" i="7" s="1"/>
  <c r="M73" i="7"/>
  <c r="N77" i="7"/>
  <c r="AC77" i="7" s="1"/>
  <c r="O79" i="7"/>
  <c r="AM79" i="7" s="1"/>
  <c r="O81" i="7"/>
  <c r="AM81" i="7" s="1"/>
  <c r="O85" i="7"/>
  <c r="AQ85" i="7" s="1"/>
  <c r="M87" i="7"/>
  <c r="M89" i="7"/>
  <c r="M95" i="7"/>
  <c r="O97" i="7"/>
  <c r="AQ97" i="7" s="1"/>
  <c r="M101" i="7"/>
  <c r="M103" i="7"/>
  <c r="O105" i="7"/>
  <c r="AM105" i="7" s="1"/>
  <c r="O107" i="7"/>
  <c r="M111" i="7"/>
  <c r="N113" i="7"/>
  <c r="AP113" i="7" s="1"/>
  <c r="N129" i="7"/>
  <c r="AP129" i="7" s="1"/>
  <c r="N145" i="7"/>
  <c r="AV145" i="7" s="1"/>
  <c r="M151" i="7"/>
  <c r="M153" i="7"/>
  <c r="O155" i="7"/>
  <c r="AQ155" i="7" s="1"/>
  <c r="M157" i="7"/>
  <c r="M159" i="7"/>
  <c r="N161" i="7"/>
  <c r="AP161" i="7" s="1"/>
  <c r="M163" i="7"/>
  <c r="N165" i="7"/>
  <c r="AC165" i="7" s="1"/>
  <c r="M167" i="7"/>
  <c r="M169" i="7"/>
  <c r="O173" i="7"/>
  <c r="AM173" i="7" s="1"/>
  <c r="M175" i="7"/>
  <c r="O177" i="7"/>
  <c r="AQ177" i="7" s="1"/>
  <c r="N179" i="7"/>
  <c r="AP179" i="7" s="1"/>
  <c r="O181" i="7"/>
  <c r="AW181" i="7" s="1"/>
  <c r="O183" i="7"/>
  <c r="AD183" i="7" s="1"/>
  <c r="O187" i="7"/>
  <c r="AM187" i="7" s="1"/>
  <c r="N191" i="7"/>
  <c r="AC191" i="7" s="1"/>
  <c r="M193" i="7"/>
  <c r="M195" i="7"/>
  <c r="N197" i="7"/>
  <c r="AP197" i="7" s="1"/>
  <c r="M199" i="7"/>
  <c r="N201" i="7"/>
  <c r="AP201" i="7" s="1"/>
  <c r="N203" i="7"/>
  <c r="AC203" i="7" s="1"/>
  <c r="O205" i="7"/>
  <c r="AQ205" i="7" s="1"/>
  <c r="CG7" i="7"/>
  <c r="CG15" i="7"/>
  <c r="CG17" i="7"/>
  <c r="CG18" i="7"/>
  <c r="CG19" i="7"/>
  <c r="CG20" i="7"/>
  <c r="CG21" i="7"/>
  <c r="CG16" i="7"/>
  <c r="BL24" i="7"/>
  <c r="N46" i="7"/>
  <c r="AP46" i="7" s="1"/>
  <c r="CG9" i="7"/>
  <c r="CG13" i="7"/>
  <c r="CF4" i="7"/>
  <c r="CP10" i="7" s="1"/>
  <c r="Y5" i="7" a="1"/>
  <c r="Y5" i="7" s="1"/>
  <c r="BK17" i="7"/>
  <c r="CG11" i="7"/>
  <c r="BN32" i="7"/>
  <c r="BN36" i="7"/>
  <c r="BE44" i="7"/>
  <c r="BM48" i="7"/>
  <c r="BE52" i="7"/>
  <c r="BB60" i="7"/>
  <c r="BE64" i="7"/>
  <c r="BN68" i="7"/>
  <c r="BL72" i="7"/>
  <c r="BE76" i="7"/>
  <c r="BL78" i="7"/>
  <c r="BL86" i="7"/>
  <c r="BL94" i="7"/>
  <c r="BL102" i="7"/>
  <c r="BL110" i="7"/>
  <c r="CG123" i="7"/>
  <c r="BE126" i="7"/>
  <c r="BL130" i="7"/>
  <c r="BL144" i="7"/>
  <c r="BL148" i="7"/>
  <c r="BL160" i="7"/>
  <c r="N28" i="7"/>
  <c r="Q28" i="7" s="1"/>
  <c r="BN34" i="7"/>
  <c r="BN38" i="7"/>
  <c r="BM42" i="7"/>
  <c r="BD50" i="7"/>
  <c r="N52" i="7"/>
  <c r="AV52" i="7" s="1"/>
  <c r="BO54" i="7"/>
  <c r="BB58" i="7"/>
  <c r="BD66" i="7"/>
  <c r="BN74" i="7"/>
  <c r="BM124" i="7"/>
  <c r="CG66" i="7"/>
  <c r="BL66" i="7"/>
  <c r="CG72" i="7"/>
  <c r="BN72" i="7"/>
  <c r="CG78" i="7"/>
  <c r="BN78" i="7"/>
  <c r="CG82" i="7"/>
  <c r="BN82" i="7"/>
  <c r="CG86" i="7"/>
  <c r="BM86" i="7"/>
  <c r="CG90" i="7"/>
  <c r="BN90" i="7"/>
  <c r="CG94" i="7"/>
  <c r="BC94" i="7"/>
  <c r="CG98" i="7"/>
  <c r="BM98" i="7"/>
  <c r="CG102" i="7"/>
  <c r="BM102" i="7"/>
  <c r="CG106" i="7"/>
  <c r="BN106" i="7"/>
  <c r="CG110" i="7"/>
  <c r="BN110" i="7"/>
  <c r="CG114" i="7"/>
  <c r="BM114" i="7"/>
  <c r="BL118" i="7"/>
  <c r="BC118" i="7"/>
  <c r="CG120" i="7"/>
  <c r="BE120" i="7"/>
  <c r="CG130" i="7"/>
  <c r="BE130" i="7"/>
  <c r="CG134" i="7"/>
  <c r="BM134" i="7"/>
  <c r="CG138" i="7"/>
  <c r="BE138" i="7"/>
  <c r="BL138" i="7"/>
  <c r="CG146" i="7"/>
  <c r="BB146" i="7"/>
  <c r="BL146" i="7"/>
  <c r="CG154" i="7"/>
  <c r="BM154" i="7"/>
  <c r="BL154" i="7"/>
  <c r="CG162" i="7"/>
  <c r="BE162" i="7"/>
  <c r="BL162" i="7"/>
  <c r="CG190" i="7"/>
  <c r="BE190" i="7"/>
  <c r="BL190" i="7"/>
  <c r="CG203" i="7"/>
  <c r="BE203" i="7"/>
  <c r="BL203" i="7"/>
  <c r="AJ7" i="7"/>
  <c r="CG8" i="7"/>
  <c r="CG10" i="7"/>
  <c r="CG12" i="7"/>
  <c r="CG14" i="7"/>
  <c r="BL26" i="7"/>
  <c r="BL28" i="7"/>
  <c r="BL30" i="7"/>
  <c r="BL32" i="7"/>
  <c r="BL34" i="7"/>
  <c r="BL36" i="7"/>
  <c r="BL38" i="7"/>
  <c r="BL40" i="7"/>
  <c r="BL42" i="7"/>
  <c r="BL44" i="7"/>
  <c r="BL46" i="7"/>
  <c r="BL48" i="7"/>
  <c r="BL50" i="7"/>
  <c r="BL52" i="7"/>
  <c r="BL54" i="7"/>
  <c r="BL56" i="7"/>
  <c r="BL58" i="7"/>
  <c r="BL60" i="7"/>
  <c r="BL62" i="7"/>
  <c r="BL64" i="7"/>
  <c r="CG70" i="7"/>
  <c r="BC70" i="7"/>
  <c r="CG80" i="7"/>
  <c r="BC80" i="7"/>
  <c r="CG84" i="7"/>
  <c r="BO84" i="7"/>
  <c r="CG88" i="7"/>
  <c r="BC88" i="7"/>
  <c r="CG92" i="7"/>
  <c r="CG96" i="7"/>
  <c r="BC96" i="7"/>
  <c r="CG100" i="7"/>
  <c r="BE100" i="7"/>
  <c r="CG104" i="7"/>
  <c r="BC104" i="7"/>
  <c r="CG108" i="7"/>
  <c r="BE108" i="7"/>
  <c r="CG112" i="7"/>
  <c r="BC112" i="7"/>
  <c r="CG116" i="7"/>
  <c r="BM116" i="7"/>
  <c r="CG122" i="7"/>
  <c r="BC122" i="7"/>
  <c r="CG128" i="7"/>
  <c r="BE128" i="7"/>
  <c r="CG132" i="7"/>
  <c r="BC132" i="7"/>
  <c r="CG136" i="7"/>
  <c r="BE136" i="7"/>
  <c r="CG142" i="7"/>
  <c r="BD142" i="7"/>
  <c r="BL142" i="7"/>
  <c r="CG150" i="7"/>
  <c r="BC150" i="7"/>
  <c r="BL150" i="7"/>
  <c r="CG158" i="7"/>
  <c r="BN158" i="7"/>
  <c r="BL158" i="7"/>
  <c r="CG186" i="7"/>
  <c r="BM186" i="7"/>
  <c r="BL186" i="7"/>
  <c r="CG194" i="7"/>
  <c r="BD194" i="7"/>
  <c r="BL194" i="7"/>
  <c r="CG199" i="7"/>
  <c r="BD199" i="7"/>
  <c r="BL199" i="7"/>
  <c r="BL18" i="7"/>
  <c r="CG140" i="7"/>
  <c r="BB140" i="7"/>
  <c r="CG144" i="7"/>
  <c r="BN144" i="7"/>
  <c r="CG148" i="7"/>
  <c r="BB148" i="7"/>
  <c r="CG152" i="7"/>
  <c r="CG156" i="7"/>
  <c r="CG160" i="7"/>
  <c r="CG188" i="7"/>
  <c r="BM188" i="7"/>
  <c r="CG192" i="7"/>
  <c r="BM192" i="7"/>
  <c r="CG197" i="7"/>
  <c r="CG201" i="7"/>
  <c r="BM201" i="7"/>
  <c r="CG205" i="7"/>
  <c r="BM205" i="7"/>
  <c r="BL68" i="7"/>
  <c r="BL74" i="7"/>
  <c r="BL76" i="7"/>
  <c r="BL124" i="7"/>
  <c r="BL126" i="7"/>
  <c r="BL69" i="7"/>
  <c r="BE69" i="7"/>
  <c r="BL73" i="7"/>
  <c r="BC73" i="7"/>
  <c r="BL77" i="7"/>
  <c r="BD77" i="7"/>
  <c r="BK8" i="7"/>
  <c r="BK10" i="7"/>
  <c r="BK12" i="7"/>
  <c r="BL7" i="7"/>
  <c r="BL8" i="7"/>
  <c r="BL9" i="7"/>
  <c r="BL10" i="7"/>
  <c r="BL11" i="7"/>
  <c r="BL12" i="7"/>
  <c r="BL13" i="7"/>
  <c r="BL14" i="7"/>
  <c r="BL15" i="7"/>
  <c r="BL16" i="7"/>
  <c r="BL17" i="7"/>
  <c r="BK18" i="7"/>
  <c r="BL19" i="7"/>
  <c r="BK20" i="7"/>
  <c r="BL21" i="7"/>
  <c r="BK22" i="7"/>
  <c r="BL23" i="7"/>
  <c r="BK24" i="7"/>
  <c r="BM25" i="7"/>
  <c r="BL25" i="7"/>
  <c r="BK26" i="7"/>
  <c r="BC27" i="7"/>
  <c r="BL27" i="7"/>
  <c r="M28" i="7"/>
  <c r="O28" i="7"/>
  <c r="BK28" i="7"/>
  <c r="BB29" i="7"/>
  <c r="N29" i="7"/>
  <c r="AL29" i="7" s="1"/>
  <c r="BL29" i="7"/>
  <c r="BK30" i="7"/>
  <c r="BL31" i="7"/>
  <c r="M32" i="7"/>
  <c r="O32" i="7"/>
  <c r="BK32" i="7"/>
  <c r="BN33" i="7"/>
  <c r="N33" i="7"/>
  <c r="AP33" i="7" s="1"/>
  <c r="BL33" i="7"/>
  <c r="BK34" i="7"/>
  <c r="BO35" i="7"/>
  <c r="BL35" i="7"/>
  <c r="M36" i="7"/>
  <c r="BK36" i="7"/>
  <c r="BN37" i="7"/>
  <c r="BL37" i="7"/>
  <c r="BK38" i="7"/>
  <c r="BM39" i="7"/>
  <c r="BL39" i="7"/>
  <c r="BK40" i="7"/>
  <c r="BN41" i="7"/>
  <c r="BL41" i="7"/>
  <c r="BK42" i="7"/>
  <c r="BN43" i="7"/>
  <c r="BL43" i="7"/>
  <c r="BK44" i="7"/>
  <c r="BN45" i="7"/>
  <c r="N45" i="7"/>
  <c r="AC45" i="7" s="1"/>
  <c r="BL45" i="7"/>
  <c r="BK46" i="7"/>
  <c r="BE47" i="7"/>
  <c r="BL47" i="7"/>
  <c r="BK48" i="7"/>
  <c r="BM49" i="7"/>
  <c r="BL49" i="7"/>
  <c r="BK50" i="7"/>
  <c r="BE51" i="7"/>
  <c r="BL51" i="7"/>
  <c r="BK52" i="7"/>
  <c r="BO53" i="7"/>
  <c r="BL53" i="7"/>
  <c r="O54" i="7"/>
  <c r="AQ54" i="7" s="1"/>
  <c r="BK54" i="7"/>
  <c r="BB55" i="7"/>
  <c r="BL55" i="7"/>
  <c r="BK56" i="7"/>
  <c r="BL57" i="7"/>
  <c r="BK58" i="7"/>
  <c r="BC59" i="7"/>
  <c r="BL59" i="7"/>
  <c r="BK60" i="7"/>
  <c r="BM61" i="7"/>
  <c r="N61" i="7"/>
  <c r="AV61" i="7" s="1"/>
  <c r="BL61" i="7"/>
  <c r="BK62" i="7"/>
  <c r="BL63" i="7"/>
  <c r="BK64" i="7"/>
  <c r="BM65" i="7"/>
  <c r="N65" i="7"/>
  <c r="AP65" i="7" s="1"/>
  <c r="BL65" i="7"/>
  <c r="BK69" i="7"/>
  <c r="BK73" i="7"/>
  <c r="BK77" i="7"/>
  <c r="BL67" i="7"/>
  <c r="BB67" i="7"/>
  <c r="BL71" i="7"/>
  <c r="BD71" i="7"/>
  <c r="BL75" i="7"/>
  <c r="BE75" i="7"/>
  <c r="CG79" i="7"/>
  <c r="BK79" i="7"/>
  <c r="BL79" i="7"/>
  <c r="BK7" i="7"/>
  <c r="BK9" i="7"/>
  <c r="BK11" i="7"/>
  <c r="BK13" i="7"/>
  <c r="BK14" i="7"/>
  <c r="BK15" i="7"/>
  <c r="BK16" i="7"/>
  <c r="BK19" i="7"/>
  <c r="BL20" i="7"/>
  <c r="BK21" i="7"/>
  <c r="BL22" i="7"/>
  <c r="M23" i="7"/>
  <c r="BK23" i="7"/>
  <c r="BK25" i="7"/>
  <c r="BK27" i="7"/>
  <c r="M29" i="7"/>
  <c r="O29" i="7"/>
  <c r="BK29" i="7"/>
  <c r="M31" i="7"/>
  <c r="BK31" i="7"/>
  <c r="M33" i="7"/>
  <c r="O33" i="7"/>
  <c r="BK33" i="7"/>
  <c r="BK35" i="7"/>
  <c r="BK37" i="7"/>
  <c r="BK39" i="7"/>
  <c r="BK41" i="7"/>
  <c r="BK43" i="7"/>
  <c r="BK45" i="7"/>
  <c r="O47" i="7"/>
  <c r="BK47" i="7"/>
  <c r="BK49" i="7"/>
  <c r="BK51" i="7"/>
  <c r="BK53" i="7"/>
  <c r="BK55" i="7"/>
  <c r="BK57" i="7"/>
  <c r="BK59" i="7"/>
  <c r="M61" i="7"/>
  <c r="BK61" i="7"/>
  <c r="BK63" i="7"/>
  <c r="BK65" i="7"/>
  <c r="BK67" i="7"/>
  <c r="BK71" i="7"/>
  <c r="BK75" i="7"/>
  <c r="CG118" i="7"/>
  <c r="BK118" i="7"/>
  <c r="M118" i="7"/>
  <c r="BL119" i="7"/>
  <c r="BL123" i="7"/>
  <c r="BN123" i="7"/>
  <c r="BL127" i="7"/>
  <c r="BK66" i="7"/>
  <c r="BK68" i="7"/>
  <c r="BK70" i="7"/>
  <c r="BK72" i="7"/>
  <c r="BK74" i="7"/>
  <c r="BK76" i="7"/>
  <c r="BK78" i="7"/>
  <c r="BK80" i="7"/>
  <c r="BM81" i="7"/>
  <c r="BL81" i="7"/>
  <c r="BK82" i="7"/>
  <c r="BL83" i="7"/>
  <c r="BK84" i="7"/>
  <c r="BM85" i="7"/>
  <c r="BL85" i="7"/>
  <c r="BK86" i="7"/>
  <c r="BO87" i="7"/>
  <c r="BL87" i="7"/>
  <c r="O88" i="7"/>
  <c r="AQ88" i="7" s="1"/>
  <c r="BK88" i="7"/>
  <c r="BC89" i="7"/>
  <c r="BL89" i="7"/>
  <c r="BK90" i="7"/>
  <c r="BO91" i="7"/>
  <c r="BL91" i="7"/>
  <c r="M92" i="7"/>
  <c r="BK92" i="7"/>
  <c r="BD93" i="7"/>
  <c r="BL93" i="7"/>
  <c r="BK94" i="7"/>
  <c r="BE95" i="7"/>
  <c r="BL95" i="7"/>
  <c r="BK96" i="7"/>
  <c r="BL97" i="7"/>
  <c r="BK98" i="7"/>
  <c r="BB99" i="7"/>
  <c r="BL99" i="7"/>
  <c r="BK100" i="7"/>
  <c r="BL101" i="7"/>
  <c r="BK102" i="7"/>
  <c r="BL103" i="7"/>
  <c r="M104" i="7"/>
  <c r="BK104" i="7"/>
  <c r="BC105" i="7"/>
  <c r="BL105" i="7"/>
  <c r="BK106" i="7"/>
  <c r="BN107" i="7"/>
  <c r="BL107" i="7"/>
  <c r="BK108" i="7"/>
  <c r="BL109" i="7"/>
  <c r="BK110" i="7"/>
  <c r="BL111" i="7"/>
  <c r="BK112" i="7"/>
  <c r="BD113" i="7"/>
  <c r="BL113" i="7"/>
  <c r="BK114" i="7"/>
  <c r="BB115" i="7"/>
  <c r="BL115" i="7"/>
  <c r="BK116" i="7"/>
  <c r="BM117" i="7"/>
  <c r="BL117" i="7"/>
  <c r="BK119" i="7"/>
  <c r="BK123" i="7"/>
  <c r="BK127" i="7"/>
  <c r="BL121" i="7"/>
  <c r="BM121" i="7"/>
  <c r="BL125" i="7"/>
  <c r="BC125" i="7"/>
  <c r="BK81" i="7"/>
  <c r="BK83" i="7"/>
  <c r="BK85" i="7"/>
  <c r="BK87" i="7"/>
  <c r="BK89" i="7"/>
  <c r="BK91" i="7"/>
  <c r="BK93" i="7"/>
  <c r="BK95" i="7"/>
  <c r="BK97" i="7"/>
  <c r="BK99" i="7"/>
  <c r="BK101" i="7"/>
  <c r="BK103" i="7"/>
  <c r="BK105" i="7"/>
  <c r="BK107" i="7"/>
  <c r="BK109" i="7"/>
  <c r="BK111" i="7"/>
  <c r="M113" i="7"/>
  <c r="BK113" i="7"/>
  <c r="BK115" i="7"/>
  <c r="BK117" i="7"/>
  <c r="BK121" i="7"/>
  <c r="BK125" i="7"/>
  <c r="BK120" i="7"/>
  <c r="BK122" i="7"/>
  <c r="BK124" i="7"/>
  <c r="BK126" i="7"/>
  <c r="BK128" i="7"/>
  <c r="BC129" i="7"/>
  <c r="BL129" i="7"/>
  <c r="BK130" i="7"/>
  <c r="BM131" i="7"/>
  <c r="BL131" i="7"/>
  <c r="BK132" i="7"/>
  <c r="BC133" i="7"/>
  <c r="BL133" i="7"/>
  <c r="BK134" i="7"/>
  <c r="BM135" i="7"/>
  <c r="BL135" i="7"/>
  <c r="M136" i="7"/>
  <c r="O136" i="7"/>
  <c r="AQ136" i="7" s="1"/>
  <c r="BK136" i="7"/>
  <c r="BC137" i="7"/>
  <c r="BL137" i="7"/>
  <c r="BK138" i="7"/>
  <c r="BD139" i="7"/>
  <c r="BL139" i="7"/>
  <c r="BP140" i="7"/>
  <c r="BK140" i="7"/>
  <c r="BM141" i="7"/>
  <c r="BL141" i="7"/>
  <c r="BK142" i="7"/>
  <c r="BD143" i="7"/>
  <c r="BL143" i="7"/>
  <c r="BK144" i="7"/>
  <c r="BE145" i="7"/>
  <c r="BL145" i="7"/>
  <c r="BK146" i="7"/>
  <c r="BD147" i="7"/>
  <c r="BL147" i="7"/>
  <c r="BK148" i="7"/>
  <c r="BC149" i="7"/>
  <c r="BL149" i="7"/>
  <c r="BK150" i="7"/>
  <c r="BD151" i="7"/>
  <c r="BL151" i="7"/>
  <c r="O152" i="7"/>
  <c r="AQ152" i="7" s="1"/>
  <c r="BK152" i="7"/>
  <c r="BL153" i="7"/>
  <c r="BK154" i="7"/>
  <c r="BN155" i="7"/>
  <c r="BL155" i="7"/>
  <c r="BK156" i="7"/>
  <c r="BL157" i="7"/>
  <c r="O158" i="7"/>
  <c r="AQ158" i="7" s="1"/>
  <c r="BK158" i="7"/>
  <c r="BD159" i="7"/>
  <c r="BL159" i="7"/>
  <c r="BK160" i="7"/>
  <c r="BB161" i="7"/>
  <c r="BL161" i="7"/>
  <c r="BK162" i="7"/>
  <c r="BB163" i="7"/>
  <c r="BL163" i="7"/>
  <c r="CG163" i="7"/>
  <c r="BK163" i="7"/>
  <c r="BK129" i="7"/>
  <c r="BK131" i="7"/>
  <c r="BK133" i="7"/>
  <c r="BK135" i="7"/>
  <c r="BK137" i="7"/>
  <c r="BK139" i="7"/>
  <c r="BK141" i="7"/>
  <c r="BK143" i="7"/>
  <c r="BK145" i="7"/>
  <c r="BK147" i="7"/>
  <c r="BK149" i="7"/>
  <c r="BK151" i="7"/>
  <c r="O153" i="7"/>
  <c r="AQ153" i="7" s="1"/>
  <c r="BK153" i="7"/>
  <c r="BK155" i="7"/>
  <c r="BK157" i="7"/>
  <c r="BK159" i="7"/>
  <c r="BK161" i="7"/>
  <c r="BL185" i="7"/>
  <c r="BL164" i="7"/>
  <c r="O165" i="7"/>
  <c r="BK165" i="7"/>
  <c r="CG165" i="7"/>
  <c r="BD166" i="7"/>
  <c r="BL166" i="7"/>
  <c r="BK167" i="7"/>
  <c r="CG167" i="7"/>
  <c r="BL168" i="7"/>
  <c r="BK169" i="7"/>
  <c r="CG169" i="7"/>
  <c r="BM170" i="7"/>
  <c r="BL170" i="7"/>
  <c r="BK171" i="7"/>
  <c r="CG171" i="7"/>
  <c r="BM172" i="7"/>
  <c r="BL172" i="7"/>
  <c r="M173" i="7"/>
  <c r="BK173" i="7"/>
  <c r="CG173" i="7"/>
  <c r="BN174" i="7"/>
  <c r="BL174" i="7"/>
  <c r="BK175" i="7"/>
  <c r="CG175" i="7"/>
  <c r="BE176" i="7"/>
  <c r="BL176" i="7"/>
  <c r="BK177" i="7"/>
  <c r="CG177" i="7"/>
  <c r="BN178" i="7"/>
  <c r="BL178" i="7"/>
  <c r="BK179" i="7"/>
  <c r="CG179" i="7"/>
  <c r="BB180" i="7"/>
  <c r="BL180" i="7"/>
  <c r="BK181" i="7"/>
  <c r="CG181" i="7"/>
  <c r="BE182" i="7"/>
  <c r="BL182" i="7"/>
  <c r="BK183" i="7"/>
  <c r="CG183" i="7"/>
  <c r="BN184" i="7"/>
  <c r="BL184" i="7"/>
  <c r="BK185" i="7"/>
  <c r="BL187" i="7"/>
  <c r="BE187" i="7"/>
  <c r="BK164" i="7"/>
  <c r="BN165" i="7"/>
  <c r="BL165" i="7"/>
  <c r="BK166" i="7"/>
  <c r="BD167" i="7"/>
  <c r="BL167" i="7"/>
  <c r="BK168" i="7"/>
  <c r="BN169" i="7"/>
  <c r="BL169" i="7"/>
  <c r="BK170" i="7"/>
  <c r="BL171" i="7"/>
  <c r="BK172" i="7"/>
  <c r="BN173" i="7"/>
  <c r="BL173" i="7"/>
  <c r="BK174" i="7"/>
  <c r="BD175" i="7"/>
  <c r="BL175" i="7"/>
  <c r="BK176" i="7"/>
  <c r="BM177" i="7"/>
  <c r="BL177" i="7"/>
  <c r="BK178" i="7"/>
  <c r="BM179" i="7"/>
  <c r="BL179" i="7"/>
  <c r="BK180" i="7"/>
  <c r="BN181" i="7"/>
  <c r="BL181" i="7"/>
  <c r="BK182" i="7"/>
  <c r="BD183" i="7"/>
  <c r="BL183" i="7"/>
  <c r="BP184" i="7"/>
  <c r="BK184" i="7"/>
  <c r="CG185" i="7"/>
  <c r="BK187" i="7"/>
  <c r="BL196" i="7"/>
  <c r="BE196" i="7"/>
  <c r="BK186" i="7"/>
  <c r="BK188" i="7"/>
  <c r="BN189" i="7"/>
  <c r="BL189" i="7"/>
  <c r="BK190" i="7"/>
  <c r="BD191" i="7"/>
  <c r="BL191" i="7"/>
  <c r="M192" i="7"/>
  <c r="BK192" i="7"/>
  <c r="BB193" i="7"/>
  <c r="BL193" i="7"/>
  <c r="BK194" i="7"/>
  <c r="BO195" i="7"/>
  <c r="M196" i="7"/>
  <c r="BK196" i="7"/>
  <c r="CG195" i="7"/>
  <c r="BK195" i="7"/>
  <c r="BL198" i="7"/>
  <c r="BO198" i="7"/>
  <c r="M189" i="7"/>
  <c r="BK189" i="7"/>
  <c r="BK191" i="7"/>
  <c r="O193" i="7"/>
  <c r="AD193" i="7" s="1"/>
  <c r="BK193" i="7"/>
  <c r="BL195" i="7"/>
  <c r="CG196" i="7"/>
  <c r="BK198" i="7"/>
  <c r="M200" i="7"/>
  <c r="O200" i="7"/>
  <c r="AW200" i="7" s="1"/>
  <c r="BK200" i="7"/>
  <c r="CG200" i="7"/>
  <c r="BK202" i="7"/>
  <c r="CG202" i="7"/>
  <c r="BK204" i="7"/>
  <c r="CG204" i="7"/>
  <c r="BK206" i="7"/>
  <c r="CG206" i="7"/>
  <c r="M197" i="7"/>
  <c r="BK197" i="7"/>
  <c r="BK199" i="7"/>
  <c r="BB200" i="7"/>
  <c r="BL200" i="7"/>
  <c r="O201" i="7"/>
  <c r="BK201" i="7"/>
  <c r="BE202" i="7"/>
  <c r="BL202" i="7"/>
  <c r="BK203" i="7"/>
  <c r="BB204" i="7"/>
  <c r="BL204" i="7"/>
  <c r="BK205" i="7"/>
  <c r="BM206" i="7"/>
  <c r="BL206" i="7"/>
  <c r="N15" i="7" l="1"/>
  <c r="AV15" i="7" s="1"/>
  <c r="O22" i="7"/>
  <c r="AQ22" i="7" s="1"/>
  <c r="N20" i="7"/>
  <c r="AV20" i="7" s="1"/>
  <c r="M17" i="7"/>
  <c r="AO17" i="7" s="1"/>
  <c r="O185" i="7"/>
  <c r="AM185" i="7" s="1"/>
  <c r="AV201" i="7"/>
  <c r="AL49" i="7"/>
  <c r="O141" i="7"/>
  <c r="AM141" i="7" s="1"/>
  <c r="AV38" i="7"/>
  <c r="AO200" i="7"/>
  <c r="Q201" i="7"/>
  <c r="AO198" i="7"/>
  <c r="AO197" i="7"/>
  <c r="P185" i="7"/>
  <c r="AB173" i="7"/>
  <c r="AO170" i="7"/>
  <c r="P169" i="7"/>
  <c r="AU169" i="7" s="1"/>
  <c r="P167" i="7"/>
  <c r="AO163" i="7"/>
  <c r="AO157" i="7"/>
  <c r="AO153" i="7"/>
  <c r="AB151" i="7"/>
  <c r="AO143" i="7"/>
  <c r="AO142" i="7"/>
  <c r="AO141" i="7"/>
  <c r="AO136" i="7"/>
  <c r="AO130" i="7"/>
  <c r="AO122" i="7"/>
  <c r="AB118" i="7"/>
  <c r="O172" i="7"/>
  <c r="AD172" i="7" s="1"/>
  <c r="M188" i="7"/>
  <c r="P188" i="7" s="1"/>
  <c r="M132" i="7"/>
  <c r="AO132" i="7" s="1"/>
  <c r="AB111" i="7"/>
  <c r="AO103" i="7"/>
  <c r="BD130" i="7"/>
  <c r="AB101" i="7"/>
  <c r="AB95" i="7"/>
  <c r="AO92" i="7"/>
  <c r="AO88" i="7"/>
  <c r="O101" i="7"/>
  <c r="AM101" i="7" s="1"/>
  <c r="N181" i="7"/>
  <c r="AV181" i="7" s="1"/>
  <c r="M165" i="7"/>
  <c r="P165" i="7" s="1"/>
  <c r="N101" i="7"/>
  <c r="AP101" i="7" s="1"/>
  <c r="O197" i="7"/>
  <c r="CD197" i="7" s="1"/>
  <c r="N173" i="7"/>
  <c r="S173" i="7" s="1" a="1"/>
  <c r="S173" i="7" s="1"/>
  <c r="M181" i="7"/>
  <c r="N141" i="7"/>
  <c r="AP141" i="7" s="1"/>
  <c r="AO64" i="7"/>
  <c r="O135" i="7"/>
  <c r="R135" i="7" s="1"/>
  <c r="BC20" i="7"/>
  <c r="M206" i="7"/>
  <c r="AU206" i="7" s="1"/>
  <c r="BD102" i="7"/>
  <c r="AO52" i="7"/>
  <c r="BD118" i="7"/>
  <c r="M160" i="7"/>
  <c r="AB160" i="7" s="1"/>
  <c r="M152" i="7"/>
  <c r="AO44" i="7"/>
  <c r="M119" i="7"/>
  <c r="AO119" i="7" s="1"/>
  <c r="O140" i="7"/>
  <c r="AD140" i="7" s="1"/>
  <c r="M204" i="7"/>
  <c r="M180" i="7"/>
  <c r="AB180" i="7" s="1"/>
  <c r="M164" i="7"/>
  <c r="N172" i="7"/>
  <c r="M76" i="7"/>
  <c r="AB76" i="7" s="1"/>
  <c r="M148" i="7"/>
  <c r="AB148" i="7" s="1"/>
  <c r="O100" i="7"/>
  <c r="AD100" i="7" s="1"/>
  <c r="N204" i="7"/>
  <c r="BM203" i="7"/>
  <c r="AL201" i="7"/>
  <c r="N185" i="7"/>
  <c r="AC185" i="7" s="1"/>
  <c r="N169" i="7"/>
  <c r="AL169" i="7" s="1"/>
  <c r="M177" i="7"/>
  <c r="O161" i="7"/>
  <c r="AW161" i="7" s="1"/>
  <c r="N137" i="7"/>
  <c r="AL137" i="7" s="1"/>
  <c r="M121" i="7"/>
  <c r="AO121" i="7" s="1"/>
  <c r="M49" i="7"/>
  <c r="AB49" i="7" s="1"/>
  <c r="AV30" i="7"/>
  <c r="BD190" i="7"/>
  <c r="O137" i="7"/>
  <c r="AQ137" i="7" s="1"/>
  <c r="N153" i="7"/>
  <c r="S153" i="7" s="1" a="1"/>
  <c r="S153" i="7" s="1"/>
  <c r="N97" i="7"/>
  <c r="O41" i="7"/>
  <c r="AD41" i="7" s="1"/>
  <c r="O169" i="7"/>
  <c r="AW169" i="7" s="1"/>
  <c r="O145" i="7"/>
  <c r="AM145" i="7" s="1"/>
  <c r="M105" i="7"/>
  <c r="P105" i="7" s="1"/>
  <c r="AU105" i="7" s="1"/>
  <c r="BD84" i="7"/>
  <c r="BM140" i="7"/>
  <c r="BD144" i="7"/>
  <c r="BM80" i="7"/>
  <c r="O84" i="7"/>
  <c r="AW84" i="7" s="1"/>
  <c r="O60" i="7"/>
  <c r="R60" i="7" s="1"/>
  <c r="N108" i="7"/>
  <c r="AC108" i="7" s="1"/>
  <c r="BC36" i="7"/>
  <c r="BB122" i="7"/>
  <c r="BM68" i="7"/>
  <c r="BB84" i="7"/>
  <c r="BO98" i="7"/>
  <c r="AO36" i="7"/>
  <c r="BO88" i="7"/>
  <c r="BB88" i="7"/>
  <c r="BM88" i="7"/>
  <c r="BD88" i="7"/>
  <c r="BM7" i="7"/>
  <c r="BD92" i="7"/>
  <c r="BM92" i="7"/>
  <c r="BB92" i="7"/>
  <c r="BO92" i="7"/>
  <c r="N88" i="7"/>
  <c r="CD88" i="7" s="1"/>
  <c r="N160" i="7"/>
  <c r="AV160" i="7" s="1"/>
  <c r="BB197" i="7"/>
  <c r="BD197" i="7"/>
  <c r="BN62" i="7"/>
  <c r="BB62" i="7"/>
  <c r="N205" i="7"/>
  <c r="M205" i="7"/>
  <c r="P205" i="7" s="1"/>
  <c r="N189" i="7"/>
  <c r="Q189" i="7" s="1"/>
  <c r="O189" i="7"/>
  <c r="N157" i="7"/>
  <c r="O157" i="7"/>
  <c r="R157" i="7" s="1"/>
  <c r="N149" i="7"/>
  <c r="M149" i="7"/>
  <c r="P149" i="7" s="1"/>
  <c r="O149" i="7"/>
  <c r="AD149" i="7" s="1"/>
  <c r="N133" i="7"/>
  <c r="AL133" i="7" s="1"/>
  <c r="M133" i="7"/>
  <c r="O125" i="7"/>
  <c r="R125" i="7" s="1"/>
  <c r="M125" i="7"/>
  <c r="AB125" i="7" s="1"/>
  <c r="N125" i="7"/>
  <c r="AP125" i="7" s="1"/>
  <c r="M117" i="7"/>
  <c r="N117" i="7"/>
  <c r="AL117" i="7" s="1"/>
  <c r="O117" i="7"/>
  <c r="AQ117" i="7" s="1"/>
  <c r="N109" i="7"/>
  <c r="AL109" i="7" s="1"/>
  <c r="M109" i="7"/>
  <c r="AB109" i="7" s="1"/>
  <c r="O109" i="7"/>
  <c r="AD109" i="7" s="1"/>
  <c r="N93" i="7"/>
  <c r="AP93" i="7" s="1"/>
  <c r="M93" i="7"/>
  <c r="AO93" i="7" s="1"/>
  <c r="O93" i="7"/>
  <c r="AW93" i="7" s="1"/>
  <c r="M85" i="7"/>
  <c r="N85" i="7"/>
  <c r="AL85" i="7" s="1"/>
  <c r="M77" i="7"/>
  <c r="P77" i="7" s="1"/>
  <c r="O77" i="7"/>
  <c r="AQ77" i="7" s="1"/>
  <c r="O69" i="7"/>
  <c r="R69" i="7" s="1"/>
  <c r="N69" i="7"/>
  <c r="AP69" i="7" s="1"/>
  <c r="O53" i="7"/>
  <c r="AM53" i="7" s="1"/>
  <c r="N53" i="7"/>
  <c r="AP53" i="7" s="1"/>
  <c r="M53" i="7"/>
  <c r="AB53" i="7" s="1"/>
  <c r="M45" i="7"/>
  <c r="P45" i="7" s="1"/>
  <c r="O45" i="7"/>
  <c r="AW45" i="7" s="1"/>
  <c r="O37" i="7"/>
  <c r="R37" i="7" s="1"/>
  <c r="N37" i="7"/>
  <c r="M37" i="7"/>
  <c r="P37" i="7" s="1"/>
  <c r="AU37" i="7" s="1"/>
  <c r="N192" i="7"/>
  <c r="O192" i="7"/>
  <c r="AD192" i="7" s="1"/>
  <c r="M184" i="7"/>
  <c r="N184" i="7"/>
  <c r="Q184" i="7" s="1"/>
  <c r="O184" i="7"/>
  <c r="M176" i="7"/>
  <c r="N176" i="7"/>
  <c r="Q176" i="7" s="1"/>
  <c r="O176" i="7"/>
  <c r="AQ176" i="7" s="1"/>
  <c r="N168" i="7"/>
  <c r="AC168" i="7" s="1"/>
  <c r="O168" i="7"/>
  <c r="AP152" i="7"/>
  <c r="Q152" i="7"/>
  <c r="AV152" i="7"/>
  <c r="AC152" i="7"/>
  <c r="N144" i="7"/>
  <c r="M144" i="7"/>
  <c r="O144" i="7"/>
  <c r="R144" i="7" s="1"/>
  <c r="N128" i="7"/>
  <c r="M128" i="7"/>
  <c r="AB128" i="7" s="1"/>
  <c r="O128" i="7"/>
  <c r="AW128" i="7" s="1"/>
  <c r="N120" i="7"/>
  <c r="O120" i="7"/>
  <c r="M120" i="7"/>
  <c r="AB120" i="7" s="1"/>
  <c r="N112" i="7"/>
  <c r="AC112" i="7" s="1"/>
  <c r="M112" i="7"/>
  <c r="AO112" i="7" s="1"/>
  <c r="O112" i="7"/>
  <c r="AM112" i="7" s="1"/>
  <c r="N104" i="7"/>
  <c r="Q104" i="7" s="1"/>
  <c r="O104" i="7"/>
  <c r="AW104" i="7" s="1"/>
  <c r="N96" i="7"/>
  <c r="M96" i="7"/>
  <c r="O96" i="7"/>
  <c r="AW96" i="7" s="1"/>
  <c r="N80" i="7"/>
  <c r="M80" i="7"/>
  <c r="AO80" i="7" s="1"/>
  <c r="N72" i="7"/>
  <c r="M72" i="7"/>
  <c r="AO72" i="7" s="1"/>
  <c r="N48" i="7"/>
  <c r="AP48" i="7" s="1"/>
  <c r="O48" i="7"/>
  <c r="R48" i="7" s="1"/>
  <c r="M48" i="7"/>
  <c r="P48" i="7" s="1"/>
  <c r="N40" i="7"/>
  <c r="AV40" i="7" s="1"/>
  <c r="M40" i="7"/>
  <c r="AB40" i="7" s="1"/>
  <c r="O40" i="7"/>
  <c r="R40" i="7" s="1"/>
  <c r="BO62" i="7"/>
  <c r="BO194" i="7"/>
  <c r="BM148" i="7"/>
  <c r="BB116" i="7"/>
  <c r="BD64" i="7"/>
  <c r="BM52" i="7"/>
  <c r="BD48" i="7"/>
  <c r="BM38" i="7"/>
  <c r="BM36" i="7"/>
  <c r="BM32" i="7"/>
  <c r="BD80" i="7"/>
  <c r="BO80" i="7"/>
  <c r="BB80" i="7"/>
  <c r="AP188" i="7"/>
  <c r="AC188" i="7"/>
  <c r="BM194" i="7"/>
  <c r="N193" i="7"/>
  <c r="Q193" i="7" s="1"/>
  <c r="N177" i="7"/>
  <c r="AL177" i="7" s="1"/>
  <c r="N180" i="7"/>
  <c r="AP180" i="7" s="1"/>
  <c r="N164" i="7"/>
  <c r="AV164" i="7" s="1"/>
  <c r="M161" i="7"/>
  <c r="AB161" i="7" s="1"/>
  <c r="M145" i="7"/>
  <c r="O129" i="7"/>
  <c r="AW129" i="7" s="1"/>
  <c r="O156" i="7"/>
  <c r="AM156" i="7" s="1"/>
  <c r="BD150" i="7"/>
  <c r="BO142" i="7"/>
  <c r="M140" i="7"/>
  <c r="BD134" i="7"/>
  <c r="O124" i="7"/>
  <c r="R124" i="7" s="1"/>
  <c r="O121" i="7"/>
  <c r="R121" i="7" s="1"/>
  <c r="N105" i="7"/>
  <c r="AV105" i="7" s="1"/>
  <c r="M100" i="7"/>
  <c r="AB100" i="7" s="1"/>
  <c r="M84" i="7"/>
  <c r="AB84" i="7" s="1"/>
  <c r="M60" i="7"/>
  <c r="P60" i="7" s="1"/>
  <c r="AP49" i="7"/>
  <c r="O44" i="7"/>
  <c r="R44" i="7" s="1"/>
  <c r="BE14" i="7"/>
  <c r="O196" i="7"/>
  <c r="AQ196" i="7" s="1"/>
  <c r="N116" i="7"/>
  <c r="AP116" i="7" s="1"/>
  <c r="N44" i="7"/>
  <c r="M201" i="7"/>
  <c r="BD186" i="7"/>
  <c r="AC201" i="7"/>
  <c r="O188" i="7"/>
  <c r="AD188" i="7" s="1"/>
  <c r="BB186" i="7"/>
  <c r="M129" i="7"/>
  <c r="M156" i="7"/>
  <c r="O148" i="7"/>
  <c r="AM148" i="7" s="1"/>
  <c r="BO134" i="7"/>
  <c r="BB134" i="7"/>
  <c r="O132" i="7"/>
  <c r="AW132" i="7" s="1"/>
  <c r="M124" i="7"/>
  <c r="O89" i="7"/>
  <c r="R89" i="7" s="1"/>
  <c r="M81" i="7"/>
  <c r="P81" i="7" s="1"/>
  <c r="O116" i="7"/>
  <c r="AD116" i="7" s="1"/>
  <c r="O108" i="7"/>
  <c r="AW108" i="7" s="1"/>
  <c r="N89" i="7"/>
  <c r="AL89" i="7" s="1"/>
  <c r="O68" i="7"/>
  <c r="AD68" i="7" s="1"/>
  <c r="O65" i="7"/>
  <c r="CD65" i="7" s="1"/>
  <c r="O57" i="7"/>
  <c r="AW57" i="7" s="1"/>
  <c r="AC49" i="7"/>
  <c r="O52" i="7"/>
  <c r="S52" i="7" s="1" a="1"/>
  <c r="S52" i="7" s="1"/>
  <c r="M13" i="7"/>
  <c r="AO13" i="7" s="1"/>
  <c r="N92" i="7"/>
  <c r="S92" i="7" s="1" a="1"/>
  <c r="S92" i="7" s="1"/>
  <c r="N68" i="7"/>
  <c r="N36" i="7"/>
  <c r="S36" i="7" s="1" a="1"/>
  <c r="S36" i="7" s="1"/>
  <c r="BB194" i="7"/>
  <c r="BO186" i="7"/>
  <c r="BM158" i="7"/>
  <c r="BB142" i="7"/>
  <c r="O113" i="7"/>
  <c r="AM113" i="7" s="1"/>
  <c r="M97" i="7"/>
  <c r="P97" i="7" s="1"/>
  <c r="N81" i="7"/>
  <c r="O76" i="7"/>
  <c r="AD76" i="7" s="1"/>
  <c r="O49" i="7"/>
  <c r="AM49" i="7" s="1"/>
  <c r="N57" i="7"/>
  <c r="AL57" i="7" s="1"/>
  <c r="BM20" i="7"/>
  <c r="AO33" i="7"/>
  <c r="AO32" i="7"/>
  <c r="AO29" i="7"/>
  <c r="AO28" i="7"/>
  <c r="Q156" i="7"/>
  <c r="BO130" i="7"/>
  <c r="BB130" i="7"/>
  <c r="BD124" i="7"/>
  <c r="AC124" i="7"/>
  <c r="BD120" i="7"/>
  <c r="BB104" i="7"/>
  <c r="AC100" i="7"/>
  <c r="BO64" i="7"/>
  <c r="BB64" i="7"/>
  <c r="BM130" i="7"/>
  <c r="Q100" i="7"/>
  <c r="Q76" i="7"/>
  <c r="BD11" i="7"/>
  <c r="BM64" i="7"/>
  <c r="BD32" i="7"/>
  <c r="AL28" i="7"/>
  <c r="BE11" i="7"/>
  <c r="AV124" i="7"/>
  <c r="Q124" i="7"/>
  <c r="BO120" i="7"/>
  <c r="BB120" i="7"/>
  <c r="AV156" i="7"/>
  <c r="AL124" i="7"/>
  <c r="BM120" i="7"/>
  <c r="BO104" i="7"/>
  <c r="AV100" i="7"/>
  <c r="M10" i="7"/>
  <c r="P10" i="7" s="1"/>
  <c r="AU10" i="7" s="1"/>
  <c r="BM108" i="7"/>
  <c r="BD104" i="7"/>
  <c r="BD192" i="7"/>
  <c r="BO190" i="7"/>
  <c r="BB190" i="7"/>
  <c r="AV188" i="7"/>
  <c r="Q188" i="7"/>
  <c r="N175" i="7"/>
  <c r="Q175" i="7" s="1"/>
  <c r="O166" i="7"/>
  <c r="AM166" i="7" s="1"/>
  <c r="AL156" i="7"/>
  <c r="N151" i="7"/>
  <c r="Q151" i="7" s="1"/>
  <c r="BD132" i="7"/>
  <c r="BB128" i="7"/>
  <c r="BO124" i="7"/>
  <c r="BB124" i="7"/>
  <c r="N103" i="7"/>
  <c r="BO96" i="7"/>
  <c r="AL76" i="7"/>
  <c r="M63" i="7"/>
  <c r="AO63" i="7" s="1"/>
  <c r="O55" i="7"/>
  <c r="AD55" i="7" s="1"/>
  <c r="BM62" i="7"/>
  <c r="AV62" i="7"/>
  <c r="Q46" i="7"/>
  <c r="BC38" i="7"/>
  <c r="BO192" i="7"/>
  <c r="BB192" i="7"/>
  <c r="N118" i="7"/>
  <c r="CD118" i="7" s="1"/>
  <c r="BD98" i="7"/>
  <c r="M94" i="7"/>
  <c r="P94" i="7" s="1"/>
  <c r="N87" i="7"/>
  <c r="AP87" i="7" s="1"/>
  <c r="AC84" i="7"/>
  <c r="M70" i="7"/>
  <c r="AB70" i="7" s="1"/>
  <c r="N127" i="7"/>
  <c r="Q127" i="7" s="1"/>
  <c r="BD7" i="7"/>
  <c r="N79" i="7"/>
  <c r="AV79" i="7" s="1"/>
  <c r="BM50" i="7"/>
  <c r="BD38" i="7"/>
  <c r="Q38" i="7"/>
  <c r="Q30" i="7"/>
  <c r="N142" i="7"/>
  <c r="AP142" i="7" s="1"/>
  <c r="N86" i="7"/>
  <c r="Q86" i="7" s="1"/>
  <c r="AC205" i="7"/>
  <c r="BD203" i="7"/>
  <c r="BM190" i="7"/>
  <c r="AL188" i="7"/>
  <c r="O175" i="7"/>
  <c r="AQ175" i="7" s="1"/>
  <c r="BO203" i="7"/>
  <c r="BB203" i="7"/>
  <c r="O199" i="7"/>
  <c r="AD199" i="7" s="1"/>
  <c r="N198" i="7"/>
  <c r="AC198" i="7" s="1"/>
  <c r="M190" i="7"/>
  <c r="S190" i="7" s="1" a="1"/>
  <c r="S190" i="7" s="1"/>
  <c r="M183" i="7"/>
  <c r="O151" i="7"/>
  <c r="AQ151" i="7" s="1"/>
  <c r="AC156" i="7"/>
  <c r="O134" i="7"/>
  <c r="R134" i="7" s="1"/>
  <c r="BO128" i="7"/>
  <c r="O87" i="7"/>
  <c r="AW87" i="7" s="1"/>
  <c r="N111" i="7"/>
  <c r="BB98" i="7"/>
  <c r="BD62" i="7"/>
  <c r="Q62" i="7"/>
  <c r="AV46" i="7"/>
  <c r="BO38" i="7"/>
  <c r="BB38" i="7"/>
  <c r="AP62" i="7"/>
  <c r="AP38" i="7"/>
  <c r="BM107" i="7"/>
  <c r="O119" i="7"/>
  <c r="AW119" i="7" s="1"/>
  <c r="AP150" i="7"/>
  <c r="AL150" i="7"/>
  <c r="AP70" i="7"/>
  <c r="AV70" i="7"/>
  <c r="Q70" i="7"/>
  <c r="AC70" i="7"/>
  <c r="AP134" i="7"/>
  <c r="AV134" i="7"/>
  <c r="BO197" i="7"/>
  <c r="O191" i="7"/>
  <c r="AW191" i="7" s="1"/>
  <c r="O182" i="7"/>
  <c r="AD182" i="7" s="1"/>
  <c r="M166" i="7"/>
  <c r="AO166" i="7" s="1"/>
  <c r="O167" i="7"/>
  <c r="AD167" i="7" s="1"/>
  <c r="M135" i="7"/>
  <c r="P135" i="7" s="1"/>
  <c r="N159" i="7"/>
  <c r="M158" i="7"/>
  <c r="AB158" i="7" s="1"/>
  <c r="O150" i="7"/>
  <c r="AW150" i="7" s="1"/>
  <c r="BO144" i="7"/>
  <c r="BB144" i="7"/>
  <c r="N143" i="7"/>
  <c r="AC143" i="7" s="1"/>
  <c r="O142" i="7"/>
  <c r="AD142" i="7" s="1"/>
  <c r="M134" i="7"/>
  <c r="AB134" i="7" s="1"/>
  <c r="O103" i="7"/>
  <c r="R103" i="7" s="1"/>
  <c r="BO116" i="7"/>
  <c r="BD112" i="7"/>
  <c r="O102" i="7"/>
  <c r="AD102" i="7" s="1"/>
  <c r="BD94" i="7"/>
  <c r="BD90" i="7"/>
  <c r="O78" i="7"/>
  <c r="R78" i="7" s="1"/>
  <c r="M79" i="7"/>
  <c r="AB79" i="7" s="1"/>
  <c r="M55" i="7"/>
  <c r="M47" i="7"/>
  <c r="AO47" i="7" s="1"/>
  <c r="O39" i="7"/>
  <c r="AM39" i="7" s="1"/>
  <c r="BC22" i="7"/>
  <c r="BB13" i="7"/>
  <c r="AL62" i="7"/>
  <c r="O62" i="7"/>
  <c r="AW62" i="7" s="1"/>
  <c r="M54" i="7"/>
  <c r="S54" i="7" s="1" a="1"/>
  <c r="S54" i="7" s="1"/>
  <c r="AL46" i="7"/>
  <c r="O46" i="7"/>
  <c r="CD46" i="7" s="1"/>
  <c r="AL38" i="7"/>
  <c r="O38" i="7"/>
  <c r="AW38" i="7" s="1"/>
  <c r="BM34" i="7"/>
  <c r="AL30" i="7"/>
  <c r="O30" i="7"/>
  <c r="AM30" i="7" s="1"/>
  <c r="M22" i="7"/>
  <c r="P22" i="7" s="1"/>
  <c r="BE13" i="7"/>
  <c r="N199" i="7"/>
  <c r="N94" i="7"/>
  <c r="O127" i="7"/>
  <c r="AW127" i="7" s="1"/>
  <c r="O198" i="7"/>
  <c r="AW198" i="7" s="1"/>
  <c r="N206" i="7"/>
  <c r="AC206" i="7" s="1"/>
  <c r="BM197" i="7"/>
  <c r="M191" i="7"/>
  <c r="M182" i="7"/>
  <c r="O174" i="7"/>
  <c r="N167" i="7"/>
  <c r="Q167" i="7" s="1"/>
  <c r="N174" i="7"/>
  <c r="O159" i="7"/>
  <c r="R159" i="7" s="1"/>
  <c r="O143" i="7"/>
  <c r="AQ143" i="7" s="1"/>
  <c r="M150" i="7"/>
  <c r="AB150" i="7" s="1"/>
  <c r="BD148" i="7"/>
  <c r="BM144" i="7"/>
  <c r="BD140" i="7"/>
  <c r="O126" i="7"/>
  <c r="AD126" i="7" s="1"/>
  <c r="O111" i="7"/>
  <c r="R111" i="7" s="1"/>
  <c r="O95" i="7"/>
  <c r="AM95" i="7" s="1"/>
  <c r="BN118" i="7"/>
  <c r="O110" i="7"/>
  <c r="AD110" i="7" s="1"/>
  <c r="M102" i="7"/>
  <c r="AO102" i="7" s="1"/>
  <c r="N95" i="7"/>
  <c r="CD95" i="7" s="1"/>
  <c r="BO94" i="7"/>
  <c r="BB94" i="7"/>
  <c r="BO90" i="7"/>
  <c r="BB90" i="7"/>
  <c r="O86" i="7"/>
  <c r="AM86" i="7" s="1"/>
  <c r="M78" i="7"/>
  <c r="AB78" i="7" s="1"/>
  <c r="BM118" i="7"/>
  <c r="M71" i="7"/>
  <c r="AB71" i="7" s="1"/>
  <c r="M39" i="7"/>
  <c r="AO39" i="7" s="1"/>
  <c r="O71" i="7"/>
  <c r="N63" i="7"/>
  <c r="AP63" i="7" s="1"/>
  <c r="M62" i="7"/>
  <c r="AO62" i="7" s="1"/>
  <c r="BD52" i="7"/>
  <c r="M38" i="7"/>
  <c r="AO38" i="7" s="1"/>
  <c r="BB36" i="7"/>
  <c r="M30" i="7"/>
  <c r="P30" i="7" s="1"/>
  <c r="AU30" i="7" s="1"/>
  <c r="N23" i="7"/>
  <c r="Q23" i="7" s="1"/>
  <c r="BC52" i="7"/>
  <c r="N190" i="7"/>
  <c r="N126" i="7"/>
  <c r="AP126" i="7" s="1"/>
  <c r="AP30" i="7"/>
  <c r="N183" i="7"/>
  <c r="AP183" i="7" s="1"/>
  <c r="BO148" i="7"/>
  <c r="BO140" i="7"/>
  <c r="BE118" i="7"/>
  <c r="BD116" i="7"/>
  <c r="M110" i="7"/>
  <c r="AB110" i="7" s="1"/>
  <c r="BM94" i="7"/>
  <c r="BM90" i="7"/>
  <c r="O70" i="7"/>
  <c r="AW70" i="7" s="1"/>
  <c r="BB118" i="7"/>
  <c r="BO118" i="7"/>
  <c r="O31" i="7"/>
  <c r="AW31" i="7" s="1"/>
  <c r="BO52" i="7"/>
  <c r="BB52" i="7"/>
  <c r="AC46" i="7"/>
  <c r="BO36" i="7"/>
  <c r="AP25" i="7"/>
  <c r="AV25" i="7"/>
  <c r="BD158" i="7"/>
  <c r="BO112" i="7"/>
  <c r="BB112" i="7"/>
  <c r="BD108" i="7"/>
  <c r="BM104" i="7"/>
  <c r="AL100" i="7"/>
  <c r="BB96" i="7"/>
  <c r="O80" i="7"/>
  <c r="AQ80" i="7" s="1"/>
  <c r="AC78" i="7"/>
  <c r="BM74" i="7"/>
  <c r="O72" i="7"/>
  <c r="AW72" i="7" s="1"/>
  <c r="AL70" i="7"/>
  <c r="AV49" i="7"/>
  <c r="M41" i="7"/>
  <c r="AO41" i="7" s="1"/>
  <c r="O25" i="7"/>
  <c r="AW25" i="7" s="1"/>
  <c r="T197" i="7" a="1"/>
  <c r="T197" i="7" s="1"/>
  <c r="BO158" i="7"/>
  <c r="BB158" i="7"/>
  <c r="BM112" i="7"/>
  <c r="BO108" i="7"/>
  <c r="BB108" i="7"/>
  <c r="BM70" i="7"/>
  <c r="M25" i="7"/>
  <c r="P25" i="7" s="1"/>
  <c r="BM9" i="7"/>
  <c r="T74" i="7" a="1"/>
  <c r="T74" i="7" s="1"/>
  <c r="BB129" i="7"/>
  <c r="AV39" i="7"/>
  <c r="AC31" i="7"/>
  <c r="BM47" i="7"/>
  <c r="BC62" i="7"/>
  <c r="BM142" i="7"/>
  <c r="BD136" i="7"/>
  <c r="BO132" i="7"/>
  <c r="BB132" i="7"/>
  <c r="BM128" i="7"/>
  <c r="BO122" i="7"/>
  <c r="AC150" i="7"/>
  <c r="BO136" i="7"/>
  <c r="BB136" i="7"/>
  <c r="BM132" i="7"/>
  <c r="AV150" i="7"/>
  <c r="Q150" i="7"/>
  <c r="BM136" i="7"/>
  <c r="BD128" i="7"/>
  <c r="BD122" i="7"/>
  <c r="BB77" i="7"/>
  <c r="BO65" i="7"/>
  <c r="BD61" i="7"/>
  <c r="Q77" i="7"/>
  <c r="BM122" i="7"/>
  <c r="Q25" i="7"/>
  <c r="BO73" i="7"/>
  <c r="T186" i="7" a="1"/>
  <c r="T186" i="7" s="1"/>
  <c r="BD162" i="7"/>
  <c r="AC158" i="7"/>
  <c r="BD154" i="7"/>
  <c r="BO150" i="7"/>
  <c r="BB150" i="7"/>
  <c r="BD110" i="7"/>
  <c r="AV102" i="7"/>
  <c r="BD100" i="7"/>
  <c r="BM96" i="7"/>
  <c r="AV84" i="7"/>
  <c r="Q84" i="7"/>
  <c r="BD29" i="7"/>
  <c r="BO69" i="7"/>
  <c r="BB44" i="7"/>
  <c r="BC138" i="7"/>
  <c r="BC78" i="7"/>
  <c r="AV158" i="7"/>
  <c r="Q158" i="7"/>
  <c r="BM150" i="7"/>
  <c r="BM146" i="7"/>
  <c r="BM138" i="7"/>
  <c r="Q134" i="7"/>
  <c r="BD106" i="7"/>
  <c r="BO100" i="7"/>
  <c r="BB100" i="7"/>
  <c r="AL84" i="7"/>
  <c r="BB76" i="7"/>
  <c r="BD70" i="7"/>
  <c r="BB73" i="7"/>
  <c r="T192" i="7" a="1"/>
  <c r="T192" i="7" s="1"/>
  <c r="BC128" i="7"/>
  <c r="T194" i="7" a="1"/>
  <c r="T194" i="7" s="1"/>
  <c r="T158" i="7" a="1"/>
  <c r="T158" i="7" s="1"/>
  <c r="N122" i="7"/>
  <c r="T92" i="7" a="1"/>
  <c r="T92" i="7" s="1"/>
  <c r="T88" i="7" a="1"/>
  <c r="T88" i="7" s="1"/>
  <c r="T84" i="7" a="1"/>
  <c r="T84" i="7" s="1"/>
  <c r="T80" i="7" a="1"/>
  <c r="T80" i="7" s="1"/>
  <c r="T206" i="7" a="1"/>
  <c r="T206" i="7" s="1"/>
  <c r="AL158" i="7"/>
  <c r="Q102" i="7"/>
  <c r="BM100" i="7"/>
  <c r="BD96" i="7"/>
  <c r="BO70" i="7"/>
  <c r="BB70" i="7"/>
  <c r="R173" i="7"/>
  <c r="BB155" i="7"/>
  <c r="BO107" i="7"/>
  <c r="Q29" i="7"/>
  <c r="T152" i="7" a="1"/>
  <c r="T152" i="7" s="1"/>
  <c r="Q45" i="7"/>
  <c r="BM35" i="7"/>
  <c r="Q31" i="7"/>
  <c r="AV29" i="7"/>
  <c r="BC203" i="7"/>
  <c r="Q39" i="7"/>
  <c r="T201" i="7" a="1"/>
  <c r="T201" i="7" s="1"/>
  <c r="T189" i="7" a="1"/>
  <c r="T189" i="7" s="1"/>
  <c r="BO162" i="7"/>
  <c r="BB162" i="7"/>
  <c r="BO154" i="7"/>
  <c r="BB154" i="7"/>
  <c r="AL134" i="7"/>
  <c r="O122" i="7"/>
  <c r="AW122" i="7" s="1"/>
  <c r="BO110" i="7"/>
  <c r="BB110" i="7"/>
  <c r="BO106" i="7"/>
  <c r="BB106" i="7"/>
  <c r="AL102" i="7"/>
  <c r="BD78" i="7"/>
  <c r="BD72" i="7"/>
  <c r="AV60" i="7"/>
  <c r="AC22" i="7"/>
  <c r="BM162" i="7"/>
  <c r="BD146" i="7"/>
  <c r="BD138" i="7"/>
  <c r="BM110" i="7"/>
  <c r="BM106" i="7"/>
  <c r="BO78" i="7"/>
  <c r="BB78" i="7"/>
  <c r="BO76" i="7"/>
  <c r="BO72" i="7"/>
  <c r="BB72" i="7"/>
  <c r="BB66" i="7"/>
  <c r="BO44" i="7"/>
  <c r="BB42" i="7"/>
  <c r="T166" i="7" a="1"/>
  <c r="T166" i="7" s="1"/>
  <c r="BO146" i="7"/>
  <c r="BO138" i="7"/>
  <c r="BB138" i="7"/>
  <c r="AC134" i="7"/>
  <c r="BM126" i="7"/>
  <c r="AC102" i="7"/>
  <c r="BM78" i="7"/>
  <c r="BM72" i="7"/>
  <c r="Q60" i="7"/>
  <c r="BC72" i="7"/>
  <c r="BB184" i="7"/>
  <c r="BO99" i="7"/>
  <c r="AL119" i="7"/>
  <c r="BB107" i="7"/>
  <c r="AC119" i="7"/>
  <c r="BB75" i="7"/>
  <c r="BD49" i="7"/>
  <c r="Q119" i="7"/>
  <c r="BD107" i="7"/>
  <c r="BD47" i="7"/>
  <c r="BB93" i="7"/>
  <c r="AL129" i="7"/>
  <c r="BD105" i="7"/>
  <c r="BO137" i="7"/>
  <c r="BB105" i="7"/>
  <c r="BO89" i="7"/>
  <c r="BO49" i="7"/>
  <c r="BD43" i="7"/>
  <c r="AC129" i="7"/>
  <c r="BO105" i="7"/>
  <c r="BB176" i="7"/>
  <c r="P175" i="7"/>
  <c r="AL161" i="7"/>
  <c r="BB137" i="7"/>
  <c r="AV129" i="7"/>
  <c r="Q129" i="7"/>
  <c r="BO115" i="7"/>
  <c r="BM89" i="7"/>
  <c r="BO75" i="7"/>
  <c r="BO47" i="7"/>
  <c r="BB47" i="7"/>
  <c r="BD37" i="7"/>
  <c r="AV33" i="7"/>
  <c r="AV31" i="7"/>
  <c r="BM174" i="7"/>
  <c r="Q113" i="7"/>
  <c r="AC65" i="7"/>
  <c r="BM45" i="7"/>
  <c r="BN179" i="7"/>
  <c r="BM105" i="7"/>
  <c r="BB91" i="7"/>
  <c r="BD89" i="7"/>
  <c r="BD85" i="7"/>
  <c r="BD55" i="7"/>
  <c r="Q47" i="7"/>
  <c r="AV41" i="7"/>
  <c r="BM37" i="7"/>
  <c r="Q33" i="7"/>
  <c r="AL31" i="7"/>
  <c r="BO77" i="7"/>
  <c r="BO187" i="7"/>
  <c r="BO178" i="7"/>
  <c r="AM206" i="7"/>
  <c r="BC193" i="7"/>
  <c r="BO184" i="7"/>
  <c r="R181" i="7"/>
  <c r="AL33" i="7"/>
  <c r="T203" i="7" a="1"/>
  <c r="T203" i="7" s="1"/>
  <c r="T188" i="7" a="1"/>
  <c r="T188" i="7" s="1"/>
  <c r="BM193" i="7"/>
  <c r="BD178" i="7"/>
  <c r="AV113" i="7"/>
  <c r="BM55" i="7"/>
  <c r="BD45" i="7"/>
  <c r="Q41" i="7"/>
  <c r="BN195" i="7"/>
  <c r="BD195" i="7"/>
  <c r="BD184" i="7"/>
  <c r="BB178" i="7"/>
  <c r="BO145" i="7"/>
  <c r="BD137" i="7"/>
  <c r="BB71" i="7"/>
  <c r="BO45" i="7"/>
  <c r="BB45" i="7"/>
  <c r="BD41" i="7"/>
  <c r="AC39" i="7"/>
  <c r="AC33" i="7"/>
  <c r="BC64" i="7"/>
  <c r="BO205" i="7"/>
  <c r="N202" i="7"/>
  <c r="AV202" i="7" s="1"/>
  <c r="Q197" i="7"/>
  <c r="BD189" i="7"/>
  <c r="Q196" i="7"/>
  <c r="N195" i="7"/>
  <c r="BO188" i="7"/>
  <c r="M178" i="7"/>
  <c r="P178" i="7" s="1"/>
  <c r="BM159" i="7"/>
  <c r="BB149" i="7"/>
  <c r="AC135" i="7"/>
  <c r="BM133" i="7"/>
  <c r="BO129" i="7"/>
  <c r="T129" i="7" a="1"/>
  <c r="T129" i="7" s="1"/>
  <c r="AL113" i="7"/>
  <c r="BO93" i="7"/>
  <c r="BO123" i="7"/>
  <c r="BD114" i="7"/>
  <c r="AC110" i="7"/>
  <c r="BD86" i="7"/>
  <c r="BD82" i="7"/>
  <c r="AV78" i="7"/>
  <c r="Q78" i="7"/>
  <c r="BM76" i="7"/>
  <c r="BO66" i="7"/>
  <c r="BO61" i="7"/>
  <c r="BD59" i="7"/>
  <c r="AV55" i="7"/>
  <c r="BB51" i="7"/>
  <c r="AC47" i="7"/>
  <c r="BO41" i="7"/>
  <c r="BB41" i="7"/>
  <c r="BO29" i="7"/>
  <c r="BB27" i="7"/>
  <c r="AL25" i="7"/>
  <c r="BB69" i="7"/>
  <c r="BO60" i="7"/>
  <c r="AL60" i="7"/>
  <c r="BM44" i="7"/>
  <c r="BO42" i="7"/>
  <c r="BN17" i="7"/>
  <c r="BM10" i="7"/>
  <c r="BC126" i="7"/>
  <c r="BC74" i="7"/>
  <c r="AL197" i="7"/>
  <c r="BD180" i="7"/>
  <c r="BD174" i="7"/>
  <c r="T161" i="7" a="1"/>
  <c r="T161" i="7" s="1"/>
  <c r="BO155" i="7"/>
  <c r="AV135" i="7"/>
  <c r="Q135" i="7"/>
  <c r="BN163" i="7"/>
  <c r="T138" i="7" a="1"/>
  <c r="T138" i="7" s="1"/>
  <c r="T134" i="7" a="1"/>
  <c r="T134" i="7" s="1"/>
  <c r="BD126" i="7"/>
  <c r="BO114" i="7"/>
  <c r="BB114" i="7"/>
  <c r="AV110" i="7"/>
  <c r="Q110" i="7"/>
  <c r="BO86" i="7"/>
  <c r="BB86" i="7"/>
  <c r="BO82" i="7"/>
  <c r="BB82" i="7"/>
  <c r="AL78" i="7"/>
  <c r="BD74" i="7"/>
  <c r="T70" i="7" a="1"/>
  <c r="T70" i="7" s="1"/>
  <c r="AC71" i="7"/>
  <c r="AV65" i="7"/>
  <c r="BB59" i="7"/>
  <c r="AL45" i="7"/>
  <c r="BM41" i="7"/>
  <c r="BO27" i="7"/>
  <c r="BM60" i="7"/>
  <c r="BC76" i="7"/>
  <c r="BN180" i="7"/>
  <c r="M203" i="7"/>
  <c r="AB203" i="7" s="1"/>
  <c r="BD201" i="7"/>
  <c r="AV161" i="7"/>
  <c r="Q161" i="7"/>
  <c r="BO149" i="7"/>
  <c r="AL135" i="7"/>
  <c r="BD129" i="7"/>
  <c r="BO126" i="7"/>
  <c r="BB126" i="7"/>
  <c r="AC113" i="7"/>
  <c r="BB123" i="7"/>
  <c r="AL110" i="7"/>
  <c r="BM82" i="7"/>
  <c r="BD76" i="7"/>
  <c r="BO74" i="7"/>
  <c r="BB74" i="7"/>
  <c r="BO59" i="7"/>
  <c r="AC55" i="7"/>
  <c r="BO51" i="7"/>
  <c r="BM27" i="7"/>
  <c r="AC25" i="7"/>
  <c r="AC60" i="7"/>
  <c r="BD44" i="7"/>
  <c r="BD42" i="7"/>
  <c r="BD10" i="7"/>
  <c r="BC82" i="7"/>
  <c r="BC44" i="7"/>
  <c r="AO167" i="7"/>
  <c r="AU167" i="7"/>
  <c r="AB167" i="7"/>
  <c r="AM165" i="7"/>
  <c r="R165" i="7"/>
  <c r="AW165" i="7"/>
  <c r="AP145" i="7"/>
  <c r="AC145" i="7"/>
  <c r="AP136" i="7"/>
  <c r="Q136" i="7"/>
  <c r="AL136" i="7"/>
  <c r="AV136" i="7"/>
  <c r="AC136" i="7"/>
  <c r="AP132" i="7"/>
  <c r="Q132" i="7"/>
  <c r="AL132" i="7"/>
  <c r="AV132" i="7"/>
  <c r="AC132" i="7"/>
  <c r="BN28" i="7"/>
  <c r="BE28" i="7"/>
  <c r="BB28" i="7"/>
  <c r="BO28" i="7"/>
  <c r="BC28" i="7"/>
  <c r="BD28" i="7"/>
  <c r="BM28" i="7"/>
  <c r="BO16" i="7"/>
  <c r="BB16" i="7"/>
  <c r="BE16" i="7"/>
  <c r="BN16" i="7"/>
  <c r="AP203" i="7"/>
  <c r="Q203" i="7"/>
  <c r="AL203" i="7"/>
  <c r="M179" i="7"/>
  <c r="O179" i="7"/>
  <c r="AD179" i="7" s="1"/>
  <c r="M171" i="7"/>
  <c r="AB171" i="7" s="1"/>
  <c r="O171" i="7"/>
  <c r="AD171" i="7" s="1"/>
  <c r="N163" i="7"/>
  <c r="O163" i="7"/>
  <c r="AQ163" i="7" s="1"/>
  <c r="N147" i="7"/>
  <c r="M147" i="7"/>
  <c r="M139" i="7"/>
  <c r="N139" i="7"/>
  <c r="AL139" i="7" s="1"/>
  <c r="O139" i="7"/>
  <c r="R139" i="7" s="1"/>
  <c r="M131" i="7"/>
  <c r="P131" i="7" s="1"/>
  <c r="N131" i="7"/>
  <c r="AC131" i="7" s="1"/>
  <c r="O131" i="7"/>
  <c r="AM131" i="7" s="1"/>
  <c r="O123" i="7"/>
  <c r="N123" i="7"/>
  <c r="AV123" i="7" s="1"/>
  <c r="M123" i="7"/>
  <c r="AB123" i="7" s="1"/>
  <c r="N115" i="7"/>
  <c r="AP115" i="7" s="1"/>
  <c r="M115" i="7"/>
  <c r="P115" i="7" s="1"/>
  <c r="O115" i="7"/>
  <c r="R115" i="7" s="1"/>
  <c r="AM107" i="7"/>
  <c r="AQ107" i="7"/>
  <c r="N99" i="7"/>
  <c r="AC99" i="7" s="1"/>
  <c r="M99" i="7"/>
  <c r="AB99" i="7" s="1"/>
  <c r="O99" i="7"/>
  <c r="N91" i="7"/>
  <c r="M91" i="7"/>
  <c r="AB91" i="7" s="1"/>
  <c r="O91" i="7"/>
  <c r="AW91" i="7" s="1"/>
  <c r="M83" i="7"/>
  <c r="AB83" i="7" s="1"/>
  <c r="O83" i="7"/>
  <c r="AM83" i="7" s="1"/>
  <c r="O75" i="7"/>
  <c r="R75" i="7" s="1"/>
  <c r="M75" i="7"/>
  <c r="AB75" i="7" s="1"/>
  <c r="N75" i="7"/>
  <c r="AL75" i="7" s="1"/>
  <c r="O67" i="7"/>
  <c r="AQ67" i="7" s="1"/>
  <c r="M67" i="7"/>
  <c r="P67" i="7" s="1"/>
  <c r="N59" i="7"/>
  <c r="AL59" i="7" s="1"/>
  <c r="M59" i="7"/>
  <c r="N51" i="7"/>
  <c r="Q51" i="7" s="1"/>
  <c r="M51" i="7"/>
  <c r="O43" i="7"/>
  <c r="AQ43" i="7" s="1"/>
  <c r="N43" i="7"/>
  <c r="M43" i="7"/>
  <c r="AO43" i="7" s="1"/>
  <c r="T76" i="7" a="1"/>
  <c r="T76" i="7" s="1"/>
  <c r="T82" i="7" a="1"/>
  <c r="T82" i="7" s="1"/>
  <c r="T98" i="7" a="1"/>
  <c r="T98" i="7" s="1"/>
  <c r="T112" i="7" a="1"/>
  <c r="T112" i="7" s="1"/>
  <c r="T116" i="7" a="1"/>
  <c r="T116" i="7" s="1"/>
  <c r="T51" i="7" a="1"/>
  <c r="T51" i="7" s="1"/>
  <c r="T63" i="7" a="1"/>
  <c r="T63" i="7" s="1"/>
  <c r="T71" i="7" a="1"/>
  <c r="T71" i="7" s="1"/>
  <c r="T58" i="7" a="1"/>
  <c r="T58" i="7" s="1"/>
  <c r="T73" i="7" a="1"/>
  <c r="T73" i="7" s="1"/>
  <c r="T86" i="7" a="1"/>
  <c r="T86" i="7" s="1"/>
  <c r="T100" i="7" a="1"/>
  <c r="T100" i="7" s="1"/>
  <c r="T114" i="7" a="1"/>
  <c r="T114" i="7" s="1"/>
  <c r="T89" i="7" a="1"/>
  <c r="T89" i="7" s="1"/>
  <c r="T91" i="7" a="1"/>
  <c r="T91" i="7" s="1"/>
  <c r="T99" i="7" a="1"/>
  <c r="T99" i="7" s="1"/>
  <c r="T120" i="7" a="1"/>
  <c r="T120" i="7" s="1"/>
  <c r="T128" i="7" a="1"/>
  <c r="T128" i="7" s="1"/>
  <c r="T160" i="7" a="1"/>
  <c r="T160" i="7" s="1"/>
  <c r="T145" i="7" a="1"/>
  <c r="T145" i="7" s="1"/>
  <c r="T190" i="7" a="1"/>
  <c r="T190" i="7" s="1"/>
  <c r="T205" i="7" a="1"/>
  <c r="T205" i="7" s="1"/>
  <c r="T69" i="7" a="1"/>
  <c r="T69" i="7" s="1"/>
  <c r="T25" i="7" a="1"/>
  <c r="T25" i="7" s="1"/>
  <c r="T78" i="7" a="1"/>
  <c r="T78" i="7" s="1"/>
  <c r="T102" i="7" a="1"/>
  <c r="T102" i="7" s="1"/>
  <c r="T104" i="7" a="1"/>
  <c r="T104" i="7" s="1"/>
  <c r="T127" i="7" a="1"/>
  <c r="T127" i="7" s="1"/>
  <c r="T122" i="7" a="1"/>
  <c r="T122" i="7" s="1"/>
  <c r="T130" i="7" a="1"/>
  <c r="T130" i="7" s="1"/>
  <c r="T132" i="7" a="1"/>
  <c r="T132" i="7" s="1"/>
  <c r="T136" i="7" a="1"/>
  <c r="T136" i="7" s="1"/>
  <c r="T140" i="7" a="1"/>
  <c r="T140" i="7" s="1"/>
  <c r="T144" i="7" a="1"/>
  <c r="T144" i="7" s="1"/>
  <c r="T148" i="7" a="1"/>
  <c r="T148" i="7" s="1"/>
  <c r="T154" i="7" a="1"/>
  <c r="T154" i="7" s="1"/>
  <c r="T155" i="7" a="1"/>
  <c r="T155" i="7" s="1"/>
  <c r="T68" i="7" a="1"/>
  <c r="T68" i="7" s="1"/>
  <c r="T94" i="7" a="1"/>
  <c r="T94" i="7" s="1"/>
  <c r="T106" i="7" a="1"/>
  <c r="T106" i="7" s="1"/>
  <c r="T108" i="7" a="1"/>
  <c r="T108" i="7" s="1"/>
  <c r="T110" i="7" a="1"/>
  <c r="T110" i="7" s="1"/>
  <c r="T123" i="7" a="1"/>
  <c r="T123" i="7" s="1"/>
  <c r="T93" i="7" a="1"/>
  <c r="T93" i="7" s="1"/>
  <c r="T101" i="7" a="1"/>
  <c r="T101" i="7" s="1"/>
  <c r="T124" i="7" a="1"/>
  <c r="T124" i="7" s="1"/>
  <c r="T162" i="7" a="1"/>
  <c r="T162" i="7" s="1"/>
  <c r="T139" i="7" a="1"/>
  <c r="T139" i="7" s="1"/>
  <c r="T141" i="7" a="1"/>
  <c r="T141" i="7" s="1"/>
  <c r="T143" i="7" a="1"/>
  <c r="T143" i="7" s="1"/>
  <c r="N194" i="7"/>
  <c r="O194" i="7"/>
  <c r="AQ194" i="7" s="1"/>
  <c r="AP186" i="7"/>
  <c r="Q186" i="7"/>
  <c r="AL186" i="7"/>
  <c r="N170" i="7"/>
  <c r="AC170" i="7" s="1"/>
  <c r="O170" i="7"/>
  <c r="N162" i="7"/>
  <c r="O162" i="7"/>
  <c r="AM162" i="7" s="1"/>
  <c r="N154" i="7"/>
  <c r="M154" i="7"/>
  <c r="AB154" i="7" s="1"/>
  <c r="N146" i="7"/>
  <c r="M146" i="7"/>
  <c r="O146" i="7"/>
  <c r="AQ146" i="7" s="1"/>
  <c r="N138" i="7"/>
  <c r="M138" i="7"/>
  <c r="AO138" i="7" s="1"/>
  <c r="O138" i="7"/>
  <c r="AD138" i="7" s="1"/>
  <c r="N130" i="7"/>
  <c r="AV130" i="7" s="1"/>
  <c r="O130" i="7"/>
  <c r="AW130" i="7" s="1"/>
  <c r="N114" i="7"/>
  <c r="O114" i="7"/>
  <c r="M114" i="7"/>
  <c r="AO114" i="7" s="1"/>
  <c r="N106" i="7"/>
  <c r="M106" i="7"/>
  <c r="O106" i="7"/>
  <c r="R106" i="7" s="1"/>
  <c r="N98" i="7"/>
  <c r="M98" i="7"/>
  <c r="N90" i="7"/>
  <c r="M90" i="7"/>
  <c r="AB90" i="7" s="1"/>
  <c r="O90" i="7"/>
  <c r="AM90" i="7" s="1"/>
  <c r="N82" i="7"/>
  <c r="M82" i="7"/>
  <c r="AO82" i="7" s="1"/>
  <c r="O82" i="7"/>
  <c r="AD82" i="7" s="1"/>
  <c r="N74" i="7"/>
  <c r="Q74" i="7" s="1"/>
  <c r="M74" i="7"/>
  <c r="AB74" i="7" s="1"/>
  <c r="O74" i="7"/>
  <c r="AQ74" i="7" s="1"/>
  <c r="N66" i="7"/>
  <c r="M66" i="7"/>
  <c r="AO66" i="7" s="1"/>
  <c r="O66" i="7"/>
  <c r="AQ66" i="7" s="1"/>
  <c r="N26" i="7"/>
  <c r="AP26" i="7" s="1"/>
  <c r="O26" i="7"/>
  <c r="R26" i="7" s="1"/>
  <c r="AV203" i="7"/>
  <c r="O203" i="7"/>
  <c r="AW203" i="7" s="1"/>
  <c r="BO201" i="7"/>
  <c r="BB201" i="7"/>
  <c r="T200" i="7" a="1"/>
  <c r="T200" i="7" s="1"/>
  <c r="M202" i="7"/>
  <c r="O195" i="7"/>
  <c r="AD195" i="7" s="1"/>
  <c r="M194" i="7"/>
  <c r="T191" i="7" a="1"/>
  <c r="T191" i="7" s="1"/>
  <c r="AV186" i="7"/>
  <c r="O186" i="7"/>
  <c r="AW186" i="7" s="1"/>
  <c r="Q182" i="7"/>
  <c r="AL178" i="7"/>
  <c r="BB172" i="7"/>
  <c r="N171" i="7"/>
  <c r="AV171" i="7" s="1"/>
  <c r="M155" i="7"/>
  <c r="AB155" i="7" s="1"/>
  <c r="O147" i="7"/>
  <c r="AM147" i="7" s="1"/>
  <c r="T133" i="7" a="1"/>
  <c r="T133" i="7" s="1"/>
  <c r="T156" i="7" a="1"/>
  <c r="T156" i="7" s="1"/>
  <c r="N155" i="7"/>
  <c r="AL155" i="7" s="1"/>
  <c r="BN147" i="7"/>
  <c r="BM147" i="7"/>
  <c r="T142" i="7" a="1"/>
  <c r="T142" i="7" s="1"/>
  <c r="M107" i="7"/>
  <c r="AB107" i="7" s="1"/>
  <c r="T109" i="7" a="1"/>
  <c r="T109" i="7" s="1"/>
  <c r="T90" i="7" a="1"/>
  <c r="T90" i="7" s="1"/>
  <c r="N83" i="7"/>
  <c r="AC83" i="7" s="1"/>
  <c r="BN127" i="7"/>
  <c r="BB127" i="7"/>
  <c r="BC188" i="7"/>
  <c r="BD188" i="7"/>
  <c r="BM160" i="7"/>
  <c r="BB160" i="7"/>
  <c r="BO160" i="7"/>
  <c r="BD160" i="7"/>
  <c r="BC152" i="7"/>
  <c r="BB152" i="7"/>
  <c r="BO152" i="7"/>
  <c r="BD152" i="7"/>
  <c r="BB199" i="7"/>
  <c r="BO199" i="7"/>
  <c r="Q54" i="7"/>
  <c r="AV54" i="7"/>
  <c r="AP54" i="7"/>
  <c r="AC54" i="7"/>
  <c r="AL54" i="7"/>
  <c r="BD205" i="7"/>
  <c r="BD202" i="7"/>
  <c r="BC202" i="7"/>
  <c r="T199" i="7" a="1"/>
  <c r="T199" i="7" s="1"/>
  <c r="AC197" i="7"/>
  <c r="T193" i="7" a="1"/>
  <c r="T193" i="7" s="1"/>
  <c r="AP191" i="7"/>
  <c r="AV191" i="7"/>
  <c r="M186" i="7"/>
  <c r="P186" i="7" s="1"/>
  <c r="T196" i="7" a="1"/>
  <c r="T196" i="7" s="1"/>
  <c r="M187" i="7"/>
  <c r="AB187" i="7" s="1"/>
  <c r="T184" i="7" a="1"/>
  <c r="T184" i="7" s="1"/>
  <c r="T183" i="7" a="1"/>
  <c r="T183" i="7" s="1"/>
  <c r="T181" i="7" a="1"/>
  <c r="T181" i="7" s="1"/>
  <c r="T185" i="7" a="1"/>
  <c r="T185" i="7" s="1"/>
  <c r="BE180" i="7"/>
  <c r="BO180" i="7"/>
  <c r="T131" i="7" a="1"/>
  <c r="T131" i="7" s="1"/>
  <c r="BM152" i="7"/>
  <c r="T147" i="7" a="1"/>
  <c r="T147" i="7" s="1"/>
  <c r="BC139" i="7"/>
  <c r="BM139" i="7"/>
  <c r="BB139" i="7"/>
  <c r="BO139" i="7"/>
  <c r="T97" i="7" a="1"/>
  <c r="T97" i="7" s="1"/>
  <c r="T119" i="7" a="1"/>
  <c r="T119" i="7" s="1"/>
  <c r="T96" i="7" a="1"/>
  <c r="T96" i="7" s="1"/>
  <c r="BM164" i="7"/>
  <c r="BD164" i="7"/>
  <c r="BC157" i="7"/>
  <c r="BB157" i="7"/>
  <c r="BE157" i="7"/>
  <c r="BB156" i="7"/>
  <c r="BO156" i="7"/>
  <c r="BD156" i="7"/>
  <c r="AP148" i="7"/>
  <c r="Q148" i="7"/>
  <c r="AL148" i="7"/>
  <c r="AV148" i="7"/>
  <c r="AC148" i="7"/>
  <c r="AP140" i="7"/>
  <c r="Q140" i="7"/>
  <c r="AL140" i="7"/>
  <c r="AV140" i="7"/>
  <c r="AC140" i="7"/>
  <c r="BB205" i="7"/>
  <c r="BM199" i="7"/>
  <c r="AV197" i="7"/>
  <c r="T195" i="7" a="1"/>
  <c r="T195" i="7" s="1"/>
  <c r="BB188" i="7"/>
  <c r="AC186" i="7"/>
  <c r="T180" i="7" a="1"/>
  <c r="T180" i="7" s="1"/>
  <c r="T179" i="7" a="1"/>
  <c r="T179" i="7" s="1"/>
  <c r="O178" i="7"/>
  <c r="T173" i="7" a="1"/>
  <c r="T173" i="7" s="1"/>
  <c r="AD165" i="7"/>
  <c r="N187" i="7"/>
  <c r="AV187" i="7" s="1"/>
  <c r="AQ173" i="7"/>
  <c r="AW173" i="7"/>
  <c r="AD173" i="7"/>
  <c r="BO157" i="7"/>
  <c r="M162" i="7"/>
  <c r="BM156" i="7"/>
  <c r="BE153" i="7"/>
  <c r="BB153" i="7"/>
  <c r="T150" i="7" a="1"/>
  <c r="T150" i="7" s="1"/>
  <c r="T146" i="7" a="1"/>
  <c r="T146" i="7" s="1"/>
  <c r="T126" i="7" a="1"/>
  <c r="T126" i="7" s="1"/>
  <c r="T105" i="7" a="1"/>
  <c r="T105" i="7" s="1"/>
  <c r="T103" i="7" a="1"/>
  <c r="T103" i="7" s="1"/>
  <c r="T115" i="7" a="1"/>
  <c r="T115" i="7" s="1"/>
  <c r="N107" i="7"/>
  <c r="BN97" i="7"/>
  <c r="BE97" i="7"/>
  <c r="BM97" i="7"/>
  <c r="BB97" i="7"/>
  <c r="BO97" i="7"/>
  <c r="BD97" i="7"/>
  <c r="BN57" i="7"/>
  <c r="BB57" i="7"/>
  <c r="BO57" i="7"/>
  <c r="BD57" i="7"/>
  <c r="BM57" i="7"/>
  <c r="T187" i="7" a="1"/>
  <c r="T187" i="7" s="1"/>
  <c r="T157" i="7" a="1"/>
  <c r="T157" i="7" s="1"/>
  <c r="T153" i="7" a="1"/>
  <c r="T153" i="7" s="1"/>
  <c r="T135" i="7" a="1"/>
  <c r="T135" i="7" s="1"/>
  <c r="T117" i="7" a="1"/>
  <c r="T117" i="7" s="1"/>
  <c r="T113" i="7" a="1"/>
  <c r="T113" i="7" s="1"/>
  <c r="BC85" i="7"/>
  <c r="BB85" i="7"/>
  <c r="BO85" i="7"/>
  <c r="BD53" i="7"/>
  <c r="BM53" i="7"/>
  <c r="BC31" i="7"/>
  <c r="BM31" i="7"/>
  <c r="BB31" i="7"/>
  <c r="AP52" i="7"/>
  <c r="AC52" i="7"/>
  <c r="BC46" i="7"/>
  <c r="BM46" i="7"/>
  <c r="BO46" i="7"/>
  <c r="BB46" i="7"/>
  <c r="BN30" i="7"/>
  <c r="BC30" i="7"/>
  <c r="BM30" i="7"/>
  <c r="BN24" i="7"/>
  <c r="BO24" i="7"/>
  <c r="BC24" i="7"/>
  <c r="BB24" i="7"/>
  <c r="BO15" i="7"/>
  <c r="BB15" i="7"/>
  <c r="BN56" i="7"/>
  <c r="BC56" i="7"/>
  <c r="BM56" i="7"/>
  <c r="BB56" i="7"/>
  <c r="BO56" i="7"/>
  <c r="BD56" i="7"/>
  <c r="BM40" i="7"/>
  <c r="BC40" i="7"/>
  <c r="BB40" i="7"/>
  <c r="BO40" i="7"/>
  <c r="BD40" i="7"/>
  <c r="T178" i="7" a="1"/>
  <c r="T178" i="7" s="1"/>
  <c r="T170" i="7" a="1"/>
  <c r="T170" i="7" s="1"/>
  <c r="T163" i="7" a="1"/>
  <c r="T163" i="7" s="1"/>
  <c r="T159" i="7" a="1"/>
  <c r="T159" i="7" s="1"/>
  <c r="T111" i="7" a="1"/>
  <c r="T111" i="7" s="1"/>
  <c r="AP61" i="7"/>
  <c r="Q61" i="7"/>
  <c r="AL61" i="7"/>
  <c r="BM23" i="7"/>
  <c r="BB23" i="7"/>
  <c r="BN102" i="7"/>
  <c r="BB102" i="7"/>
  <c r="BO102" i="7"/>
  <c r="BC102" i="7"/>
  <c r="T72" i="7" a="1"/>
  <c r="T72" i="7" s="1"/>
  <c r="BN124" i="7"/>
  <c r="BC124" i="7"/>
  <c r="AP76" i="7"/>
  <c r="AV76" i="7"/>
  <c r="T204" i="7" a="1"/>
  <c r="T204" i="7" s="1"/>
  <c r="T171" i="7" a="1"/>
  <c r="T171" i="7" s="1"/>
  <c r="T165" i="7" a="1"/>
  <c r="T165" i="7" s="1"/>
  <c r="T182" i="7" a="1"/>
  <c r="T182" i="7" s="1"/>
  <c r="BO159" i="7"/>
  <c r="T151" i="7" a="1"/>
  <c r="T151" i="7" s="1"/>
  <c r="T149" i="7" a="1"/>
  <c r="T149" i="7" s="1"/>
  <c r="T137" i="7" a="1"/>
  <c r="T137" i="7" s="1"/>
  <c r="T107" i="7" a="1"/>
  <c r="T107" i="7" s="1"/>
  <c r="T95" i="7" a="1"/>
  <c r="T95" i="7" s="1"/>
  <c r="T87" i="7" a="1"/>
  <c r="T87" i="7" s="1"/>
  <c r="T83" i="7" a="1"/>
  <c r="T83" i="7" s="1"/>
  <c r="T81" i="7" a="1"/>
  <c r="T81" i="7" s="1"/>
  <c r="BB53" i="7"/>
  <c r="T75" i="7" a="1"/>
  <c r="T75" i="7" s="1"/>
  <c r="T23" i="7" a="1"/>
  <c r="T23" i="7" s="1"/>
  <c r="T65" i="7" a="1"/>
  <c r="T65" i="7" s="1"/>
  <c r="BE37" i="7"/>
  <c r="T35" i="7" a="1"/>
  <c r="T35" i="7" s="1"/>
  <c r="BE33" i="7"/>
  <c r="T33" i="7" a="1"/>
  <c r="T33" i="7" s="1"/>
  <c r="T121" i="7" a="1"/>
  <c r="T121" i="7" s="1"/>
  <c r="AW118" i="7"/>
  <c r="T85" i="7" a="1"/>
  <c r="T85" i="7" s="1"/>
  <c r="BD65" i="7"/>
  <c r="BB61" i="7"/>
  <c r="BD51" i="7"/>
  <c r="BB49" i="7"/>
  <c r="AV47" i="7"/>
  <c r="BM43" i="7"/>
  <c r="AL41" i="7"/>
  <c r="AL39" i="7"/>
  <c r="T61" i="7" a="1"/>
  <c r="T61" i="7" s="1"/>
  <c r="T27" i="7" a="1"/>
  <c r="T27" i="7" s="1"/>
  <c r="BC200" i="7"/>
  <c r="BB202" i="7"/>
  <c r="BC191" i="7"/>
  <c r="BC189" i="7"/>
  <c r="BE159" i="7"/>
  <c r="BE149" i="7"/>
  <c r="BC147" i="7"/>
  <c r="BB125" i="7"/>
  <c r="AQ79" i="7"/>
  <c r="AL71" i="7"/>
  <c r="BB65" i="7"/>
  <c r="AC61" i="7"/>
  <c r="BM59" i="7"/>
  <c r="BO55" i="7"/>
  <c r="BM51" i="7"/>
  <c r="AL47" i="7"/>
  <c r="BO43" i="7"/>
  <c r="BB43" i="7"/>
  <c r="AC41" i="7"/>
  <c r="BO37" i="7"/>
  <c r="BB37" i="7"/>
  <c r="BB35" i="7"/>
  <c r="BO31" i="7"/>
  <c r="BN138" i="7"/>
  <c r="BN202" i="7"/>
  <c r="AB200" i="7"/>
  <c r="AO192" i="7"/>
  <c r="AM181" i="7"/>
  <c r="BM178" i="7"/>
  <c r="AV178" i="7"/>
  <c r="BN175" i="7"/>
  <c r="AC166" i="7"/>
  <c r="AC161" i="7"/>
  <c r="BM157" i="7"/>
  <c r="BD153" i="7"/>
  <c r="BM149" i="7"/>
  <c r="BO147" i="7"/>
  <c r="BB147" i="7"/>
  <c r="AW79" i="7"/>
  <c r="BC51" i="7"/>
  <c r="BE102" i="7"/>
  <c r="BN126" i="7"/>
  <c r="BN76" i="7"/>
  <c r="BN64" i="7"/>
  <c r="AQ180" i="7"/>
  <c r="AW183" i="7"/>
  <c r="R183" i="7"/>
  <c r="BO164" i="7"/>
  <c r="BC65" i="7"/>
  <c r="BC47" i="7"/>
  <c r="BE82" i="7"/>
  <c r="BE72" i="7"/>
  <c r="BE124" i="7"/>
  <c r="BE164" i="7"/>
  <c r="AM183" i="7"/>
  <c r="R177" i="7"/>
  <c r="BD176" i="7"/>
  <c r="AO111" i="7"/>
  <c r="BN59" i="7"/>
  <c r="BN128" i="7"/>
  <c r="BE74" i="7"/>
  <c r="BN44" i="7"/>
  <c r="BM202" i="7"/>
  <c r="BD196" i="7"/>
  <c r="BC183" i="7"/>
  <c r="BD182" i="7"/>
  <c r="AM177" i="7"/>
  <c r="BO176" i="7"/>
  <c r="BB164" i="7"/>
  <c r="AQ183" i="7"/>
  <c r="BC164" i="7"/>
  <c r="AO101" i="7"/>
  <c r="BD125" i="7"/>
  <c r="BE107" i="7"/>
  <c r="BC97" i="7"/>
  <c r="AB61" i="7"/>
  <c r="BE57" i="7"/>
  <c r="BE144" i="7"/>
  <c r="BC190" i="7"/>
  <c r="BC110" i="7"/>
  <c r="BC90" i="7"/>
  <c r="BE62" i="7"/>
  <c r="T118" i="7" a="1"/>
  <c r="T118" i="7" s="1"/>
  <c r="T79" i="7" a="1"/>
  <c r="T79" i="7" s="1"/>
  <c r="T66" i="7" a="1"/>
  <c r="T66" i="7" s="1"/>
  <c r="BE200" i="7"/>
  <c r="AV196" i="7"/>
  <c r="BB189" i="7"/>
  <c r="AO172" i="7"/>
  <c r="BC174" i="7"/>
  <c r="AQ165" i="7"/>
  <c r="AO151" i="7"/>
  <c r="BM163" i="7"/>
  <c r="BO125" i="7"/>
  <c r="AO116" i="7"/>
  <c r="BC93" i="7"/>
  <c r="Q71" i="7"/>
  <c r="BD75" i="7"/>
  <c r="AP45" i="7"/>
  <c r="BC144" i="7"/>
  <c r="BE184" i="7"/>
  <c r="BE178" i="7"/>
  <c r="BC176" i="7"/>
  <c r="AO87" i="7"/>
  <c r="BN198" i="7"/>
  <c r="AM164" i="7"/>
  <c r="BM125" i="7"/>
  <c r="AQ206" i="7"/>
  <c r="Q191" i="7"/>
  <c r="BN177" i="7"/>
  <c r="AQ181" i="7"/>
  <c r="BM175" i="7"/>
  <c r="BM167" i="7"/>
  <c r="BM161" i="7"/>
  <c r="BM151" i="7"/>
  <c r="BE151" i="7"/>
  <c r="AC121" i="7"/>
  <c r="AL121" i="7"/>
  <c r="BN119" i="7"/>
  <c r="BB119" i="7"/>
  <c r="BO119" i="7"/>
  <c r="AL191" i="7"/>
  <c r="AD181" i="7"/>
  <c r="AQ164" i="7"/>
  <c r="R187" i="7"/>
  <c r="BC184" i="7"/>
  <c r="AO169" i="7"/>
  <c r="AD155" i="7"/>
  <c r="AM155" i="7"/>
  <c r="AO137" i="7"/>
  <c r="BO163" i="7"/>
  <c r="BE101" i="7"/>
  <c r="BM101" i="7"/>
  <c r="BB101" i="7"/>
  <c r="BO101" i="7"/>
  <c r="AW187" i="7"/>
  <c r="AQ204" i="7"/>
  <c r="AW206" i="7"/>
  <c r="R206" i="7"/>
  <c r="AM204" i="7"/>
  <c r="BM200" i="7"/>
  <c r="AO196" i="7"/>
  <c r="BO202" i="7"/>
  <c r="BB191" i="7"/>
  <c r="BO189" i="7"/>
  <c r="AQ187" i="7"/>
  <c r="BM184" i="7"/>
  <c r="BM180" i="7"/>
  <c r="Q178" i="7"/>
  <c r="AW177" i="7"/>
  <c r="AD177" i="7"/>
  <c r="BM176" i="7"/>
  <c r="BN167" i="7"/>
  <c r="BC165" i="7"/>
  <c r="AD187" i="7"/>
  <c r="AW180" i="7"/>
  <c r="AP178" i="7"/>
  <c r="BN176" i="7"/>
  <c r="AB168" i="7"/>
  <c r="AB157" i="7"/>
  <c r="AL145" i="7"/>
  <c r="Q145" i="7"/>
  <c r="BD101" i="7"/>
  <c r="AO108" i="7"/>
  <c r="AO86" i="7"/>
  <c r="AP105" i="7"/>
  <c r="AO104" i="7"/>
  <c r="BN99" i="7"/>
  <c r="BD99" i="7"/>
  <c r="BE99" i="7"/>
  <c r="BM99" i="7"/>
  <c r="BC81" i="7"/>
  <c r="BD81" i="7"/>
  <c r="P68" i="7"/>
  <c r="AU68" i="7" s="1"/>
  <c r="AO68" i="7"/>
  <c r="BN25" i="7"/>
  <c r="BE25" i="7"/>
  <c r="BN148" i="7"/>
  <c r="BE148" i="7"/>
  <c r="BC148" i="7"/>
  <c r="Q35" i="7"/>
  <c r="AV35" i="7"/>
  <c r="T44" i="7" a="1"/>
  <c r="T44" i="7" s="1"/>
  <c r="T37" i="7" a="1"/>
  <c r="T37" i="7" s="1"/>
  <c r="N11" i="7"/>
  <c r="AC11" i="7" s="1"/>
  <c r="T38" i="7" a="1"/>
  <c r="T38" i="7" s="1"/>
  <c r="T52" i="7" a="1"/>
  <c r="T52" i="7" s="1"/>
  <c r="T54" i="7" a="1"/>
  <c r="T54" i="7" s="1"/>
  <c r="T56" i="7" a="1"/>
  <c r="T56" i="7" s="1"/>
  <c r="O58" i="7"/>
  <c r="AQ58" i="7" s="1"/>
  <c r="N58" i="7"/>
  <c r="AC58" i="7" s="1"/>
  <c r="N50" i="7"/>
  <c r="O50" i="7"/>
  <c r="R50" i="7" s="1"/>
  <c r="M42" i="7"/>
  <c r="AB42" i="7" s="1"/>
  <c r="O42" i="7"/>
  <c r="AQ42" i="7" s="1"/>
  <c r="M34" i="7"/>
  <c r="AO34" i="7" s="1"/>
  <c r="O34" i="7"/>
  <c r="AW34" i="7" s="1"/>
  <c r="N34" i="7"/>
  <c r="AQ105" i="7"/>
  <c r="T59" i="7" a="1"/>
  <c r="T59" i="7" s="1"/>
  <c r="O35" i="7"/>
  <c r="BD33" i="7"/>
  <c r="T64" i="7" a="1"/>
  <c r="T64" i="7" s="1"/>
  <c r="M58" i="7"/>
  <c r="AO58" i="7" s="1"/>
  <c r="BC53" i="7"/>
  <c r="BE53" i="7"/>
  <c r="AP35" i="7"/>
  <c r="BC33" i="7"/>
  <c r="N27" i="7"/>
  <c r="M26" i="7"/>
  <c r="AO26" i="7" s="1"/>
  <c r="BN188" i="7"/>
  <c r="BE188" i="7"/>
  <c r="BN160" i="7"/>
  <c r="BE160" i="7"/>
  <c r="BC160" i="7"/>
  <c r="BE92" i="7"/>
  <c r="BN92" i="7"/>
  <c r="BB54" i="7"/>
  <c r="BD54" i="7"/>
  <c r="T50" i="7" a="1"/>
  <c r="T50" i="7" s="1"/>
  <c r="T26" i="7" a="1"/>
  <c r="T26" i="7" s="1"/>
  <c r="BC143" i="7"/>
  <c r="S136" i="7" a="1"/>
  <c r="S136" i="7" s="1"/>
  <c r="AO95" i="7"/>
  <c r="AP119" i="7"/>
  <c r="T49" i="7" a="1"/>
  <c r="T49" i="7" s="1"/>
  <c r="T45" i="7" a="1"/>
  <c r="T45" i="7" s="1"/>
  <c r="AL35" i="7"/>
  <c r="M35" i="7"/>
  <c r="AO35" i="7" s="1"/>
  <c r="BO33" i="7"/>
  <c r="BB33" i="7"/>
  <c r="AD33" i="7"/>
  <c r="AQ33" i="7"/>
  <c r="T29" i="7" a="1"/>
  <c r="T29" i="7" s="1"/>
  <c r="M27" i="7"/>
  <c r="AB27" i="7" s="1"/>
  <c r="BD25" i="7"/>
  <c r="N67" i="7"/>
  <c r="Q67" i="7" s="1"/>
  <c r="BE59" i="7"/>
  <c r="BN55" i="7"/>
  <c r="BC55" i="7"/>
  <c r="BB50" i="7"/>
  <c r="M50" i="7"/>
  <c r="AO50" i="7" s="1"/>
  <c r="T48" i="7" a="1"/>
  <c r="T48" i="7" s="1"/>
  <c r="T41" i="7" a="1"/>
  <c r="T41" i="7" s="1"/>
  <c r="T36" i="7" a="1"/>
  <c r="T36" i="7" s="1"/>
  <c r="T34" i="7" a="1"/>
  <c r="T34" i="7" s="1"/>
  <c r="BN31" i="7"/>
  <c r="BD31" i="7"/>
  <c r="BN29" i="7"/>
  <c r="BM29" i="7"/>
  <c r="BC29" i="7"/>
  <c r="BC92" i="7"/>
  <c r="BN94" i="7"/>
  <c r="BE94" i="7"/>
  <c r="BN46" i="7"/>
  <c r="BD46" i="7"/>
  <c r="BE46" i="7"/>
  <c r="BE36" i="7"/>
  <c r="BD36" i="7"/>
  <c r="BO9" i="7"/>
  <c r="BE9" i="7"/>
  <c r="BD9" i="7"/>
  <c r="BE125" i="7"/>
  <c r="T67" i="7" a="1"/>
  <c r="T67" i="7" s="1"/>
  <c r="O59" i="7"/>
  <c r="AM59" i="7" s="1"/>
  <c r="O51" i="7"/>
  <c r="BM33" i="7"/>
  <c r="AO31" i="7"/>
  <c r="BO25" i="7"/>
  <c r="BB25" i="7"/>
  <c r="AD79" i="7"/>
  <c r="R79" i="7"/>
  <c r="BN65" i="7"/>
  <c r="BE65" i="7"/>
  <c r="T62" i="7" a="1"/>
  <c r="T62" i="7" s="1"/>
  <c r="BE61" i="7"/>
  <c r="BN61" i="7"/>
  <c r="BC57" i="7"/>
  <c r="T57" i="7" a="1"/>
  <c r="T57" i="7" s="1"/>
  <c r="BE55" i="7"/>
  <c r="BO50" i="7"/>
  <c r="AO46" i="7"/>
  <c r="T39" i="7" a="1"/>
  <c r="T39" i="7" s="1"/>
  <c r="T31" i="7" a="1"/>
  <c r="T31" i="7" s="1"/>
  <c r="T30" i="7" a="1"/>
  <c r="T30" i="7" s="1"/>
  <c r="BE29" i="7"/>
  <c r="T77" i="7" a="1"/>
  <c r="T77" i="7" s="1"/>
  <c r="BC100" i="7"/>
  <c r="BN70" i="7"/>
  <c r="BE70" i="7"/>
  <c r="BC50" i="7"/>
  <c r="BN114" i="7"/>
  <c r="BC114" i="7"/>
  <c r="BE114" i="7"/>
  <c r="BN22" i="7"/>
  <c r="BO22" i="7"/>
  <c r="BO11" i="7"/>
  <c r="BN11" i="7"/>
  <c r="N42" i="7"/>
  <c r="T40" i="7" a="1"/>
  <c r="T40" i="7" s="1"/>
  <c r="T55" i="7" a="1"/>
  <c r="T55" i="7" s="1"/>
  <c r="BD34" i="7"/>
  <c r="BD30" i="7"/>
  <c r="BD20" i="7"/>
  <c r="BN13" i="7"/>
  <c r="BM77" i="7"/>
  <c r="S33" i="7" a="1"/>
  <c r="S33" i="7" s="1"/>
  <c r="AL52" i="7"/>
  <c r="Q52" i="7"/>
  <c r="T43" i="7" a="1"/>
  <c r="T43" i="7" s="1"/>
  <c r="BC37" i="7"/>
  <c r="BO34" i="7"/>
  <c r="BB34" i="7"/>
  <c r="BO32" i="7"/>
  <c r="BB32" i="7"/>
  <c r="BO30" i="7"/>
  <c r="BB30" i="7"/>
  <c r="BC106" i="7"/>
  <c r="BC34" i="7"/>
  <c r="BE106" i="7"/>
  <c r="BE34" i="7"/>
  <c r="BE30" i="7"/>
  <c r="CC191" i="7"/>
  <c r="P198" i="7"/>
  <c r="AU198" i="7" s="1"/>
  <c r="CC177" i="7"/>
  <c r="BM171" i="7"/>
  <c r="BB171" i="7"/>
  <c r="BN171" i="7"/>
  <c r="BC171" i="7"/>
  <c r="BE168" i="7"/>
  <c r="BM168" i="7"/>
  <c r="BB168" i="7"/>
  <c r="BO168" i="7"/>
  <c r="BN168" i="7"/>
  <c r="BD168" i="7"/>
  <c r="AD202" i="7"/>
  <c r="AQ202" i="7"/>
  <c r="S200" i="7" a="1"/>
  <c r="S200" i="7" s="1"/>
  <c r="AQ193" i="7"/>
  <c r="AO189" i="7"/>
  <c r="BM198" i="7"/>
  <c r="BO196" i="7"/>
  <c r="Q179" i="7"/>
  <c r="AC179" i="7"/>
  <c r="AL179" i="7"/>
  <c r="CC172" i="7"/>
  <c r="T172" i="7" a="1"/>
  <c r="T172" i="7" s="1"/>
  <c r="AQ200" i="7"/>
  <c r="CC204" i="7"/>
  <c r="AW202" i="7"/>
  <c r="AO199" i="7"/>
  <c r="AO195" i="7"/>
  <c r="AO193" i="7"/>
  <c r="BO191" i="7"/>
  <c r="AB198" i="7"/>
  <c r="AB193" i="7"/>
  <c r="BN196" i="7"/>
  <c r="AP182" i="7"/>
  <c r="AC182" i="7"/>
  <c r="AV182" i="7"/>
  <c r="BE206" i="7"/>
  <c r="R202" i="7"/>
  <c r="BC206" i="7"/>
  <c r="AW204" i="7"/>
  <c r="R204" i="7"/>
  <c r="CC202" i="7"/>
  <c r="AD200" i="7"/>
  <c r="BD206" i="7"/>
  <c r="BB198" i="7"/>
  <c r="BM191" i="7"/>
  <c r="BB196" i="7"/>
  <c r="CC196" i="7"/>
  <c r="P196" i="7"/>
  <c r="BE185" i="7"/>
  <c r="BM185" i="7"/>
  <c r="BE183" i="7"/>
  <c r="AO175" i="7"/>
  <c r="AB175" i="7"/>
  <c r="BN170" i="7"/>
  <c r="BB170" i="7"/>
  <c r="BO170" i="7"/>
  <c r="BC170" i="7"/>
  <c r="BD170" i="7"/>
  <c r="BE170" i="7"/>
  <c r="BC168" i="7"/>
  <c r="BN166" i="7"/>
  <c r="BM166" i="7"/>
  <c r="BC166" i="7"/>
  <c r="AB141" i="7"/>
  <c r="AD61" i="7"/>
  <c r="AW61" i="7"/>
  <c r="AQ61" i="7"/>
  <c r="BC179" i="7"/>
  <c r="BE175" i="7"/>
  <c r="CC169" i="7"/>
  <c r="AO168" i="7"/>
  <c r="BE167" i="7"/>
  <c r="BM173" i="7"/>
  <c r="P168" i="7"/>
  <c r="AU168" i="7" s="1"/>
  <c r="R164" i="7"/>
  <c r="BM155" i="7"/>
  <c r="BM143" i="7"/>
  <c r="BB141" i="7"/>
  <c r="BE155" i="7"/>
  <c r="R155" i="7"/>
  <c r="CD136" i="7"/>
  <c r="BM93" i="7"/>
  <c r="BN121" i="7"/>
  <c r="BN105" i="7"/>
  <c r="BE105" i="7"/>
  <c r="AB103" i="7"/>
  <c r="AQ92" i="7"/>
  <c r="AD29" i="7"/>
  <c r="AQ29" i="7"/>
  <c r="BN192" i="7"/>
  <c r="BE192" i="7"/>
  <c r="BC192" i="7"/>
  <c r="BC66" i="7"/>
  <c r="BN66" i="7"/>
  <c r="BE66" i="7"/>
  <c r="BM66" i="7"/>
  <c r="BN58" i="7"/>
  <c r="BE58" i="7"/>
  <c r="BC58" i="7"/>
  <c r="BM58" i="7"/>
  <c r="BD58" i="7"/>
  <c r="BO58" i="7"/>
  <c r="BE68" i="7"/>
  <c r="BC68" i="7"/>
  <c r="BB68" i="7"/>
  <c r="BO68" i="7"/>
  <c r="BD68" i="7"/>
  <c r="BC175" i="7"/>
  <c r="BC173" i="7"/>
  <c r="BC167" i="7"/>
  <c r="BB175" i="7"/>
  <c r="BB167" i="7"/>
  <c r="CC115" i="7"/>
  <c r="BO141" i="7"/>
  <c r="BC155" i="7"/>
  <c r="AM97" i="7"/>
  <c r="R97" i="7"/>
  <c r="AQ81" i="7"/>
  <c r="BN125" i="7"/>
  <c r="BO127" i="7"/>
  <c r="AB113" i="7"/>
  <c r="R105" i="7"/>
  <c r="AP29" i="7"/>
  <c r="AC29" i="7"/>
  <c r="CD29" i="7"/>
  <c r="BN27" i="7"/>
  <c r="BE27" i="7"/>
  <c r="BD27" i="7"/>
  <c r="BE84" i="7"/>
  <c r="BN84" i="7"/>
  <c r="BC84" i="7"/>
  <c r="BM84" i="7"/>
  <c r="CC182" i="7"/>
  <c r="R180" i="7"/>
  <c r="BD179" i="7"/>
  <c r="BO175" i="7"/>
  <c r="CC174" i="7"/>
  <c r="BO167" i="7"/>
  <c r="BD155" i="7"/>
  <c r="BE147" i="7"/>
  <c r="AD85" i="7"/>
  <c r="R85" i="7"/>
  <c r="BN101" i="7"/>
  <c r="BC101" i="7"/>
  <c r="AM85" i="7"/>
  <c r="BE127" i="7"/>
  <c r="BD119" i="7"/>
  <c r="BE119" i="7"/>
  <c r="BD67" i="7"/>
  <c r="BE67" i="7"/>
  <c r="BC67" i="7"/>
  <c r="BO67" i="7"/>
  <c r="BN39" i="7"/>
  <c r="BB39" i="7"/>
  <c r="BO39" i="7"/>
  <c r="BD39" i="7"/>
  <c r="BN35" i="7"/>
  <c r="BC35" i="7"/>
  <c r="BE35" i="7"/>
  <c r="BD35" i="7"/>
  <c r="BE186" i="7"/>
  <c r="BN186" i="7"/>
  <c r="BC186" i="7"/>
  <c r="BE71" i="7"/>
  <c r="BN23" i="7"/>
  <c r="BC23" i="7"/>
  <c r="BN156" i="7"/>
  <c r="BC156" i="7"/>
  <c r="BE156" i="7"/>
  <c r="BN152" i="7"/>
  <c r="BE152" i="7"/>
  <c r="BN86" i="7"/>
  <c r="BE86" i="7"/>
  <c r="BE26" i="7"/>
  <c r="BC26" i="7"/>
  <c r="BB26" i="7"/>
  <c r="BO26" i="7"/>
  <c r="BD26" i="7"/>
  <c r="BO17" i="7"/>
  <c r="BE17" i="7"/>
  <c r="BN26" i="7"/>
  <c r="O73" i="7"/>
  <c r="N73" i="7"/>
  <c r="T28" i="7" a="1"/>
  <c r="T28" i="7" s="1"/>
  <c r="N9" i="7"/>
  <c r="AC9" i="7" s="1"/>
  <c r="T42" i="7" a="1"/>
  <c r="T42" i="7" s="1"/>
  <c r="T60" i="7" a="1"/>
  <c r="T60" i="7" s="1"/>
  <c r="N64" i="7"/>
  <c r="O64" i="7"/>
  <c r="AQ64" i="7" s="1"/>
  <c r="N56" i="7"/>
  <c r="M56" i="7"/>
  <c r="AP32" i="7"/>
  <c r="Q32" i="7"/>
  <c r="AC32" i="7"/>
  <c r="AV32" i="7"/>
  <c r="AL65" i="7"/>
  <c r="Q65" i="7"/>
  <c r="AV45" i="7"/>
  <c r="BC75" i="7"/>
  <c r="AL77" i="7"/>
  <c r="BE49" i="7"/>
  <c r="BN49" i="7"/>
  <c r="BM26" i="7"/>
  <c r="BE23" i="7"/>
  <c r="BN140" i="7"/>
  <c r="BE140" i="7"/>
  <c r="BE150" i="7"/>
  <c r="BN150" i="7"/>
  <c r="BE116" i="7"/>
  <c r="BN116" i="7"/>
  <c r="BC116" i="7"/>
  <c r="BC86" i="7"/>
  <c r="BO14" i="7"/>
  <c r="BN14" i="7"/>
  <c r="BO12" i="7"/>
  <c r="BE12" i="7"/>
  <c r="AP28" i="7"/>
  <c r="AC28" i="7"/>
  <c r="AV28" i="7"/>
  <c r="BN48" i="7"/>
  <c r="BC48" i="7"/>
  <c r="BB48" i="7"/>
  <c r="BO48" i="7"/>
  <c r="T46" i="7" a="1"/>
  <c r="T46" i="7" s="1"/>
  <c r="BO71" i="7"/>
  <c r="AO61" i="7"/>
  <c r="AL55" i="7"/>
  <c r="Q55" i="7"/>
  <c r="BD23" i="7"/>
  <c r="AP71" i="7"/>
  <c r="BN53" i="7"/>
  <c r="BN51" i="7"/>
  <c r="BC49" i="7"/>
  <c r="BN47" i="7"/>
  <c r="BC140" i="7"/>
  <c r="BN98" i="7"/>
  <c r="BE98" i="7"/>
  <c r="BC98" i="7"/>
  <c r="BC54" i="7"/>
  <c r="BM54" i="7"/>
  <c r="BE60" i="7"/>
  <c r="BN60" i="7"/>
  <c r="BC60" i="7"/>
  <c r="BD60" i="7"/>
  <c r="BE31" i="7"/>
  <c r="BC25" i="7"/>
  <c r="BN77" i="7"/>
  <c r="BC136" i="7"/>
  <c r="BN136" i="7"/>
  <c r="BN100" i="7"/>
  <c r="BC130" i="7"/>
  <c r="BC32" i="7"/>
  <c r="BN130" i="7"/>
  <c r="BE90" i="7"/>
  <c r="BN52" i="7"/>
  <c r="BE38" i="7"/>
  <c r="BC108" i="7"/>
  <c r="BN108" i="7"/>
  <c r="BE110" i="7"/>
  <c r="BE78" i="7"/>
  <c r="BE32" i="7"/>
  <c r="AB195" i="7"/>
  <c r="BE193" i="7"/>
  <c r="P192" i="7"/>
  <c r="AB192" i="7"/>
  <c r="BE191" i="7"/>
  <c r="BE189" i="7"/>
  <c r="AB189" i="7"/>
  <c r="AO185" i="7"/>
  <c r="BC185" i="7"/>
  <c r="BO185" i="7"/>
  <c r="BE181" i="7"/>
  <c r="CC179" i="7"/>
  <c r="BB177" i="7"/>
  <c r="BO177" i="7"/>
  <c r="BE177" i="7"/>
  <c r="BD172" i="7"/>
  <c r="CC171" i="7"/>
  <c r="BB169" i="7"/>
  <c r="BO169" i="7"/>
  <c r="BE169" i="7"/>
  <c r="T164" i="7" a="1"/>
  <c r="T164" i="7" s="1"/>
  <c r="BM187" i="7"/>
  <c r="CC184" i="7"/>
  <c r="BM183" i="7"/>
  <c r="BD181" i="7"/>
  <c r="CC180" i="7"/>
  <c r="BC180" i="7"/>
  <c r="CC178" i="7"/>
  <c r="BE174" i="7"/>
  <c r="BB174" i="7"/>
  <c r="BO174" i="7"/>
  <c r="BO173" i="7"/>
  <c r="BB173" i="7"/>
  <c r="BN172" i="7"/>
  <c r="AB172" i="7"/>
  <c r="BD171" i="7"/>
  <c r="BM169" i="7"/>
  <c r="T169" i="7" a="1"/>
  <c r="T169" i="7" s="1"/>
  <c r="BM165" i="7"/>
  <c r="AV165" i="7"/>
  <c r="P153" i="7"/>
  <c r="BN161" i="7"/>
  <c r="BC161" i="7"/>
  <c r="BD161" i="7"/>
  <c r="CC141" i="7"/>
  <c r="AB126" i="7"/>
  <c r="P126" i="7"/>
  <c r="AU126" i="7" s="1"/>
  <c r="AO126" i="7"/>
  <c r="AW111" i="7"/>
  <c r="AB143" i="7"/>
  <c r="P143" i="7"/>
  <c r="AU143" i="7" s="1"/>
  <c r="CC157" i="7"/>
  <c r="BN153" i="7"/>
  <c r="BM153" i="7"/>
  <c r="BC153" i="7"/>
  <c r="BO153" i="7"/>
  <c r="CC135" i="7"/>
  <c r="T202" i="7" a="1"/>
  <c r="T202" i="7" s="1"/>
  <c r="AV200" i="7"/>
  <c r="CC206" i="7"/>
  <c r="BN204" i="7"/>
  <c r="AD201" i="7"/>
  <c r="AW201" i="7"/>
  <c r="R201" i="7"/>
  <c r="AM201" i="7"/>
  <c r="AP200" i="7"/>
  <c r="R193" i="7"/>
  <c r="CC189" i="7"/>
  <c r="AB174" i="7"/>
  <c r="CC165" i="7"/>
  <c r="BD187" i="7"/>
  <c r="T177" i="7" a="1"/>
  <c r="T177" i="7" s="1"/>
  <c r="AP166" i="7"/>
  <c r="AL166" i="7"/>
  <c r="CC143" i="7"/>
  <c r="CC145" i="7"/>
  <c r="CC153" i="7"/>
  <c r="CC161" i="7"/>
  <c r="CC91" i="7"/>
  <c r="CC99" i="7"/>
  <c r="CC113" i="7"/>
  <c r="CC131" i="7"/>
  <c r="CC137" i="7"/>
  <c r="CC147" i="7"/>
  <c r="CC155" i="7"/>
  <c r="CC87" i="7"/>
  <c r="CC107" i="7"/>
  <c r="CC109" i="7"/>
  <c r="CC117" i="7"/>
  <c r="CC129" i="7"/>
  <c r="CC133" i="7"/>
  <c r="CC139" i="7"/>
  <c r="CC151" i="7"/>
  <c r="CC159" i="7"/>
  <c r="CC185" i="7"/>
  <c r="R200" i="7"/>
  <c r="BC195" i="7"/>
  <c r="BD193" i="7"/>
  <c r="AL196" i="7"/>
  <c r="P195" i="7"/>
  <c r="P189" i="7"/>
  <c r="BC196" i="7"/>
  <c r="BD185" i="7"/>
  <c r="CC183" i="7"/>
  <c r="CC187" i="7"/>
  <c r="BB185" i="7"/>
  <c r="BM181" i="7"/>
  <c r="BB179" i="7"/>
  <c r="AP174" i="7"/>
  <c r="P173" i="7"/>
  <c r="BE172" i="7"/>
  <c r="P172" i="7"/>
  <c r="BO171" i="7"/>
  <c r="BD169" i="7"/>
  <c r="CC168" i="7"/>
  <c r="T168" i="7" a="1"/>
  <c r="T168" i="7" s="1"/>
  <c r="CC166" i="7"/>
  <c r="BD165" i="7"/>
  <c r="CC164" i="7"/>
  <c r="P159" i="7"/>
  <c r="AU159" i="7" s="1"/>
  <c r="AB159" i="7"/>
  <c r="AO159" i="7"/>
  <c r="AB153" i="7"/>
  <c r="BE131" i="7"/>
  <c r="BD131" i="7"/>
  <c r="BN131" i="7"/>
  <c r="BB131" i="7"/>
  <c r="BC131" i="7"/>
  <c r="BO131" i="7"/>
  <c r="BN111" i="7"/>
  <c r="BC111" i="7"/>
  <c r="BM111" i="7"/>
  <c r="BE111" i="7"/>
  <c r="BB111" i="7"/>
  <c r="BO111" i="7"/>
  <c r="BD111" i="7"/>
  <c r="BC204" i="7"/>
  <c r="BM204" i="7"/>
  <c r="Q200" i="7"/>
  <c r="AQ201" i="7"/>
  <c r="AB199" i="7"/>
  <c r="P199" i="7"/>
  <c r="AU199" i="7" s="1"/>
  <c r="BO206" i="7"/>
  <c r="BB206" i="7"/>
  <c r="CD200" i="7"/>
  <c r="AC200" i="7"/>
  <c r="T198" i="7" a="1"/>
  <c r="T198" i="7" s="1"/>
  <c r="BC198" i="7"/>
  <c r="CC198" i="7"/>
  <c r="BD198" i="7"/>
  <c r="BE195" i="7"/>
  <c r="CC193" i="7"/>
  <c r="AM193" i="7"/>
  <c r="CC181" i="7"/>
  <c r="BC181" i="7"/>
  <c r="CC173" i="7"/>
  <c r="BN187" i="7"/>
  <c r="BN182" i="7"/>
  <c r="BO181" i="7"/>
  <c r="BB181" i="7"/>
  <c r="P174" i="7"/>
  <c r="P163" i="7"/>
  <c r="AU163" i="7" s="1"/>
  <c r="AB163" i="7"/>
  <c r="BN206" i="7"/>
  <c r="CC200" i="7"/>
  <c r="AM200" i="7"/>
  <c r="P197" i="7"/>
  <c r="AU197" i="7" s="1"/>
  <c r="AB197" i="7"/>
  <c r="BD204" i="7"/>
  <c r="BD200" i="7"/>
  <c r="BM189" i="7"/>
  <c r="BE198" i="7"/>
  <c r="BM195" i="7"/>
  <c r="CC195" i="7"/>
  <c r="BN193" i="7"/>
  <c r="AW193" i="7"/>
  <c r="P193" i="7"/>
  <c r="BN191" i="7"/>
  <c r="BO182" i="7"/>
  <c r="BB182" i="7"/>
  <c r="BC177" i="7"/>
  <c r="T174" i="7" a="1"/>
  <c r="T174" i="7" s="1"/>
  <c r="BO172" i="7"/>
  <c r="BC169" i="7"/>
  <c r="BB183" i="7"/>
  <c r="AD205" i="7"/>
  <c r="AW205" i="7"/>
  <c r="R205" i="7"/>
  <c r="AM205" i="7"/>
  <c r="BE204" i="7"/>
  <c r="BN200" i="7"/>
  <c r="P200" i="7"/>
  <c r="BO204" i="7"/>
  <c r="BO200" i="7"/>
  <c r="BM196" i="7"/>
  <c r="BO193" i="7"/>
  <c r="BB195" i="7"/>
  <c r="AC196" i="7"/>
  <c r="AM190" i="7"/>
  <c r="AW190" i="7"/>
  <c r="R190" i="7"/>
  <c r="AD190" i="7"/>
  <c r="AB196" i="7"/>
  <c r="BB187" i="7"/>
  <c r="AB185" i="7"/>
  <c r="BN183" i="7"/>
  <c r="BM182" i="7"/>
  <c r="BE179" i="7"/>
  <c r="T175" i="7" a="1"/>
  <c r="T175" i="7" s="1"/>
  <c r="CC175" i="7"/>
  <c r="AO174" i="7"/>
  <c r="Q174" i="7"/>
  <c r="BE173" i="7"/>
  <c r="BE171" i="7"/>
  <c r="P170" i="7"/>
  <c r="T167" i="7" a="1"/>
  <c r="T167" i="7" s="1"/>
  <c r="CC167" i="7"/>
  <c r="Q166" i="7"/>
  <c r="BE165" i="7"/>
  <c r="AP165" i="7"/>
  <c r="BC187" i="7"/>
  <c r="BO183" i="7"/>
  <c r="BC182" i="7"/>
  <c r="AM180" i="7"/>
  <c r="BO179" i="7"/>
  <c r="BC178" i="7"/>
  <c r="BD177" i="7"/>
  <c r="CC176" i="7"/>
  <c r="T176" i="7" a="1"/>
  <c r="T176" i="7" s="1"/>
  <c r="BD173" i="7"/>
  <c r="AO173" i="7"/>
  <c r="BC172" i="7"/>
  <c r="CC170" i="7"/>
  <c r="AB170" i="7"/>
  <c r="AB169" i="7"/>
  <c r="BE166" i="7"/>
  <c r="BB166" i="7"/>
  <c r="BO166" i="7"/>
  <c r="BO165" i="7"/>
  <c r="BB165" i="7"/>
  <c r="AL165" i="7"/>
  <c r="Q165" i="7"/>
  <c r="BN164" i="7"/>
  <c r="AW164" i="7"/>
  <c r="AU185" i="7"/>
  <c r="BN185" i="7"/>
  <c r="BO161" i="7"/>
  <c r="AD153" i="7"/>
  <c r="AW153" i="7"/>
  <c r="R153" i="7"/>
  <c r="AM153" i="7"/>
  <c r="BE161" i="7"/>
  <c r="CC149" i="7"/>
  <c r="BN145" i="7"/>
  <c r="BM145" i="7"/>
  <c r="BD145" i="7"/>
  <c r="BC145" i="7"/>
  <c r="BB145" i="7"/>
  <c r="BE135" i="7"/>
  <c r="BN135" i="7"/>
  <c r="BB135" i="7"/>
  <c r="BO135" i="7"/>
  <c r="BC135" i="7"/>
  <c r="BD135" i="7"/>
  <c r="AV179" i="7"/>
  <c r="P151" i="7"/>
  <c r="AB137" i="7"/>
  <c r="P137" i="7"/>
  <c r="BE163" i="7"/>
  <c r="BC163" i="7"/>
  <c r="BD163" i="7"/>
  <c r="BE139" i="7"/>
  <c r="BN139" i="7"/>
  <c r="BN113" i="7"/>
  <c r="BC113" i="7"/>
  <c r="BE113" i="7"/>
  <c r="BM113" i="7"/>
  <c r="BB113" i="7"/>
  <c r="BO113" i="7"/>
  <c r="BN103" i="7"/>
  <c r="BM103" i="7"/>
  <c r="BB103" i="7"/>
  <c r="BO103" i="7"/>
  <c r="BC103" i="7"/>
  <c r="BD103" i="7"/>
  <c r="BN91" i="7"/>
  <c r="BE91" i="7"/>
  <c r="BD91" i="7"/>
  <c r="BC91" i="7"/>
  <c r="BM91" i="7"/>
  <c r="AD47" i="7"/>
  <c r="R47" i="7"/>
  <c r="AM47" i="7"/>
  <c r="AW47" i="7"/>
  <c r="AQ47" i="7"/>
  <c r="CC188" i="7"/>
  <c r="CC148" i="7"/>
  <c r="BE199" i="7"/>
  <c r="BC199" i="7"/>
  <c r="BN199" i="7"/>
  <c r="BN95" i="7"/>
  <c r="BM95" i="7"/>
  <c r="BB95" i="7"/>
  <c r="BO95" i="7"/>
  <c r="BC95" i="7"/>
  <c r="BD95" i="7"/>
  <c r="AD133" i="7"/>
  <c r="AW133" i="7"/>
  <c r="BN159" i="7"/>
  <c r="BB159" i="7"/>
  <c r="BN151" i="7"/>
  <c r="BB151" i="7"/>
  <c r="BO151" i="7"/>
  <c r="BE141" i="7"/>
  <c r="BN141" i="7"/>
  <c r="BD141" i="7"/>
  <c r="BE137" i="7"/>
  <c r="BN137" i="7"/>
  <c r="BM137" i="7"/>
  <c r="P113" i="7"/>
  <c r="CC101" i="7"/>
  <c r="BN117" i="7"/>
  <c r="BC117" i="7"/>
  <c r="BB117" i="7"/>
  <c r="BO117" i="7"/>
  <c r="BE117" i="7"/>
  <c r="BD117" i="7"/>
  <c r="BN109" i="7"/>
  <c r="BC109" i="7"/>
  <c r="BB109" i="7"/>
  <c r="BO109" i="7"/>
  <c r="BE109" i="7"/>
  <c r="BD109" i="7"/>
  <c r="BN83" i="7"/>
  <c r="BM83" i="7"/>
  <c r="BE83" i="7"/>
  <c r="BC83" i="7"/>
  <c r="BB83" i="7"/>
  <c r="BD83" i="7"/>
  <c r="CC83" i="7"/>
  <c r="BC63" i="7"/>
  <c r="BB63" i="7"/>
  <c r="BO63" i="7"/>
  <c r="BE63" i="7"/>
  <c r="BD63" i="7"/>
  <c r="BN63" i="7"/>
  <c r="BM63" i="7"/>
  <c r="AQ133" i="7"/>
  <c r="BC159" i="7"/>
  <c r="BN157" i="7"/>
  <c r="BD157" i="7"/>
  <c r="BC151" i="7"/>
  <c r="BN149" i="7"/>
  <c r="BD149" i="7"/>
  <c r="BE143" i="7"/>
  <c r="BN143" i="7"/>
  <c r="BB143" i="7"/>
  <c r="BO143" i="7"/>
  <c r="BC141" i="7"/>
  <c r="AM133" i="7"/>
  <c r="BE133" i="7"/>
  <c r="BB133" i="7"/>
  <c r="BO133" i="7"/>
  <c r="BN133" i="7"/>
  <c r="BD133" i="7"/>
  <c r="BE129" i="7"/>
  <c r="BN129" i="7"/>
  <c r="BM129" i="7"/>
  <c r="AO113" i="7"/>
  <c r="BM109" i="7"/>
  <c r="BO83" i="7"/>
  <c r="CC125" i="7"/>
  <c r="T125" i="7" a="1"/>
  <c r="T125" i="7" s="1"/>
  <c r="CC163" i="7"/>
  <c r="BE121" i="7"/>
  <c r="BO121" i="7"/>
  <c r="BC121" i="7"/>
  <c r="BD121" i="7"/>
  <c r="BB121" i="7"/>
  <c r="BN115" i="7"/>
  <c r="BC115" i="7"/>
  <c r="BD115" i="7"/>
  <c r="BE115" i="7"/>
  <c r="BM115" i="7"/>
  <c r="CC111" i="7"/>
  <c r="BE103" i="7"/>
  <c r="BN87" i="7"/>
  <c r="BD87" i="7"/>
  <c r="BE87" i="7"/>
  <c r="BB87" i="7"/>
  <c r="BC87" i="7"/>
  <c r="BM87" i="7"/>
  <c r="AB57" i="7"/>
  <c r="P57" i="7"/>
  <c r="AO57" i="7"/>
  <c r="CC75" i="7"/>
  <c r="P157" i="7"/>
  <c r="AW155" i="7"/>
  <c r="P141" i="7"/>
  <c r="P111" i="7"/>
  <c r="P103" i="7"/>
  <c r="P95" i="7"/>
  <c r="CC121" i="7"/>
  <c r="CC105" i="7"/>
  <c r="AB104" i="7"/>
  <c r="P104" i="7"/>
  <c r="AU104" i="7" s="1"/>
  <c r="CC97" i="7"/>
  <c r="AD118" i="7"/>
  <c r="AM118" i="7"/>
  <c r="AQ118" i="7"/>
  <c r="AD63" i="7"/>
  <c r="AM63" i="7"/>
  <c r="AW63" i="7"/>
  <c r="CC79" i="7"/>
  <c r="R63" i="7"/>
  <c r="CC63" i="7"/>
  <c r="CC53" i="7"/>
  <c r="T53" i="7" a="1"/>
  <c r="T53" i="7" s="1"/>
  <c r="CC126" i="7"/>
  <c r="AD160" i="7"/>
  <c r="AW160" i="7"/>
  <c r="R160" i="7"/>
  <c r="AM160" i="7"/>
  <c r="AW158" i="7"/>
  <c r="R158" i="7"/>
  <c r="AM158" i="7"/>
  <c r="AD158" i="7"/>
  <c r="AM154" i="7"/>
  <c r="R154" i="7"/>
  <c r="AW154" i="7"/>
  <c r="AD154" i="7"/>
  <c r="AD152" i="7"/>
  <c r="AM152" i="7"/>
  <c r="AW152" i="7"/>
  <c r="R152" i="7"/>
  <c r="AW136" i="7"/>
  <c r="R136" i="7"/>
  <c r="AD136" i="7"/>
  <c r="AM136" i="7"/>
  <c r="P122" i="7"/>
  <c r="AB122" i="7"/>
  <c r="AD107" i="7"/>
  <c r="AW107" i="7"/>
  <c r="P101" i="7"/>
  <c r="P89" i="7"/>
  <c r="AU89" i="7" s="1"/>
  <c r="AB89" i="7"/>
  <c r="AV121" i="7"/>
  <c r="AP121" i="7"/>
  <c r="CC103" i="7"/>
  <c r="CC95" i="7"/>
  <c r="CC93" i="7"/>
  <c r="BN93" i="7"/>
  <c r="BE93" i="7"/>
  <c r="CC89" i="7"/>
  <c r="BN89" i="7"/>
  <c r="BB89" i="7"/>
  <c r="BE89" i="7"/>
  <c r="BN85" i="7"/>
  <c r="BE85" i="7"/>
  <c r="BN81" i="7"/>
  <c r="BB81" i="7"/>
  <c r="BO81" i="7"/>
  <c r="BE81" i="7"/>
  <c r="CC127" i="7"/>
  <c r="CC119" i="7"/>
  <c r="AB65" i="7"/>
  <c r="S65" i="7" a="1"/>
  <c r="S65" i="7" s="1"/>
  <c r="R23" i="7"/>
  <c r="AM23" i="7"/>
  <c r="AD23" i="7"/>
  <c r="AW23" i="7"/>
  <c r="AQ23" i="7"/>
  <c r="BD79" i="7"/>
  <c r="BO79" i="7"/>
  <c r="BC79" i="7"/>
  <c r="BB79" i="7"/>
  <c r="BM79" i="7"/>
  <c r="BN79" i="7"/>
  <c r="BE79" i="7"/>
  <c r="CC47" i="7"/>
  <c r="CC67" i="7"/>
  <c r="CC123" i="7"/>
  <c r="T47" i="7" a="1"/>
  <c r="T47" i="7" s="1"/>
  <c r="CC61" i="7"/>
  <c r="CC156" i="7"/>
  <c r="CC140" i="7"/>
  <c r="P142" i="7"/>
  <c r="AU142" i="7" s="1"/>
  <c r="AB142" i="7"/>
  <c r="AB136" i="7"/>
  <c r="P136" i="7"/>
  <c r="P134" i="7"/>
  <c r="AU134" i="7" s="1"/>
  <c r="P130" i="7"/>
  <c r="AB130" i="7"/>
  <c r="AD105" i="7"/>
  <c r="AW105" i="7"/>
  <c r="AD97" i="7"/>
  <c r="AW97" i="7"/>
  <c r="AO89" i="7"/>
  <c r="AD81" i="7"/>
  <c r="AW81" i="7"/>
  <c r="AO127" i="7"/>
  <c r="P127" i="7"/>
  <c r="CC118" i="7"/>
  <c r="P116" i="7"/>
  <c r="AB116" i="7"/>
  <c r="P108" i="7"/>
  <c r="AB108" i="7"/>
  <c r="BC107" i="7"/>
  <c r="R107" i="7"/>
  <c r="S102" i="7" a="1"/>
  <c r="S102" i="7" s="1"/>
  <c r="BC99" i="7"/>
  <c r="CC85" i="7"/>
  <c r="CC81" i="7"/>
  <c r="R81" i="7"/>
  <c r="AB127" i="7"/>
  <c r="AO65" i="7"/>
  <c r="CC71" i="7"/>
  <c r="P65" i="7"/>
  <c r="CC65" i="7"/>
  <c r="CC59" i="7"/>
  <c r="CC57" i="7"/>
  <c r="P92" i="7"/>
  <c r="AB92" i="7"/>
  <c r="P88" i="7"/>
  <c r="AB88" i="7"/>
  <c r="AB87" i="7"/>
  <c r="P86" i="7"/>
  <c r="AB86" i="7"/>
  <c r="BD127" i="7"/>
  <c r="BM127" i="7"/>
  <c r="BC127" i="7"/>
  <c r="BE123" i="7"/>
  <c r="P118" i="7"/>
  <c r="AO118" i="7"/>
  <c r="S61" i="7" a="1"/>
  <c r="S61" i="7" s="1"/>
  <c r="P31" i="7"/>
  <c r="AU31" i="7" s="1"/>
  <c r="AB31" i="7"/>
  <c r="P29" i="7"/>
  <c r="AU29" i="7" s="1"/>
  <c r="AB29" i="7"/>
  <c r="S29" i="7" a="1"/>
  <c r="S29" i="7" s="1"/>
  <c r="AW27" i="7"/>
  <c r="R27" i="7"/>
  <c r="AM27" i="7"/>
  <c r="BC71" i="7"/>
  <c r="BC61" i="7"/>
  <c r="CC51" i="7"/>
  <c r="AD27" i="7"/>
  <c r="AV16" i="7"/>
  <c r="Q16" i="7"/>
  <c r="CC26" i="7"/>
  <c r="CC28" i="7"/>
  <c r="CC30" i="7"/>
  <c r="CC36" i="7"/>
  <c r="CC38" i="7"/>
  <c r="CC40" i="7"/>
  <c r="CC42" i="7"/>
  <c r="CC46" i="7"/>
  <c r="CC50" i="7"/>
  <c r="CC52" i="7"/>
  <c r="CC54" i="7"/>
  <c r="CC56" i="7"/>
  <c r="CC58" i="7"/>
  <c r="CC60" i="7"/>
  <c r="CC62" i="7"/>
  <c r="CC64" i="7"/>
  <c r="CC106" i="7"/>
  <c r="CC114" i="7"/>
  <c r="CC80" i="7"/>
  <c r="CC88" i="7"/>
  <c r="CC96" i="7"/>
  <c r="CC104" i="7"/>
  <c r="CC112" i="7"/>
  <c r="CC122" i="7"/>
  <c r="CC132" i="7"/>
  <c r="CC90" i="7"/>
  <c r="CC98" i="7"/>
  <c r="CC130" i="7"/>
  <c r="CC74" i="7"/>
  <c r="CC76" i="7"/>
  <c r="CC197" i="7"/>
  <c r="CC201" i="7"/>
  <c r="CC205" i="7"/>
  <c r="CC25" i="7"/>
  <c r="CC27" i="7"/>
  <c r="CC29" i="7"/>
  <c r="CC31" i="7"/>
  <c r="CC33" i="7"/>
  <c r="CC35" i="7"/>
  <c r="CC37" i="7"/>
  <c r="CC82" i="7"/>
  <c r="CC134" i="7"/>
  <c r="CC86" i="7"/>
  <c r="CC120" i="7"/>
  <c r="CC124" i="7"/>
  <c r="CC69" i="7"/>
  <c r="CC72" i="7"/>
  <c r="CC73" i="7"/>
  <c r="CC39" i="7"/>
  <c r="CC41" i="7"/>
  <c r="CC43" i="7"/>
  <c r="CC45" i="7"/>
  <c r="P87" i="7"/>
  <c r="AW85" i="7"/>
  <c r="AB68" i="7"/>
  <c r="BC119" i="7"/>
  <c r="CD61" i="7"/>
  <c r="AB37" i="7"/>
  <c r="AB23" i="7"/>
  <c r="AO69" i="7"/>
  <c r="P69" i="7"/>
  <c r="AB69" i="7"/>
  <c r="AB64" i="7"/>
  <c r="P64" i="7"/>
  <c r="R61" i="7"/>
  <c r="CC55" i="7"/>
  <c r="CC77" i="7"/>
  <c r="AW102" i="7"/>
  <c r="AD98" i="7"/>
  <c r="R98" i="7"/>
  <c r="AW98" i="7"/>
  <c r="AM98" i="7"/>
  <c r="AD94" i="7"/>
  <c r="R94" i="7"/>
  <c r="AW94" i="7"/>
  <c r="AM94" i="7"/>
  <c r="AW92" i="7"/>
  <c r="R92" i="7"/>
  <c r="AD92" i="7"/>
  <c r="AM92" i="7"/>
  <c r="AD88" i="7"/>
  <c r="AW88" i="7"/>
  <c r="R88" i="7"/>
  <c r="AM88" i="7"/>
  <c r="R84" i="7"/>
  <c r="BD123" i="7"/>
  <c r="BM123" i="7"/>
  <c r="BC123" i="7"/>
  <c r="AB45" i="7"/>
  <c r="AO37" i="7"/>
  <c r="P33" i="7"/>
  <c r="AU33" i="7" s="1"/>
  <c r="AB33" i="7"/>
  <c r="CD33" i="7"/>
  <c r="AW29" i="7"/>
  <c r="R29" i="7"/>
  <c r="AM29" i="7"/>
  <c r="AO23" i="7"/>
  <c r="BN75" i="7"/>
  <c r="BN71" i="7"/>
  <c r="BM67" i="7"/>
  <c r="BN67" i="7"/>
  <c r="BM75" i="7"/>
  <c r="BM71" i="7"/>
  <c r="AM61" i="7"/>
  <c r="P61" i="7"/>
  <c r="CC49" i="7"/>
  <c r="P23" i="7"/>
  <c r="AU23" i="7" s="1"/>
  <c r="CC23" i="7"/>
  <c r="BM119" i="7"/>
  <c r="CC192" i="7"/>
  <c r="CC160" i="7"/>
  <c r="CC152" i="7"/>
  <c r="CC144" i="7"/>
  <c r="CC32" i="7"/>
  <c r="T32" i="7" a="1"/>
  <c r="T32" i="7" s="1"/>
  <c r="AP77" i="7"/>
  <c r="AV77" i="7"/>
  <c r="BE205" i="7"/>
  <c r="BC205" i="7"/>
  <c r="BN205" i="7"/>
  <c r="BE201" i="7"/>
  <c r="BC201" i="7"/>
  <c r="BN201" i="7"/>
  <c r="BE197" i="7"/>
  <c r="BC197" i="7"/>
  <c r="BN197" i="7"/>
  <c r="BN194" i="7"/>
  <c r="BC194" i="7"/>
  <c r="BN142" i="7"/>
  <c r="BC142" i="7"/>
  <c r="BE142" i="7"/>
  <c r="CC136" i="7"/>
  <c r="BN132" i="7"/>
  <c r="BE132" i="7"/>
  <c r="CC128" i="7"/>
  <c r="BN122" i="7"/>
  <c r="BE122" i="7"/>
  <c r="CC116" i="7"/>
  <c r="BN112" i="7"/>
  <c r="BE112" i="7"/>
  <c r="CC108" i="7"/>
  <c r="BN104" i="7"/>
  <c r="BE104" i="7"/>
  <c r="CC100" i="7"/>
  <c r="BN96" i="7"/>
  <c r="BE96" i="7"/>
  <c r="CC92" i="7"/>
  <c r="BN88" i="7"/>
  <c r="BE88" i="7"/>
  <c r="CC84" i="7"/>
  <c r="BN80" i="7"/>
  <c r="BE80" i="7"/>
  <c r="BE146" i="7"/>
  <c r="BN146" i="7"/>
  <c r="BC146" i="7"/>
  <c r="BE134" i="7"/>
  <c r="BC134" i="7"/>
  <c r="BN134" i="7"/>
  <c r="AW33" i="7"/>
  <c r="R33" i="7"/>
  <c r="AM33" i="7"/>
  <c r="AO73" i="7"/>
  <c r="AB73" i="7"/>
  <c r="R56" i="7"/>
  <c r="AM56" i="7"/>
  <c r="AW56" i="7"/>
  <c r="AD56" i="7"/>
  <c r="AW54" i="7"/>
  <c r="AM54" i="7"/>
  <c r="R54" i="7"/>
  <c r="BE45" i="7"/>
  <c r="BE43" i="7"/>
  <c r="BE41" i="7"/>
  <c r="BE39" i="7"/>
  <c r="AW36" i="7"/>
  <c r="R36" i="7"/>
  <c r="AM36" i="7"/>
  <c r="AD36" i="7"/>
  <c r="R32" i="7"/>
  <c r="AW32" i="7"/>
  <c r="AM32" i="7"/>
  <c r="AD32" i="7"/>
  <c r="AW28" i="7"/>
  <c r="AM28" i="7"/>
  <c r="R28" i="7"/>
  <c r="AD28" i="7"/>
  <c r="P73" i="7"/>
  <c r="BD69" i="7"/>
  <c r="BN69" i="7"/>
  <c r="BM69" i="7"/>
  <c r="AD54" i="7"/>
  <c r="CC102" i="7"/>
  <c r="CC68" i="7"/>
  <c r="AB52" i="7"/>
  <c r="P52" i="7"/>
  <c r="AU52" i="7" s="1"/>
  <c r="AB46" i="7"/>
  <c r="P46" i="7"/>
  <c r="BC45" i="7"/>
  <c r="AB44" i="7"/>
  <c r="P44" i="7"/>
  <c r="BC43" i="7"/>
  <c r="BC41" i="7"/>
  <c r="BC39" i="7"/>
  <c r="AQ36" i="7"/>
  <c r="AB36" i="7"/>
  <c r="P36" i="7"/>
  <c r="AU36" i="7" s="1"/>
  <c r="CD32" i="7"/>
  <c r="AQ32" i="7"/>
  <c r="AB32" i="7"/>
  <c r="P32" i="7"/>
  <c r="AU32" i="7" s="1"/>
  <c r="S32" i="7" a="1"/>
  <c r="S32" i="7" s="1"/>
  <c r="CD28" i="7"/>
  <c r="AQ28" i="7"/>
  <c r="AB28" i="7"/>
  <c r="P28" i="7"/>
  <c r="S28" i="7" a="1"/>
  <c r="S28" i="7" s="1"/>
  <c r="BD73" i="7"/>
  <c r="BM73" i="7"/>
  <c r="BE73" i="7"/>
  <c r="BN73" i="7"/>
  <c r="BC69" i="7"/>
  <c r="BC158" i="7"/>
  <c r="BE194" i="7"/>
  <c r="CC186" i="7"/>
  <c r="BE158" i="7"/>
  <c r="CC150" i="7"/>
  <c r="CC70" i="7"/>
  <c r="BE154" i="7"/>
  <c r="BN154" i="7"/>
  <c r="BC154" i="7"/>
  <c r="CC190" i="7"/>
  <c r="BN162" i="7"/>
  <c r="BC120" i="7"/>
  <c r="BN120" i="7"/>
  <c r="CC110" i="7"/>
  <c r="CC78" i="7"/>
  <c r="CC48" i="7"/>
  <c r="BN42" i="7"/>
  <c r="BE42" i="7"/>
  <c r="BC77" i="7"/>
  <c r="BC162" i="7"/>
  <c r="BC42" i="7"/>
  <c r="BN190" i="7"/>
  <c r="AP13" i="7"/>
  <c r="BE77" i="7"/>
  <c r="CC199" i="7"/>
  <c r="CC194" i="7"/>
  <c r="CC158" i="7"/>
  <c r="CC142" i="7"/>
  <c r="BN203" i="7"/>
  <c r="CC94" i="7"/>
  <c r="BN50" i="7"/>
  <c r="BE50" i="7"/>
  <c r="CC44" i="7"/>
  <c r="BN40" i="7"/>
  <c r="BE40" i="7"/>
  <c r="CC34" i="7"/>
  <c r="CC66" i="7"/>
  <c r="BN54" i="7"/>
  <c r="BE54" i="7"/>
  <c r="BE56" i="7"/>
  <c r="CC203" i="7"/>
  <c r="CC162" i="7"/>
  <c r="CC154" i="7"/>
  <c r="BE48" i="7"/>
  <c r="CC146" i="7"/>
  <c r="CC138" i="7"/>
  <c r="AP17" i="7"/>
  <c r="AP24" i="7"/>
  <c r="Q24" i="7"/>
  <c r="BC18" i="7"/>
  <c r="AL24" i="7"/>
  <c r="M24" i="7"/>
  <c r="AO24" i="7" s="1"/>
  <c r="AP16" i="7"/>
  <c r="M16" i="7"/>
  <c r="AB16" i="7" s="1"/>
  <c r="BN15" i="7"/>
  <c r="BE15" i="7"/>
  <c r="M14" i="7"/>
  <c r="AO14" i="7" s="1"/>
  <c r="AP14" i="7"/>
  <c r="Q13" i="7"/>
  <c r="AV13" i="7" s="1"/>
  <c r="M11" i="7"/>
  <c r="AO11" i="7" s="1"/>
  <c r="BN10" i="7"/>
  <c r="BE10" i="7"/>
  <c r="BC8" i="7"/>
  <c r="BM12" i="7"/>
  <c r="BD12" i="7"/>
  <c r="BM8" i="7"/>
  <c r="BD8" i="7"/>
  <c r="AL16" i="7"/>
  <c r="AP10" i="7"/>
  <c r="AV7" i="7"/>
  <c r="BC21" i="7"/>
  <c r="BC19" i="7"/>
  <c r="BE24" i="7"/>
  <c r="BE20" i="7"/>
  <c r="BM16" i="7"/>
  <c r="BD16" i="7"/>
  <c r="BM15" i="7"/>
  <c r="BD15" i="7"/>
  <c r="BM14" i="7"/>
  <c r="BD14" i="7"/>
  <c r="BM13" i="7"/>
  <c r="BD13" i="7"/>
  <c r="BM24" i="7"/>
  <c r="BD24" i="7"/>
  <c r="AV24" i="7"/>
  <c r="AC24" i="7"/>
  <c r="O24" i="7"/>
  <c r="AQ24" i="7" s="1"/>
  <c r="AV22" i="7"/>
  <c r="AL22" i="7"/>
  <c r="Q22" i="7"/>
  <c r="BO20" i="7"/>
  <c r="BB20" i="7"/>
  <c r="M20" i="7"/>
  <c r="AO20" i="7" s="1"/>
  <c r="O17" i="7"/>
  <c r="AM17" i="7" s="1"/>
  <c r="AC17" i="7"/>
  <c r="BC16" i="7"/>
  <c r="AC16" i="7"/>
  <c r="O16" i="7"/>
  <c r="AM16" i="7" s="1"/>
  <c r="BC15" i="7"/>
  <c r="O15" i="7"/>
  <c r="AM15" i="7" s="1"/>
  <c r="BC14" i="7"/>
  <c r="BC13" i="7"/>
  <c r="AC13" i="7"/>
  <c r="O13" i="7"/>
  <c r="AM13" i="7" s="1"/>
  <c r="BC12" i="7"/>
  <c r="O11" i="7"/>
  <c r="AM11" i="7" s="1"/>
  <c r="BC10" i="7"/>
  <c r="Q10" i="7"/>
  <c r="AV10" i="7" s="1"/>
  <c r="M9" i="7"/>
  <c r="BN8" i="7"/>
  <c r="BE8" i="7"/>
  <c r="BB12" i="7"/>
  <c r="BB10" i="7"/>
  <c r="BB8" i="7"/>
  <c r="AP7" i="7"/>
  <c r="O14" i="7"/>
  <c r="AM14" i="7" s="1"/>
  <c r="AC14" i="7"/>
  <c r="AC10" i="7"/>
  <c r="O10" i="7"/>
  <c r="AM10" i="7" s="1"/>
  <c r="BE22" i="7"/>
  <c r="BM17" i="7"/>
  <c r="BB17" i="7"/>
  <c r="BB11" i="7"/>
  <c r="BB9" i="7"/>
  <c r="BB7" i="7"/>
  <c r="BM22" i="7"/>
  <c r="BD22" i="7"/>
  <c r="BC17" i="7"/>
  <c r="BC11" i="7"/>
  <c r="BC9" i="7"/>
  <c r="BN7" i="7"/>
  <c r="BE7" i="7"/>
  <c r="BM21" i="7"/>
  <c r="BD21" i="7"/>
  <c r="M21" i="7"/>
  <c r="P21" i="7" s="1"/>
  <c r="AU21" i="7" s="1"/>
  <c r="M19" i="7"/>
  <c r="AO19" i="7" s="1"/>
  <c r="O8" i="7"/>
  <c r="AM8" i="7" s="1"/>
  <c r="BE18" i="7"/>
  <c r="BC7" i="7"/>
  <c r="Q14" i="7"/>
  <c r="AV14" i="7" s="1"/>
  <c r="BM18" i="7"/>
  <c r="BD18" i="7"/>
  <c r="BM19" i="7"/>
  <c r="BD19" i="7"/>
  <c r="BO19" i="7"/>
  <c r="BB19" i="7"/>
  <c r="O7" i="7"/>
  <c r="AM7" i="7" s="1"/>
  <c r="AV12" i="7"/>
  <c r="R19" i="7"/>
  <c r="AQ19" i="7"/>
  <c r="O21" i="7"/>
  <c r="AW21" i="7" s="1"/>
  <c r="BO18" i="7"/>
  <c r="BB18" i="7"/>
  <c r="M18" i="7"/>
  <c r="AO18" i="7" s="1"/>
  <c r="AP18" i="7"/>
  <c r="O12" i="7"/>
  <c r="AM12" i="7" s="1"/>
  <c r="AC7" i="7"/>
  <c r="AV8" i="7"/>
  <c r="AC18" i="7"/>
  <c r="AP21" i="7"/>
  <c r="Q21" i="7"/>
  <c r="AV21" i="7"/>
  <c r="CC22" i="7"/>
  <c r="T19" i="7" a="1"/>
  <c r="T19" i="7" s="1"/>
  <c r="CG4" i="7"/>
  <c r="CP11" i="7" s="1"/>
  <c r="T24" i="7" a="1"/>
  <c r="T24" i="7" s="1"/>
  <c r="CC21" i="7"/>
  <c r="T20" i="7" a="1"/>
  <c r="T20" i="7" s="1"/>
  <c r="CC19" i="7"/>
  <c r="BN19" i="7"/>
  <c r="T8" i="7" a="1"/>
  <c r="T8" i="7" s="1"/>
  <c r="O18" i="7"/>
  <c r="AM18" i="7" s="1"/>
  <c r="AP12" i="7"/>
  <c r="AC12" i="7"/>
  <c r="Q12" i="7"/>
  <c r="M12" i="7"/>
  <c r="AW9" i="7"/>
  <c r="AP8" i="7"/>
  <c r="AC8" i="7"/>
  <c r="Q8" i="7"/>
  <c r="M8" i="7"/>
  <c r="Q7" i="7"/>
  <c r="M7" i="7"/>
  <c r="AO7" i="7" s="1"/>
  <c r="AO15" i="7"/>
  <c r="AB15" i="7"/>
  <c r="P15" i="7"/>
  <c r="AU15" i="7" s="1"/>
  <c r="T21" i="7" a="1"/>
  <c r="T21" i="7" s="1"/>
  <c r="AW19" i="7"/>
  <c r="T17" i="7" a="1"/>
  <c r="T17" i="7" s="1"/>
  <c r="Q17" i="7"/>
  <c r="AV17" i="7" s="1"/>
  <c r="CC16" i="7"/>
  <c r="T15" i="7" a="1"/>
  <c r="T15" i="7" s="1"/>
  <c r="CC14" i="7"/>
  <c r="T13" i="7" a="1"/>
  <c r="T13" i="7" s="1"/>
  <c r="CC12" i="7"/>
  <c r="T11" i="7" a="1"/>
  <c r="T11" i="7" s="1"/>
  <c r="CC10" i="7"/>
  <c r="T9" i="7" a="1"/>
  <c r="T9" i="7" s="1"/>
  <c r="CC8" i="7"/>
  <c r="T7" i="7" a="1"/>
  <c r="T7" i="7" s="1"/>
  <c r="CC24" i="7"/>
  <c r="CC20" i="7"/>
  <c r="CC18" i="7"/>
  <c r="AW20" i="7"/>
  <c r="AM20" i="7"/>
  <c r="AD20" i="7"/>
  <c r="R20" i="7"/>
  <c r="AQ9" i="7"/>
  <c r="AD9" i="7"/>
  <c r="R9" i="7"/>
  <c r="BO21" i="7"/>
  <c r="BB21" i="7"/>
  <c r="AL21" i="7"/>
  <c r="AC21" i="7"/>
  <c r="T22" i="7" a="1"/>
  <c r="T22" i="7" s="1"/>
  <c r="BN21" i="7"/>
  <c r="AM19" i="7"/>
  <c r="AD19" i="7"/>
  <c r="N19" i="7"/>
  <c r="T18" i="7" a="1"/>
  <c r="T18" i="7" s="1"/>
  <c r="Q18" i="7"/>
  <c r="AV18" i="7" s="1"/>
  <c r="CC17" i="7"/>
  <c r="T16" i="7" a="1"/>
  <c r="T16" i="7" s="1"/>
  <c r="CC15" i="7"/>
  <c r="T14" i="7" a="1"/>
  <c r="T14" i="7" s="1"/>
  <c r="CC13" i="7"/>
  <c r="T12" i="7" a="1"/>
  <c r="T12" i="7" s="1"/>
  <c r="CC11" i="7"/>
  <c r="T10" i="7" a="1"/>
  <c r="T10" i="7" s="1"/>
  <c r="CC9" i="7"/>
  <c r="CC7" i="7"/>
  <c r="AL15" i="7" l="1"/>
  <c r="AC15" i="7"/>
  <c r="AM22" i="7"/>
  <c r="AW22" i="7"/>
  <c r="Q15" i="7"/>
  <c r="AP15" i="7"/>
  <c r="AD22" i="7"/>
  <c r="R22" i="7"/>
  <c r="AP20" i="7"/>
  <c r="Q20" i="7"/>
  <c r="AC20" i="7"/>
  <c r="AL20" i="7"/>
  <c r="AB17" i="7"/>
  <c r="P17" i="7"/>
  <c r="AU17" i="7" s="1"/>
  <c r="P102" i="7"/>
  <c r="AU102" i="7" s="1"/>
  <c r="CD22" i="7"/>
  <c r="AO79" i="7"/>
  <c r="P13" i="7"/>
  <c r="AU13" i="7" s="1"/>
  <c r="AW41" i="7"/>
  <c r="AB13" i="7"/>
  <c r="P54" i="7"/>
  <c r="AM38" i="7"/>
  <c r="AB119" i="7"/>
  <c r="AM84" i="7"/>
  <c r="R104" i="7"/>
  <c r="AD49" i="7"/>
  <c r="P79" i="7"/>
  <c r="R102" i="7"/>
  <c r="AM115" i="7"/>
  <c r="AC59" i="7"/>
  <c r="AQ185" i="7"/>
  <c r="R185" i="7"/>
  <c r="AD185" i="7"/>
  <c r="CE185" i="7" s="1"/>
  <c r="CD185" i="7"/>
  <c r="AW185" i="7"/>
  <c r="R86" i="7"/>
  <c r="AD141" i="7"/>
  <c r="R141" i="7"/>
  <c r="CD31" i="7"/>
  <c r="AW141" i="7"/>
  <c r="R70" i="7"/>
  <c r="R30" i="7"/>
  <c r="R25" i="7"/>
  <c r="AM62" i="7"/>
  <c r="R72" i="7"/>
  <c r="R68" i="7"/>
  <c r="AD53" i="7"/>
  <c r="AD134" i="7"/>
  <c r="CE134" i="7" s="1"/>
  <c r="R108" i="7"/>
  <c r="P63" i="7"/>
  <c r="AB63" i="7"/>
  <c r="AQ141" i="7"/>
  <c r="AC183" i="7"/>
  <c r="P150" i="7"/>
  <c r="AQ30" i="7"/>
  <c r="AM72" i="7"/>
  <c r="AB72" i="7"/>
  <c r="AM126" i="7"/>
  <c r="AM110" i="7"/>
  <c r="P38" i="7"/>
  <c r="AD39" i="7"/>
  <c r="R76" i="7"/>
  <c r="R126" i="7"/>
  <c r="R110" i="7"/>
  <c r="CD25" i="7"/>
  <c r="S78" i="7" a="1"/>
  <c r="S78" i="7" s="1"/>
  <c r="R167" i="7"/>
  <c r="AW39" i="7"/>
  <c r="Q117" i="7"/>
  <c r="AB77" i="7"/>
  <c r="AW144" i="7"/>
  <c r="AW40" i="7"/>
  <c r="AW48" i="7"/>
  <c r="AM60" i="7"/>
  <c r="AV118" i="7"/>
  <c r="P80" i="7"/>
  <c r="AB112" i="7"/>
  <c r="AB93" i="7"/>
  <c r="AM140" i="7"/>
  <c r="AD144" i="7"/>
  <c r="AC169" i="7"/>
  <c r="Q57" i="7"/>
  <c r="AW60" i="7"/>
  <c r="AW53" i="7"/>
  <c r="AM45" i="7"/>
  <c r="S118" i="7" a="1"/>
  <c r="S118" i="7" s="1"/>
  <c r="S63" i="7" a="1"/>
  <c r="S63" i="7" s="1"/>
  <c r="AM40" i="7"/>
  <c r="AM44" i="7"/>
  <c r="AM108" i="7"/>
  <c r="P93" i="7"/>
  <c r="AW140" i="7"/>
  <c r="AD148" i="7"/>
  <c r="CE148" i="7" s="1"/>
  <c r="AO123" i="7"/>
  <c r="AU188" i="7"/>
  <c r="R156" i="7"/>
  <c r="R122" i="7"/>
  <c r="AU200" i="7"/>
  <c r="CD60" i="7"/>
  <c r="S133" i="7" a="1"/>
  <c r="S133" i="7" s="1"/>
  <c r="AU196" i="7"/>
  <c r="AU195" i="7"/>
  <c r="AU193" i="7"/>
  <c r="AU192" i="7"/>
  <c r="AV104" i="7"/>
  <c r="CD199" i="7"/>
  <c r="AU189" i="7"/>
  <c r="AB67" i="7"/>
  <c r="P39" i="7"/>
  <c r="AU39" i="7" s="1"/>
  <c r="P158" i="7"/>
  <c r="AU158" i="7" s="1"/>
  <c r="P171" i="7"/>
  <c r="AU171" i="7" s="1"/>
  <c r="S55" i="7" a="1"/>
  <c r="S55" i="7" s="1"/>
  <c r="AU175" i="7"/>
  <c r="AU174" i="7"/>
  <c r="AU173" i="7"/>
  <c r="AU172" i="7"/>
  <c r="AU170" i="7"/>
  <c r="AW80" i="7"/>
  <c r="P62" i="7"/>
  <c r="AU62" i="7" s="1"/>
  <c r="AQ179" i="7"/>
  <c r="AB62" i="7"/>
  <c r="AD93" i="7"/>
  <c r="CD97" i="7"/>
  <c r="AD52" i="7"/>
  <c r="CE52" i="7" s="1"/>
  <c r="AD86" i="7"/>
  <c r="AM109" i="7"/>
  <c r="CD36" i="7"/>
  <c r="AM31" i="7"/>
  <c r="AM76" i="7"/>
  <c r="CD23" i="7"/>
  <c r="AM68" i="7"/>
  <c r="AM143" i="7"/>
  <c r="AW143" i="7"/>
  <c r="P148" i="7"/>
  <c r="AU148" i="7" s="1"/>
  <c r="AP177" i="7"/>
  <c r="AQ46" i="7"/>
  <c r="AP40" i="7"/>
  <c r="AO180" i="7"/>
  <c r="AL206" i="7"/>
  <c r="AO67" i="7"/>
  <c r="AB60" i="7"/>
  <c r="AQ68" i="7"/>
  <c r="S196" i="7" a="1"/>
  <c r="S196" i="7" s="1"/>
  <c r="AW42" i="7"/>
  <c r="AM46" i="7"/>
  <c r="AM52" i="7"/>
  <c r="AD96" i="7"/>
  <c r="S127" i="7" a="1"/>
  <c r="S127" i="7" s="1"/>
  <c r="R130" i="7"/>
  <c r="CD47" i="7"/>
  <c r="AW135" i="7"/>
  <c r="R161" i="7"/>
  <c r="P184" i="7"/>
  <c r="AU184" i="7" s="1"/>
  <c r="AM121" i="7"/>
  <c r="S31" i="7" a="1"/>
  <c r="S31" i="7" s="1"/>
  <c r="AW46" i="7"/>
  <c r="AW52" i="7"/>
  <c r="S47" i="7" a="1"/>
  <c r="S47" i="7" s="1"/>
  <c r="S23" i="7" a="1"/>
  <c r="S23" i="7" s="1"/>
  <c r="AB39" i="7"/>
  <c r="AB47" i="7"/>
  <c r="CE47" i="7" s="1"/>
  <c r="R66" i="7"/>
  <c r="AW68" i="7"/>
  <c r="AD87" i="7"/>
  <c r="AD143" i="7"/>
  <c r="CE143" i="7" s="1"/>
  <c r="AW166" i="7"/>
  <c r="P47" i="7"/>
  <c r="AU47" i="7" s="1"/>
  <c r="AO184" i="7"/>
  <c r="P72" i="7"/>
  <c r="AU72" i="7" s="1"/>
  <c r="R143" i="7"/>
  <c r="Q40" i="7"/>
  <c r="CD68" i="7"/>
  <c r="AU157" i="7"/>
  <c r="AU153" i="7"/>
  <c r="AU151" i="7"/>
  <c r="P43" i="7"/>
  <c r="AU43" i="7" s="1"/>
  <c r="S101" i="7" a="1"/>
  <c r="S101" i="7" s="1"/>
  <c r="AW112" i="7"/>
  <c r="AD90" i="7"/>
  <c r="P76" i="7"/>
  <c r="AU76" i="7" s="1"/>
  <c r="AW83" i="7"/>
  <c r="CD159" i="7"/>
  <c r="AB10" i="7"/>
  <c r="AP11" i="7"/>
  <c r="P66" i="7"/>
  <c r="AU66" i="7" s="1"/>
  <c r="P132" i="7"/>
  <c r="AU132" i="7" s="1"/>
  <c r="R101" i="7"/>
  <c r="R83" i="7"/>
  <c r="AD83" i="7"/>
  <c r="CE83" i="7" s="1"/>
  <c r="AW101" i="7"/>
  <c r="R163" i="7"/>
  <c r="Q53" i="7"/>
  <c r="AO10" i="7"/>
  <c r="AB48" i="7"/>
  <c r="CD62" i="7"/>
  <c r="AB66" i="7"/>
  <c r="R80" i="7"/>
  <c r="R90" i="7"/>
  <c r="AB43" i="7"/>
  <c r="P70" i="7"/>
  <c r="AU70" i="7" s="1"/>
  <c r="AB132" i="7"/>
  <c r="AW131" i="7"/>
  <c r="AV175" i="7"/>
  <c r="R131" i="7"/>
  <c r="AO178" i="7"/>
  <c r="AB178" i="7"/>
  <c r="AM34" i="7"/>
  <c r="AD163" i="7"/>
  <c r="Q115" i="7"/>
  <c r="AL153" i="7"/>
  <c r="Q11" i="7"/>
  <c r="AV11" i="7" s="1"/>
  <c r="AO171" i="7"/>
  <c r="AB98" i="7"/>
  <c r="P98" i="7"/>
  <c r="AU98" i="7" s="1"/>
  <c r="P154" i="7"/>
  <c r="AU154" i="7" s="1"/>
  <c r="AO51" i="7"/>
  <c r="AB51" i="7"/>
  <c r="P51" i="7"/>
  <c r="AU51" i="7" s="1"/>
  <c r="AD75" i="7"/>
  <c r="AW75" i="7"/>
  <c r="AC147" i="7"/>
  <c r="AP147" i="7"/>
  <c r="AL147" i="7"/>
  <c r="AQ122" i="7"/>
  <c r="AD122" i="7"/>
  <c r="AM122" i="7"/>
  <c r="AD31" i="7"/>
  <c r="CE31" i="7" s="1"/>
  <c r="R31" i="7"/>
  <c r="AQ86" i="7"/>
  <c r="AW86" i="7"/>
  <c r="AD174" i="7"/>
  <c r="AM174" i="7"/>
  <c r="AQ174" i="7"/>
  <c r="AW174" i="7"/>
  <c r="AD46" i="7"/>
  <c r="CE46" i="7" s="1"/>
  <c r="J46" i="1" s="1"/>
  <c r="R46" i="7"/>
  <c r="AV143" i="7"/>
  <c r="S143" i="7" a="1"/>
  <c r="S143" i="7" s="1"/>
  <c r="S158" i="7" a="1"/>
  <c r="S158" i="7" s="1"/>
  <c r="CD158" i="7"/>
  <c r="P166" i="7"/>
  <c r="AU166" i="7" s="1"/>
  <c r="S166" i="7" a="1"/>
  <c r="S166" i="7" s="1"/>
  <c r="AW151" i="7"/>
  <c r="AM151" i="7"/>
  <c r="AD151" i="7"/>
  <c r="R151" i="7"/>
  <c r="AW199" i="7"/>
  <c r="R199" i="7"/>
  <c r="AV127" i="7"/>
  <c r="AP127" i="7"/>
  <c r="AO94" i="7"/>
  <c r="AB94" i="7"/>
  <c r="R166" i="7"/>
  <c r="AD166" i="7"/>
  <c r="AQ166" i="7"/>
  <c r="AQ76" i="7"/>
  <c r="AW76" i="7"/>
  <c r="S76" i="7" a="1"/>
  <c r="S76" i="7" s="1"/>
  <c r="AP36" i="7"/>
  <c r="Q36" i="7"/>
  <c r="AQ52" i="7"/>
  <c r="R52" i="7"/>
  <c r="CD52" i="7"/>
  <c r="AB81" i="7"/>
  <c r="AO81" i="7"/>
  <c r="AO129" i="7"/>
  <c r="AB129" i="7"/>
  <c r="P129" i="7"/>
  <c r="AU129" i="7" s="1"/>
  <c r="AW121" i="7"/>
  <c r="CD121" i="7"/>
  <c r="AQ121" i="7"/>
  <c r="AB145" i="7"/>
  <c r="AO145" i="7"/>
  <c r="P145" i="7"/>
  <c r="Q177" i="7"/>
  <c r="AV177" i="7"/>
  <c r="AC177" i="7"/>
  <c r="AQ96" i="7"/>
  <c r="R96" i="7"/>
  <c r="AM96" i="7"/>
  <c r="AO120" i="7"/>
  <c r="P120" i="7"/>
  <c r="AU120" i="7" s="1"/>
  <c r="AO128" i="7"/>
  <c r="P128" i="7"/>
  <c r="AU128" i="7" s="1"/>
  <c r="Q144" i="7"/>
  <c r="AC144" i="7"/>
  <c r="AP144" i="7"/>
  <c r="AP176" i="7"/>
  <c r="AC176" i="7"/>
  <c r="AL176" i="7"/>
  <c r="AB184" i="7"/>
  <c r="AP37" i="7"/>
  <c r="AC37" i="7"/>
  <c r="AV37" i="7"/>
  <c r="AO53" i="7"/>
  <c r="P53" i="7"/>
  <c r="AU53" i="7" s="1"/>
  <c r="AM69" i="7"/>
  <c r="AW69" i="7"/>
  <c r="AO85" i="7"/>
  <c r="P85" i="7"/>
  <c r="AU85" i="7" s="1"/>
  <c r="AB85" i="7"/>
  <c r="AW109" i="7"/>
  <c r="R109" i="7"/>
  <c r="AP117" i="7"/>
  <c r="AC117" i="7"/>
  <c r="AD125" i="7"/>
  <c r="AQ125" i="7"/>
  <c r="AM125" i="7"/>
  <c r="AU149" i="7"/>
  <c r="AB149" i="7"/>
  <c r="AW189" i="7"/>
  <c r="AD189" i="7"/>
  <c r="R189" i="7"/>
  <c r="AM189" i="7"/>
  <c r="AB105" i="7"/>
  <c r="AO105" i="7"/>
  <c r="AC97" i="7"/>
  <c r="S97" i="7" a="1"/>
  <c r="S97" i="7" s="1"/>
  <c r="AL97" i="7"/>
  <c r="AQ161" i="7"/>
  <c r="AM161" i="7"/>
  <c r="AD161" i="7"/>
  <c r="CE161" i="7" s="1"/>
  <c r="AO148" i="7"/>
  <c r="P180" i="7"/>
  <c r="AU180" i="7" s="1"/>
  <c r="AM135" i="7"/>
  <c r="AQ135" i="7"/>
  <c r="AD135" i="7"/>
  <c r="AC173" i="7"/>
  <c r="CE173" i="7" s="1"/>
  <c r="AV173" i="7"/>
  <c r="AL173" i="7"/>
  <c r="AP173" i="7"/>
  <c r="Q173" i="7"/>
  <c r="CD173" i="7"/>
  <c r="AC181" i="7"/>
  <c r="AL181" i="7"/>
  <c r="AP181" i="7"/>
  <c r="Q181" i="7"/>
  <c r="AD203" i="7"/>
  <c r="CE203" i="7" s="1"/>
  <c r="R203" i="7"/>
  <c r="AW66" i="7"/>
  <c r="R174" i="7"/>
  <c r="CD174" i="7"/>
  <c r="CD94" i="7"/>
  <c r="AU141" i="7"/>
  <c r="AU137" i="7"/>
  <c r="S122" i="7" a="1"/>
  <c r="S122" i="7" s="1"/>
  <c r="CD190" i="7"/>
  <c r="CD160" i="7"/>
  <c r="S206" i="7" a="1"/>
  <c r="S206" i="7" s="1"/>
  <c r="AO22" i="7"/>
  <c r="AQ26" i="7"/>
  <c r="AB54" i="7"/>
  <c r="CE54" i="7" s="1"/>
  <c r="AW44" i="7"/>
  <c r="AM48" i="7"/>
  <c r="AO77" i="7"/>
  <c r="CD100" i="7"/>
  <c r="P121" i="7"/>
  <c r="AU121" i="7" s="1"/>
  <c r="CD102" i="7"/>
  <c r="AM134" i="7"/>
  <c r="R148" i="7"/>
  <c r="AD156" i="7"/>
  <c r="S57" i="7" a="1"/>
  <c r="S57" i="7" s="1"/>
  <c r="P206" i="7"/>
  <c r="CD135" i="7"/>
  <c r="CD169" i="7"/>
  <c r="AB22" i="7"/>
  <c r="P27" i="7"/>
  <c r="AU27" i="7" s="1"/>
  <c r="CD77" i="7"/>
  <c r="CD92" i="7"/>
  <c r="AW106" i="7"/>
  <c r="R57" i="7"/>
  <c r="AB80" i="7"/>
  <c r="P90" i="7"/>
  <c r="AU90" i="7" s="1"/>
  <c r="AC118" i="7"/>
  <c r="CE118" i="7" s="1"/>
  <c r="J118" i="1" s="1"/>
  <c r="P112" i="7"/>
  <c r="AU112" i="7" s="1"/>
  <c r="Q118" i="7"/>
  <c r="CD79" i="7"/>
  <c r="AB102" i="7"/>
  <c r="CE102" i="7" s="1"/>
  <c r="AW148" i="7"/>
  <c r="AD137" i="7"/>
  <c r="CD148" i="7"/>
  <c r="J148" i="1" s="1"/>
  <c r="AW188" i="7"/>
  <c r="AO135" i="7"/>
  <c r="S174" i="7" a="1"/>
  <c r="S174" i="7" s="1"/>
  <c r="AQ111" i="7"/>
  <c r="AB205" i="7"/>
  <c r="CE205" i="7" s="1"/>
  <c r="S121" i="7" a="1"/>
  <c r="S121" i="7" s="1"/>
  <c r="AV174" i="7"/>
  <c r="AP79" i="7"/>
  <c r="AC164" i="7"/>
  <c r="AQ169" i="7"/>
  <c r="Q63" i="7"/>
  <c r="CD63" i="7"/>
  <c r="AD57" i="7"/>
  <c r="CD141" i="7"/>
  <c r="AM169" i="7"/>
  <c r="S22" i="7" a="1"/>
  <c r="S22" i="7" s="1"/>
  <c r="S79" i="7" a="1"/>
  <c r="S79" i="7" s="1"/>
  <c r="AB25" i="7"/>
  <c r="AM188" i="7"/>
  <c r="AU136" i="7"/>
  <c r="CD30" i="7"/>
  <c r="AW49" i="7"/>
  <c r="AB140" i="7"/>
  <c r="CE140" i="7" s="1"/>
  <c r="AB38" i="7"/>
  <c r="S39" i="7" a="1"/>
  <c r="S39" i="7" s="1"/>
  <c r="AM100" i="7"/>
  <c r="CD69" i="7"/>
  <c r="AD70" i="7"/>
  <c r="CE70" i="7" s="1"/>
  <c r="AM78" i="7"/>
  <c r="AD91" i="7"/>
  <c r="AM128" i="7"/>
  <c r="R132" i="7"/>
  <c r="S113" i="7" a="1"/>
  <c r="S113" i="7" s="1"/>
  <c r="AM171" i="7"/>
  <c r="R171" i="7"/>
  <c r="S165" i="7" a="1"/>
  <c r="S165" i="7" s="1"/>
  <c r="CD129" i="7"/>
  <c r="AM129" i="7"/>
  <c r="S185" i="7" a="1"/>
  <c r="S185" i="7" s="1"/>
  <c r="R42" i="7"/>
  <c r="AM58" i="7"/>
  <c r="R62" i="7"/>
  <c r="R43" i="7"/>
  <c r="AW65" i="7"/>
  <c r="AD43" i="7"/>
  <c r="R100" i="7"/>
  <c r="AM104" i="7"/>
  <c r="R41" i="7"/>
  <c r="R65" i="7"/>
  <c r="AM41" i="7"/>
  <c r="AW78" i="7"/>
  <c r="S85" i="7" a="1"/>
  <c r="S85" i="7" s="1"/>
  <c r="R128" i="7"/>
  <c r="AQ167" i="7"/>
  <c r="AQ171" i="7"/>
  <c r="R149" i="7"/>
  <c r="S38" i="7" a="1"/>
  <c r="S38" i="7" s="1"/>
  <c r="Q69" i="7"/>
  <c r="AQ149" i="7"/>
  <c r="AM149" i="7"/>
  <c r="CD38" i="7"/>
  <c r="CD116" i="7"/>
  <c r="AU135" i="7"/>
  <c r="S154" i="7" a="1"/>
  <c r="S154" i="7" s="1"/>
  <c r="AW26" i="7"/>
  <c r="AD106" i="7"/>
  <c r="AW138" i="7"/>
  <c r="AP187" i="7"/>
  <c r="AO187" i="7"/>
  <c r="AM82" i="7"/>
  <c r="AW82" i="7"/>
  <c r="P59" i="7"/>
  <c r="AU59" i="7" s="1"/>
  <c r="AB59" i="7"/>
  <c r="AV75" i="7"/>
  <c r="Q75" i="7"/>
  <c r="S75" i="7" a="1"/>
  <c r="S75" i="7" s="1"/>
  <c r="AQ25" i="7"/>
  <c r="AM25" i="7"/>
  <c r="AD25" i="7"/>
  <c r="AQ72" i="7"/>
  <c r="AD72" i="7"/>
  <c r="AO110" i="7"/>
  <c r="P110" i="7"/>
  <c r="AU110" i="7" s="1"/>
  <c r="AD111" i="7"/>
  <c r="AM111" i="7"/>
  <c r="AL174" i="7"/>
  <c r="AC174" i="7"/>
  <c r="S191" i="7" a="1"/>
  <c r="S191" i="7" s="1"/>
  <c r="CD191" i="7"/>
  <c r="P191" i="7"/>
  <c r="AU191" i="7" s="1"/>
  <c r="AB191" i="7"/>
  <c r="AD127" i="7"/>
  <c r="AM127" i="7"/>
  <c r="R127" i="7"/>
  <c r="AQ127" i="7"/>
  <c r="AQ38" i="7"/>
  <c r="AD38" i="7"/>
  <c r="R38" i="7"/>
  <c r="CD54" i="7"/>
  <c r="AO54" i="7"/>
  <c r="AQ102" i="7"/>
  <c r="AM102" i="7"/>
  <c r="CD134" i="7"/>
  <c r="J134" i="1" s="1"/>
  <c r="AO134" i="7"/>
  <c r="S134" i="7" a="1"/>
  <c r="S134" i="7" s="1"/>
  <c r="AB135" i="7"/>
  <c r="S135" i="7" a="1"/>
  <c r="S135" i="7" s="1"/>
  <c r="AD191" i="7"/>
  <c r="R191" i="7"/>
  <c r="AM191" i="7"/>
  <c r="AQ191" i="7"/>
  <c r="AQ134" i="7"/>
  <c r="AW134" i="7"/>
  <c r="AO190" i="7"/>
  <c r="AB190" i="7"/>
  <c r="P190" i="7"/>
  <c r="AP118" i="7"/>
  <c r="AL118" i="7"/>
  <c r="AQ57" i="7"/>
  <c r="AM57" i="7"/>
  <c r="AQ108" i="7"/>
  <c r="AD108" i="7"/>
  <c r="CE108" i="7" s="1"/>
  <c r="AO124" i="7"/>
  <c r="P124" i="7"/>
  <c r="AU124" i="7" s="1"/>
  <c r="S44" i="7" a="1"/>
  <c r="S44" i="7" s="1"/>
  <c r="AP44" i="7"/>
  <c r="AC44" i="7"/>
  <c r="AV44" i="7"/>
  <c r="AQ44" i="7"/>
  <c r="AD44" i="7"/>
  <c r="AO100" i="7"/>
  <c r="P100" i="7"/>
  <c r="AU100" i="7" s="1"/>
  <c r="AQ40" i="7"/>
  <c r="AD40" i="7"/>
  <c r="S40" i="7" a="1"/>
  <c r="S40" i="7" s="1"/>
  <c r="AQ48" i="7"/>
  <c r="AD48" i="7"/>
  <c r="R184" i="7"/>
  <c r="AD184" i="7"/>
  <c r="CD184" i="7"/>
  <c r="R45" i="7"/>
  <c r="AD45" i="7"/>
  <c r="CE45" i="7" s="1"/>
  <c r="AQ45" i="7"/>
  <c r="AQ53" i="7"/>
  <c r="R53" i="7"/>
  <c r="AC125" i="7"/>
  <c r="Q125" i="7"/>
  <c r="AC133" i="7"/>
  <c r="Q133" i="7"/>
  <c r="AW157" i="7"/>
  <c r="AM157" i="7"/>
  <c r="AQ60" i="7"/>
  <c r="AD60" i="7"/>
  <c r="R169" i="7"/>
  <c r="AD169" i="7"/>
  <c r="S169" i="7" a="1"/>
  <c r="S169" i="7" s="1"/>
  <c r="AV204" i="7"/>
  <c r="AP204" i="7"/>
  <c r="Q204" i="7"/>
  <c r="S172" i="7" a="1"/>
  <c r="S172" i="7" s="1"/>
  <c r="AC172" i="7"/>
  <c r="CE172" i="7" s="1"/>
  <c r="AL172" i="7"/>
  <c r="Q172" i="7"/>
  <c r="CD172" i="7"/>
  <c r="AQ140" i="7"/>
  <c r="R140" i="7"/>
  <c r="P160" i="7"/>
  <c r="AO160" i="7"/>
  <c r="AB206" i="7"/>
  <c r="CE206" i="7" s="1"/>
  <c r="CD206" i="7"/>
  <c r="AO206" i="7"/>
  <c r="AK206" i="7"/>
  <c r="AC141" i="7"/>
  <c r="Q141" i="7"/>
  <c r="AL141" i="7"/>
  <c r="S141" i="7" a="1"/>
  <c r="S141" i="7" s="1"/>
  <c r="AV141" i="7"/>
  <c r="S188" i="7" a="1"/>
  <c r="S188" i="7" s="1"/>
  <c r="AO188" i="7"/>
  <c r="AB188" i="7"/>
  <c r="CE188" i="7" s="1"/>
  <c r="CD140" i="7"/>
  <c r="S60" i="7" a="1"/>
  <c r="S60" i="7" s="1"/>
  <c r="S109" i="7" a="1"/>
  <c r="S109" i="7" s="1"/>
  <c r="AU130" i="7"/>
  <c r="AU127" i="7"/>
  <c r="AW147" i="7"/>
  <c r="AD67" i="7"/>
  <c r="AB114" i="7"/>
  <c r="AD194" i="7"/>
  <c r="AD58" i="7"/>
  <c r="P42" i="7"/>
  <c r="AU42" i="7" s="1"/>
  <c r="AW58" i="7"/>
  <c r="AW90" i="7"/>
  <c r="R93" i="7"/>
  <c r="P114" i="7"/>
  <c r="AU114" i="7" s="1"/>
  <c r="AM146" i="7"/>
  <c r="AM179" i="7"/>
  <c r="CD182" i="7"/>
  <c r="R182" i="7"/>
  <c r="R179" i="7"/>
  <c r="AC51" i="7"/>
  <c r="AU122" i="7"/>
  <c r="CD90" i="7"/>
  <c r="AU118" i="7"/>
  <c r="AB82" i="7"/>
  <c r="AD74" i="7"/>
  <c r="R195" i="7"/>
  <c r="S98" i="7" a="1"/>
  <c r="S98" i="7" s="1"/>
  <c r="CD154" i="7"/>
  <c r="CD91" i="7"/>
  <c r="P107" i="7"/>
  <c r="AU107" i="7" s="1"/>
  <c r="AD146" i="7"/>
  <c r="AM194" i="7"/>
  <c r="AU186" i="7"/>
  <c r="R67" i="7"/>
  <c r="R147" i="7"/>
  <c r="AV115" i="7"/>
  <c r="CD151" i="7"/>
  <c r="AL36" i="7"/>
  <c r="CD127" i="7"/>
  <c r="AQ69" i="7"/>
  <c r="AQ109" i="7"/>
  <c r="AV176" i="7"/>
  <c r="AL127" i="7"/>
  <c r="S86" i="7" a="1"/>
  <c r="S86" i="7" s="1"/>
  <c r="Q97" i="7"/>
  <c r="AW179" i="7"/>
  <c r="AL51" i="7"/>
  <c r="AP51" i="7"/>
  <c r="S160" i="7" a="1"/>
  <c r="S160" i="7" s="1"/>
  <c r="Q139" i="7"/>
  <c r="CD196" i="7"/>
  <c r="AV144" i="7"/>
  <c r="S179" i="7" a="1"/>
  <c r="S179" i="7" s="1"/>
  <c r="AW146" i="7"/>
  <c r="R194" i="7"/>
  <c r="AV170" i="7"/>
  <c r="AW163" i="7"/>
  <c r="AP170" i="7"/>
  <c r="AQ90" i="7"/>
  <c r="Q206" i="7"/>
  <c r="AW125" i="7"/>
  <c r="AD69" i="7"/>
  <c r="AO60" i="7"/>
  <c r="AV97" i="7"/>
  <c r="AC127" i="7"/>
  <c r="CD86" i="7"/>
  <c r="AP97" i="7"/>
  <c r="AV51" i="7"/>
  <c r="AQ83" i="7"/>
  <c r="AQ31" i="7"/>
  <c r="AV206" i="7"/>
  <c r="AD121" i="7"/>
  <c r="AL144" i="7"/>
  <c r="AU116" i="7"/>
  <c r="R146" i="7"/>
  <c r="AW194" i="7"/>
  <c r="AM163" i="7"/>
  <c r="AC115" i="7"/>
  <c r="AL115" i="7"/>
  <c r="Q170" i="7"/>
  <c r="S46" i="7" a="1"/>
  <c r="S46" i="7" s="1"/>
  <c r="CD51" i="7"/>
  <c r="AO149" i="7"/>
  <c r="AP206" i="7"/>
  <c r="S105" i="7" a="1"/>
  <c r="S105" i="7" s="1"/>
  <c r="S37" i="7" a="1"/>
  <c r="S37" i="7" s="1"/>
  <c r="S205" i="7" a="1"/>
  <c r="S205" i="7" s="1"/>
  <c r="S66" i="7" a="1"/>
  <c r="S66" i="7" s="1"/>
  <c r="CD80" i="7"/>
  <c r="S137" i="7" a="1"/>
  <c r="S137" i="7" s="1"/>
  <c r="AD42" i="7"/>
  <c r="P155" i="7"/>
  <c r="AP195" i="7"/>
  <c r="CD195" i="7"/>
  <c r="AW178" i="7"/>
  <c r="CD178" i="7"/>
  <c r="AW114" i="7"/>
  <c r="R114" i="7"/>
  <c r="AB146" i="7"/>
  <c r="P146" i="7"/>
  <c r="AU146" i="7" s="1"/>
  <c r="Q43" i="7"/>
  <c r="CD43" i="7"/>
  <c r="AD99" i="7"/>
  <c r="CE99" i="7" s="1"/>
  <c r="AW99" i="7"/>
  <c r="AB41" i="7"/>
  <c r="CE41" i="7" s="1"/>
  <c r="P41" i="7"/>
  <c r="AU41" i="7" s="1"/>
  <c r="CD41" i="7"/>
  <c r="AL183" i="7"/>
  <c r="Q183" i="7"/>
  <c r="AW71" i="7"/>
  <c r="AQ71" i="7"/>
  <c r="AD71" i="7"/>
  <c r="CE71" i="7" s="1"/>
  <c r="AV167" i="7"/>
  <c r="S167" i="7" a="1"/>
  <c r="S167" i="7" s="1"/>
  <c r="AC167" i="7"/>
  <c r="CE167" i="7" s="1"/>
  <c r="AL167" i="7"/>
  <c r="AW30" i="7"/>
  <c r="S30" i="7" a="1"/>
  <c r="S30" i="7" s="1"/>
  <c r="AD30" i="7"/>
  <c r="AQ39" i="7"/>
  <c r="CD39" i="7"/>
  <c r="R39" i="7"/>
  <c r="R142" i="7"/>
  <c r="AM142" i="7"/>
  <c r="R150" i="7"/>
  <c r="AM150" i="7"/>
  <c r="Q111" i="7"/>
  <c r="S111" i="7" a="1"/>
  <c r="S111" i="7" s="1"/>
  <c r="AW175" i="7"/>
  <c r="R175" i="7"/>
  <c r="AM175" i="7"/>
  <c r="AW113" i="7"/>
  <c r="AQ113" i="7"/>
  <c r="AD113" i="7"/>
  <c r="CE113" i="7" s="1"/>
  <c r="CD113" i="7"/>
  <c r="R113" i="7"/>
  <c r="AW116" i="7"/>
  <c r="R116" i="7"/>
  <c r="AB156" i="7"/>
  <c r="CD156" i="7"/>
  <c r="AV180" i="7"/>
  <c r="S180" i="7" a="1"/>
  <c r="S180" i="7" s="1"/>
  <c r="CD180" i="7"/>
  <c r="AC180" i="7"/>
  <c r="CE180" i="7" s="1"/>
  <c r="AO40" i="7"/>
  <c r="P40" i="7"/>
  <c r="AU40" i="7" s="1"/>
  <c r="CD40" i="7"/>
  <c r="AB144" i="7"/>
  <c r="CD144" i="7"/>
  <c r="AD176" i="7"/>
  <c r="AM176" i="7"/>
  <c r="AO45" i="7"/>
  <c r="CD45" i="7"/>
  <c r="J45" i="1" s="1"/>
  <c r="S45" i="7" a="1"/>
  <c r="S45" i="7" s="1"/>
  <c r="AC69" i="7"/>
  <c r="AV69" i="7"/>
  <c r="CD125" i="7"/>
  <c r="S125" i="7" a="1"/>
  <c r="S125" i="7" s="1"/>
  <c r="CD157" i="7"/>
  <c r="AL157" i="7"/>
  <c r="AP157" i="7"/>
  <c r="AL185" i="7"/>
  <c r="AP185" i="7"/>
  <c r="AV185" i="7"/>
  <c r="Q185" i="7"/>
  <c r="P164" i="7"/>
  <c r="AU164" i="7" s="1"/>
  <c r="AB164" i="7"/>
  <c r="CD119" i="7"/>
  <c r="P119" i="7"/>
  <c r="AU119" i="7" s="1"/>
  <c r="CD181" i="7"/>
  <c r="CD165" i="7"/>
  <c r="AU165" i="7"/>
  <c r="AB165" i="7"/>
  <c r="AO165" i="7"/>
  <c r="AQ172" i="7"/>
  <c r="R172" i="7"/>
  <c r="AM172" i="7"/>
  <c r="R58" i="7"/>
  <c r="R59" i="7"/>
  <c r="AW172" i="7"/>
  <c r="AL187" i="7"/>
  <c r="AV36" i="7"/>
  <c r="S81" i="7" a="1"/>
  <c r="S81" i="7" s="1"/>
  <c r="S68" i="7" a="1"/>
  <c r="S68" i="7" s="1"/>
  <c r="AQ189" i="7"/>
  <c r="AU113" i="7"/>
  <c r="AU111" i="7"/>
  <c r="AU108" i="7"/>
  <c r="CD96" i="7"/>
  <c r="S120" i="7" a="1"/>
  <c r="S120" i="7" s="1"/>
  <c r="AU103" i="7"/>
  <c r="AU101" i="7"/>
  <c r="AU97" i="7"/>
  <c r="S162" i="7" a="1"/>
  <c r="S162" i="7" s="1"/>
  <c r="CD103" i="7"/>
  <c r="S145" i="7" a="1"/>
  <c r="S145" i="7" s="1"/>
  <c r="AW43" i="7"/>
  <c r="P75" i="7"/>
  <c r="AU75" i="7" s="1"/>
  <c r="R74" i="7"/>
  <c r="P82" i="7"/>
  <c r="AU82" i="7" s="1"/>
  <c r="CD75" i="7"/>
  <c r="AM55" i="7"/>
  <c r="AP123" i="7"/>
  <c r="AD101" i="7"/>
  <c r="CD131" i="7"/>
  <c r="CD147" i="7"/>
  <c r="AB106" i="7"/>
  <c r="R145" i="7"/>
  <c r="AW192" i="7"/>
  <c r="AM195" i="7"/>
  <c r="R197" i="7"/>
  <c r="AQ195" i="7"/>
  <c r="AD186" i="7"/>
  <c r="AO75" i="7"/>
  <c r="CD115" i="7"/>
  <c r="AO147" i="7"/>
  <c r="CD112" i="7"/>
  <c r="AQ91" i="7"/>
  <c r="AC195" i="7"/>
  <c r="CE195" i="7" s="1"/>
  <c r="AW171" i="7"/>
  <c r="AM51" i="7"/>
  <c r="AW74" i="7"/>
  <c r="AC123" i="7"/>
  <c r="AD115" i="7"/>
  <c r="P99" i="7"/>
  <c r="P138" i="7"/>
  <c r="P147" i="7"/>
  <c r="Q202" i="7"/>
  <c r="AW197" i="7"/>
  <c r="AW195" i="7"/>
  <c r="S195" i="7" a="1"/>
  <c r="S195" i="7" s="1"/>
  <c r="P187" i="7"/>
  <c r="AU187" i="7" s="1"/>
  <c r="S48" i="7" a="1"/>
  <c r="S48" i="7" s="1"/>
  <c r="AC89" i="7"/>
  <c r="AM91" i="7"/>
  <c r="Q59" i="7"/>
  <c r="CD193" i="7"/>
  <c r="AB147" i="7"/>
  <c r="CD76" i="7"/>
  <c r="AL195" i="7"/>
  <c r="AO99" i="7"/>
  <c r="AM43" i="7"/>
  <c r="AM74" i="7"/>
  <c r="CD74" i="7"/>
  <c r="AW55" i="7"/>
  <c r="S70" i="7" a="1"/>
  <c r="S70" i="7" s="1"/>
  <c r="AB138" i="7"/>
  <c r="R112" i="7"/>
  <c r="P117" i="7"/>
  <c r="S147" i="7" a="1"/>
  <c r="S147" i="7" s="1"/>
  <c r="P203" i="7"/>
  <c r="P182" i="7"/>
  <c r="AU182" i="7" s="1"/>
  <c r="AW182" i="7"/>
  <c r="S112" i="7" a="1"/>
  <c r="S112" i="7" s="1"/>
  <c r="AU95" i="7"/>
  <c r="AU94" i="7"/>
  <c r="AU93" i="7"/>
  <c r="AC36" i="7"/>
  <c r="CE36" i="7" s="1"/>
  <c r="AV117" i="7"/>
  <c r="AL37" i="7"/>
  <c r="Q37" i="7"/>
  <c r="AU92" i="7"/>
  <c r="AU88" i="7"/>
  <c r="AU87" i="7"/>
  <c r="AU86" i="7"/>
  <c r="AO107" i="7"/>
  <c r="Q101" i="7"/>
  <c r="AL101" i="7"/>
  <c r="AC101" i="7"/>
  <c r="AV101" i="7"/>
  <c r="AV195" i="7"/>
  <c r="AO191" i="7"/>
  <c r="AU81" i="7"/>
  <c r="AU80" i="7"/>
  <c r="AU79" i="7"/>
  <c r="S71" i="7" a="1"/>
  <c r="S71" i="7" s="1"/>
  <c r="AU77" i="7"/>
  <c r="AU73" i="7"/>
  <c r="S177" i="7" a="1"/>
  <c r="S177" i="7" s="1"/>
  <c r="AD34" i="7"/>
  <c r="AQ34" i="7"/>
  <c r="AD50" i="7"/>
  <c r="AM50" i="7"/>
  <c r="P194" i="7"/>
  <c r="AU194" i="7" s="1"/>
  <c r="AM26" i="7"/>
  <c r="AD26" i="7"/>
  <c r="CD26" i="7"/>
  <c r="AQ82" i="7"/>
  <c r="R82" i="7"/>
  <c r="AO90" i="7"/>
  <c r="AQ106" i="7"/>
  <c r="AM106" i="7"/>
  <c r="AQ114" i="7"/>
  <c r="AM114" i="7"/>
  <c r="AD114" i="7"/>
  <c r="AQ138" i="7"/>
  <c r="R138" i="7"/>
  <c r="AM138" i="7"/>
  <c r="CD146" i="7"/>
  <c r="R162" i="7"/>
  <c r="AD162" i="7"/>
  <c r="AC75" i="7"/>
  <c r="AP75" i="7"/>
  <c r="P83" i="7"/>
  <c r="AM99" i="7"/>
  <c r="R99" i="7"/>
  <c r="S99" i="7" a="1"/>
  <c r="S99" i="7" s="1"/>
  <c r="P123" i="7"/>
  <c r="P139" i="7"/>
  <c r="AU139" i="7" s="1"/>
  <c r="CD163" i="7"/>
  <c r="S163" i="7" a="1"/>
  <c r="S163" i="7" s="1"/>
  <c r="AO30" i="7"/>
  <c r="AB30" i="7"/>
  <c r="AD95" i="7"/>
  <c r="AW95" i="7"/>
  <c r="AW159" i="7"/>
  <c r="AQ159" i="7"/>
  <c r="AO55" i="7"/>
  <c r="AB55" i="7"/>
  <c r="CE55" i="7" s="1"/>
  <c r="P55" i="7"/>
  <c r="AU55" i="7" s="1"/>
  <c r="CD55" i="7"/>
  <c r="AW103" i="7"/>
  <c r="AM103" i="7"/>
  <c r="S159" i="7" a="1"/>
  <c r="S159" i="7" s="1"/>
  <c r="AV159" i="7"/>
  <c r="AC81" i="7"/>
  <c r="CD81" i="7"/>
  <c r="AV89" i="7"/>
  <c r="CD89" i="7"/>
  <c r="S89" i="7" a="1"/>
  <c r="S89" i="7" s="1"/>
  <c r="AM89" i="7"/>
  <c r="AD89" i="7"/>
  <c r="AB201" i="7"/>
  <c r="CE201" i="7" s="1"/>
  <c r="P201" i="7"/>
  <c r="CD201" i="7"/>
  <c r="P84" i="7"/>
  <c r="AO84" i="7"/>
  <c r="AD124" i="7"/>
  <c r="AM124" i="7"/>
  <c r="P161" i="7"/>
  <c r="AU161" i="7" s="1"/>
  <c r="AB96" i="7"/>
  <c r="AO96" i="7"/>
  <c r="R120" i="7"/>
  <c r="AW120" i="7"/>
  <c r="AD120" i="7"/>
  <c r="CD120" i="7"/>
  <c r="AD168" i="7"/>
  <c r="CE168" i="7" s="1"/>
  <c r="CD168" i="7"/>
  <c r="R192" i="7"/>
  <c r="CD192" i="7"/>
  <c r="AM37" i="7"/>
  <c r="AD37" i="7"/>
  <c r="CD37" i="7"/>
  <c r="AM77" i="7"/>
  <c r="AW77" i="7"/>
  <c r="P133" i="7"/>
  <c r="AU133" i="7" s="1"/>
  <c r="AV149" i="7"/>
  <c r="S149" i="7" a="1"/>
  <c r="S149" i="7" s="1"/>
  <c r="AC149" i="7"/>
  <c r="CD189" i="7"/>
  <c r="AL189" i="7"/>
  <c r="AV88" i="7"/>
  <c r="S88" i="7" a="1"/>
  <c r="S88" i="7" s="1"/>
  <c r="Q108" i="7"/>
  <c r="CD108" i="7"/>
  <c r="J108" i="1" s="1"/>
  <c r="AP108" i="7"/>
  <c r="S108" i="7" a="1"/>
  <c r="S108" i="7" s="1"/>
  <c r="AW145" i="7"/>
  <c r="AD145" i="7"/>
  <c r="AC153" i="7"/>
  <c r="CE153" i="7" s="1"/>
  <c r="AV153" i="7"/>
  <c r="S49" i="7" a="1"/>
  <c r="S49" i="7" s="1"/>
  <c r="CD49" i="7"/>
  <c r="P204" i="7"/>
  <c r="AU204" i="7" s="1"/>
  <c r="AO204" i="7"/>
  <c r="P152" i="7"/>
  <c r="AB152" i="7"/>
  <c r="CE152" i="7" s="1"/>
  <c r="CD152" i="7"/>
  <c r="AQ197" i="7"/>
  <c r="AM197" i="7"/>
  <c r="S197" i="7" a="1"/>
  <c r="S197" i="7" s="1"/>
  <c r="AD197" i="7"/>
  <c r="CE197" i="7" s="1"/>
  <c r="J197" i="1" s="1"/>
  <c r="CD101" i="7"/>
  <c r="AQ101" i="7"/>
  <c r="S80" i="7" a="1"/>
  <c r="S80" i="7" s="1"/>
  <c r="P162" i="7"/>
  <c r="CD106" i="7"/>
  <c r="S106" i="7" a="1"/>
  <c r="S106" i="7" s="1"/>
  <c r="AM130" i="7"/>
  <c r="AD130" i="7"/>
  <c r="S115" i="7" a="1"/>
  <c r="S115" i="7" s="1"/>
  <c r="AU115" i="7"/>
  <c r="AM139" i="7"/>
  <c r="AW139" i="7"/>
  <c r="AU178" i="7"/>
  <c r="AD35" i="7"/>
  <c r="AM35" i="7"/>
  <c r="Q87" i="7"/>
  <c r="AV87" i="7"/>
  <c r="AL87" i="7"/>
  <c r="AC87" i="7"/>
  <c r="CD87" i="7"/>
  <c r="AQ49" i="7"/>
  <c r="R49" i="7"/>
  <c r="AD65" i="7"/>
  <c r="CE65" i="7" s="1"/>
  <c r="J65" i="1" s="1"/>
  <c r="AQ65" i="7"/>
  <c r="AM65" i="7"/>
  <c r="AQ116" i="7"/>
  <c r="AM116" i="7"/>
  <c r="AM132" i="7"/>
  <c r="AQ132" i="7"/>
  <c r="CD132" i="7"/>
  <c r="S132" i="7" a="1"/>
  <c r="S132" i="7" s="1"/>
  <c r="AD132" i="7"/>
  <c r="AO156" i="7"/>
  <c r="P156" i="7"/>
  <c r="Q116" i="7"/>
  <c r="AL116" i="7"/>
  <c r="AC116" i="7"/>
  <c r="CE116" i="7" s="1"/>
  <c r="AV116" i="7"/>
  <c r="S116" i="7" a="1"/>
  <c r="S116" i="7" s="1"/>
  <c r="AL105" i="7"/>
  <c r="AC105" i="7"/>
  <c r="Q105" i="7"/>
  <c r="CD105" i="7"/>
  <c r="AO140" i="7"/>
  <c r="S140" i="7" a="1"/>
  <c r="S140" i="7" s="1"/>
  <c r="P140" i="7"/>
  <c r="AQ129" i="7"/>
  <c r="AD129" i="7"/>
  <c r="R129" i="7"/>
  <c r="S129" i="7" a="1"/>
  <c r="S129" i="7" s="1"/>
  <c r="AL180" i="7"/>
  <c r="Q180" i="7"/>
  <c r="Q48" i="7"/>
  <c r="AV48" i="7"/>
  <c r="AC48" i="7"/>
  <c r="AL48" i="7"/>
  <c r="AQ104" i="7"/>
  <c r="S104" i="7" a="1"/>
  <c r="S104" i="7" s="1"/>
  <c r="CD104" i="7"/>
  <c r="AD104" i="7"/>
  <c r="AQ128" i="7"/>
  <c r="S128" i="7" a="1"/>
  <c r="S128" i="7" s="1"/>
  <c r="AD128" i="7"/>
  <c r="S144" i="7" a="1"/>
  <c r="S144" i="7" s="1"/>
  <c r="AO144" i="7"/>
  <c r="P144" i="7"/>
  <c r="AW176" i="7"/>
  <c r="R176" i="7"/>
  <c r="S176" i="7" a="1"/>
  <c r="S176" i="7" s="1"/>
  <c r="AL184" i="7"/>
  <c r="AC184" i="7"/>
  <c r="AV184" i="7"/>
  <c r="AP184" i="7"/>
  <c r="S184" i="7" a="1"/>
  <c r="S184" i="7" s="1"/>
  <c r="AL69" i="7"/>
  <c r="S69" i="7" a="1"/>
  <c r="S69" i="7" s="1"/>
  <c r="Q85" i="7"/>
  <c r="AP85" i="7"/>
  <c r="AV85" i="7"/>
  <c r="AC85" i="7"/>
  <c r="CD85" i="7"/>
  <c r="AL93" i="7"/>
  <c r="Q93" i="7"/>
  <c r="AV93" i="7"/>
  <c r="AC93" i="7"/>
  <c r="CD93" i="7"/>
  <c r="AW117" i="7"/>
  <c r="R117" i="7"/>
  <c r="AM117" i="7"/>
  <c r="AD117" i="7"/>
  <c r="AO125" i="7"/>
  <c r="P125" i="7"/>
  <c r="AW149" i="7"/>
  <c r="CD149" i="7"/>
  <c r="AC157" i="7"/>
  <c r="Q157" i="7"/>
  <c r="AV157" i="7"/>
  <c r="AP205" i="7"/>
  <c r="Q205" i="7"/>
  <c r="AV205" i="7"/>
  <c r="AQ84" i="7"/>
  <c r="CD84" i="7"/>
  <c r="S84" i="7" a="1"/>
  <c r="S84" i="7" s="1"/>
  <c r="AD84" i="7"/>
  <c r="CE84" i="7" s="1"/>
  <c r="AQ41" i="7"/>
  <c r="S41" i="7" a="1"/>
  <c r="S41" i="7" s="1"/>
  <c r="Q137" i="7"/>
  <c r="AV137" i="7"/>
  <c r="AP137" i="7"/>
  <c r="AC137" i="7"/>
  <c r="CD137" i="7"/>
  <c r="AQ100" i="7"/>
  <c r="S100" i="7" a="1"/>
  <c r="S100" i="7" s="1"/>
  <c r="AW100" i="7"/>
  <c r="AO164" i="7"/>
  <c r="CD164" i="7"/>
  <c r="S164" i="7" a="1"/>
  <c r="S164" i="7" s="1"/>
  <c r="S119" i="7" a="1"/>
  <c r="S119" i="7" s="1"/>
  <c r="AB181" i="7"/>
  <c r="P181" i="7"/>
  <c r="AO181" i="7"/>
  <c r="S181" i="7" a="1"/>
  <c r="S181" i="7" s="1"/>
  <c r="AO71" i="7"/>
  <c r="P71" i="7"/>
  <c r="AU71" i="7" s="1"/>
  <c r="AQ95" i="7"/>
  <c r="R95" i="7"/>
  <c r="R198" i="7"/>
  <c r="AM198" i="7"/>
  <c r="AQ198" i="7"/>
  <c r="AD103" i="7"/>
  <c r="AQ103" i="7"/>
  <c r="AC159" i="7"/>
  <c r="AL159" i="7"/>
  <c r="AP159" i="7"/>
  <c r="Q159" i="7"/>
  <c r="AM182" i="7"/>
  <c r="AQ182" i="7"/>
  <c r="AO183" i="7"/>
  <c r="AB183" i="7"/>
  <c r="P183" i="7"/>
  <c r="S183" i="7" a="1"/>
  <c r="S183" i="7" s="1"/>
  <c r="AU69" i="7"/>
  <c r="CD133" i="7"/>
  <c r="AU67" i="7"/>
  <c r="CD72" i="7"/>
  <c r="CD128" i="7"/>
  <c r="AM80" i="7"/>
  <c r="AD80" i="7"/>
  <c r="P202" i="7"/>
  <c r="AB202" i="7"/>
  <c r="AQ203" i="7"/>
  <c r="AM203" i="7"/>
  <c r="AD66" i="7"/>
  <c r="AM66" i="7"/>
  <c r="P74" i="7"/>
  <c r="S74" i="7" a="1"/>
  <c r="S74" i="7" s="1"/>
  <c r="AO98" i="7"/>
  <c r="CD98" i="7"/>
  <c r="AO154" i="7"/>
  <c r="AW170" i="7"/>
  <c r="S170" i="7" a="1"/>
  <c r="S170" i="7" s="1"/>
  <c r="CD170" i="7"/>
  <c r="AM75" i="7"/>
  <c r="AQ75" i="7"/>
  <c r="AO91" i="7"/>
  <c r="P91" i="7"/>
  <c r="AD139" i="7"/>
  <c r="AQ139" i="7"/>
  <c r="AV147" i="7"/>
  <c r="Q147" i="7"/>
  <c r="AO202" i="7"/>
  <c r="AO203" i="7"/>
  <c r="AQ70" i="7"/>
  <c r="AM70" i="7"/>
  <c r="AV183" i="7"/>
  <c r="CD183" i="7"/>
  <c r="R71" i="7"/>
  <c r="AM71" i="7"/>
  <c r="CD71" i="7"/>
  <c r="P78" i="7"/>
  <c r="CD78" i="7"/>
  <c r="AQ110" i="7"/>
  <c r="S110" i="7" a="1"/>
  <c r="S110" i="7" s="1"/>
  <c r="AW110" i="7"/>
  <c r="CD126" i="7"/>
  <c r="AW126" i="7"/>
  <c r="AD62" i="7"/>
  <c r="AQ62" i="7"/>
  <c r="S62" i="7" a="1"/>
  <c r="S62" i="7" s="1"/>
  <c r="AQ78" i="7"/>
  <c r="AD78" i="7"/>
  <c r="CE78" i="7" s="1"/>
  <c r="Q198" i="7"/>
  <c r="CD198" i="7"/>
  <c r="AO70" i="7"/>
  <c r="CD70" i="7"/>
  <c r="AQ55" i="7"/>
  <c r="R55" i="7"/>
  <c r="AL103" i="7"/>
  <c r="Q103" i="7"/>
  <c r="S175" i="7" a="1"/>
  <c r="S175" i="7" s="1"/>
  <c r="AP175" i="7"/>
  <c r="AC193" i="7"/>
  <c r="CE193" i="7" s="1"/>
  <c r="AV193" i="7"/>
  <c r="S193" i="7" a="1"/>
  <c r="S193" i="7" s="1"/>
  <c r="AO48" i="7"/>
  <c r="CD48" i="7"/>
  <c r="P96" i="7"/>
  <c r="AQ112" i="7"/>
  <c r="AD112" i="7"/>
  <c r="R168" i="7"/>
  <c r="AW168" i="7"/>
  <c r="AO176" i="7"/>
  <c r="P176" i="7"/>
  <c r="CD176" i="7"/>
  <c r="AL53" i="7"/>
  <c r="S53" i="7" a="1"/>
  <c r="S53" i="7" s="1"/>
  <c r="AD77" i="7"/>
  <c r="R77" i="7"/>
  <c r="S77" i="7" a="1"/>
  <c r="S77" i="7" s="1"/>
  <c r="AQ93" i="7"/>
  <c r="AM93" i="7"/>
  <c r="AO109" i="7"/>
  <c r="P109" i="7"/>
  <c r="AB117" i="7"/>
  <c r="S117" i="7" a="1"/>
  <c r="S117" i="7" s="1"/>
  <c r="P49" i="7"/>
  <c r="AU49" i="7" s="1"/>
  <c r="AO49" i="7"/>
  <c r="P177" i="7"/>
  <c r="AU177" i="7" s="1"/>
  <c r="CD177" i="7"/>
  <c r="AO76" i="7"/>
  <c r="CD204" i="7"/>
  <c r="AB204" i="7"/>
  <c r="AU65" i="7"/>
  <c r="S72" i="7" a="1"/>
  <c r="S72" i="7" s="1"/>
  <c r="AL72" i="7"/>
  <c r="AP23" i="7"/>
  <c r="AC23" i="7"/>
  <c r="CE23" i="7" s="1"/>
  <c r="AV23" i="7"/>
  <c r="AL122" i="7"/>
  <c r="CD122" i="7"/>
  <c r="AP122" i="7"/>
  <c r="Q122" i="7"/>
  <c r="Q171" i="7"/>
  <c r="AC171" i="7"/>
  <c r="CE171" i="7" s="1"/>
  <c r="CD171" i="7"/>
  <c r="AQ186" i="7"/>
  <c r="AM186" i="7"/>
  <c r="AO106" i="7"/>
  <c r="P106" i="7"/>
  <c r="AP59" i="7"/>
  <c r="AV59" i="7"/>
  <c r="R91" i="7"/>
  <c r="S91" i="7" a="1"/>
  <c r="S91" i="7" s="1"/>
  <c r="AB131" i="7"/>
  <c r="AU131" i="7"/>
  <c r="AO162" i="7"/>
  <c r="AB162" i="7"/>
  <c r="CD162" i="7"/>
  <c r="AB186" i="7"/>
  <c r="S186" i="7" a="1"/>
  <c r="S186" i="7" s="1"/>
  <c r="S202" i="7" a="1"/>
  <c r="S202" i="7" s="1"/>
  <c r="AP202" i="7"/>
  <c r="AO78" i="7"/>
  <c r="AQ126" i="7"/>
  <c r="S126" i="7" a="1"/>
  <c r="S126" i="7" s="1"/>
  <c r="AO150" i="7"/>
  <c r="S150" i="7" a="1"/>
  <c r="S150" i="7" s="1"/>
  <c r="AU150" i="7"/>
  <c r="CD150" i="7"/>
  <c r="CD167" i="7"/>
  <c r="AP167" i="7"/>
  <c r="S94" i="7" a="1"/>
  <c r="S94" i="7" s="1"/>
  <c r="AP94" i="7"/>
  <c r="AC94" i="7"/>
  <c r="AQ142" i="7"/>
  <c r="AW142" i="7"/>
  <c r="AQ150" i="7"/>
  <c r="AD150" i="7"/>
  <c r="CE150" i="7" s="1"/>
  <c r="AW167" i="7"/>
  <c r="AM167" i="7"/>
  <c r="AP111" i="7"/>
  <c r="CD111" i="7"/>
  <c r="AL111" i="7"/>
  <c r="AC111" i="7"/>
  <c r="AV111" i="7"/>
  <c r="AV198" i="7"/>
  <c r="AL198" i="7"/>
  <c r="AP198" i="7"/>
  <c r="AC142" i="7"/>
  <c r="CE142" i="7" s="1"/>
  <c r="AV142" i="7"/>
  <c r="CD142" i="7"/>
  <c r="S142" i="7" a="1"/>
  <c r="S142" i="7" s="1"/>
  <c r="Q142" i="7"/>
  <c r="AL142" i="7"/>
  <c r="AP103" i="7"/>
  <c r="S103" i="7" a="1"/>
  <c r="S103" i="7" s="1"/>
  <c r="AC103" i="7"/>
  <c r="AV103" i="7"/>
  <c r="AC175" i="7"/>
  <c r="AL175" i="7"/>
  <c r="CD175" i="7"/>
  <c r="AP81" i="7"/>
  <c r="AV81" i="7"/>
  <c r="AL81" i="7"/>
  <c r="Q81" i="7"/>
  <c r="AL68" i="7"/>
  <c r="AV68" i="7"/>
  <c r="AP68" i="7"/>
  <c r="Q68" i="7"/>
  <c r="AP89" i="7"/>
  <c r="Q89" i="7"/>
  <c r="AQ89" i="7"/>
  <c r="AW89" i="7"/>
  <c r="AO201" i="7"/>
  <c r="S201" i="7" a="1"/>
  <c r="S201" i="7" s="1"/>
  <c r="AQ124" i="7"/>
  <c r="AW124" i="7"/>
  <c r="S124" i="7" a="1"/>
  <c r="S124" i="7" s="1"/>
  <c r="AO161" i="7"/>
  <c r="CD161" i="7"/>
  <c r="S161" i="7" a="1"/>
  <c r="S161" i="7" s="1"/>
  <c r="AP193" i="7"/>
  <c r="AL193" i="7"/>
  <c r="AQ120" i="7"/>
  <c r="AM120" i="7"/>
  <c r="AQ168" i="7"/>
  <c r="AM168" i="7"/>
  <c r="S168" i="7" a="1"/>
  <c r="S168" i="7" s="1"/>
  <c r="AB176" i="7"/>
  <c r="AQ192" i="7"/>
  <c r="AM192" i="7"/>
  <c r="AW37" i="7"/>
  <c r="AQ37" i="7"/>
  <c r="AC53" i="7"/>
  <c r="AV53" i="7"/>
  <c r="CD53" i="7"/>
  <c r="AO117" i="7"/>
  <c r="CD117" i="7"/>
  <c r="AB133" i="7"/>
  <c r="AO133" i="7"/>
  <c r="AP149" i="7"/>
  <c r="Q149" i="7"/>
  <c r="AL149" i="7"/>
  <c r="AV189" i="7"/>
  <c r="AP189" i="7"/>
  <c r="S189" i="7" a="1"/>
  <c r="S189" i="7" s="1"/>
  <c r="AC189" i="7"/>
  <c r="AC88" i="7"/>
  <c r="CE88" i="7" s="1"/>
  <c r="J88" i="1" s="1"/>
  <c r="AL88" i="7"/>
  <c r="AV108" i="7"/>
  <c r="AL108" i="7"/>
  <c r="AQ145" i="7"/>
  <c r="CD145" i="7"/>
  <c r="AP153" i="7"/>
  <c r="CD153" i="7"/>
  <c r="Q153" i="7"/>
  <c r="AO177" i="7"/>
  <c r="AB177" i="7"/>
  <c r="S204" i="7" a="1"/>
  <c r="S204" i="7" s="1"/>
  <c r="AO152" i="7"/>
  <c r="S152" i="7" a="1"/>
  <c r="S152" i="7" s="1"/>
  <c r="AQ170" i="7"/>
  <c r="AU64" i="7"/>
  <c r="AU63" i="7"/>
  <c r="AU61" i="7"/>
  <c r="AU60" i="7"/>
  <c r="S203" i="7" a="1"/>
  <c r="S203" i="7" s="1"/>
  <c r="S123" i="7" a="1"/>
  <c r="S123" i="7" s="1"/>
  <c r="AU57" i="7"/>
  <c r="AU54" i="7"/>
  <c r="CD110" i="7"/>
  <c r="AP74" i="7"/>
  <c r="CD187" i="7"/>
  <c r="AU48" i="7"/>
  <c r="S93" i="7" a="1"/>
  <c r="S93" i="7" s="1"/>
  <c r="AO25" i="7"/>
  <c r="S25" i="7" a="1"/>
  <c r="S25" i="7" s="1"/>
  <c r="AP190" i="7"/>
  <c r="Q190" i="7"/>
  <c r="AC190" i="7"/>
  <c r="AV63" i="7"/>
  <c r="AC63" i="7"/>
  <c r="AL63" i="7"/>
  <c r="AV95" i="7"/>
  <c r="Q95" i="7"/>
  <c r="AP95" i="7"/>
  <c r="AC95" i="7"/>
  <c r="S95" i="7" a="1"/>
  <c r="S95" i="7" s="1"/>
  <c r="AL95" i="7"/>
  <c r="AM159" i="7"/>
  <c r="AD159" i="7"/>
  <c r="AB182" i="7"/>
  <c r="CE182" i="7" s="1"/>
  <c r="AO182" i="7"/>
  <c r="S182" i="7" a="1"/>
  <c r="S182" i="7" s="1"/>
  <c r="AD198" i="7"/>
  <c r="CE198" i="7" s="1"/>
  <c r="S198" i="7" a="1"/>
  <c r="S198" i="7" s="1"/>
  <c r="CD155" i="7"/>
  <c r="AO146" i="7"/>
  <c r="S146" i="7" a="1"/>
  <c r="S146" i="7" s="1"/>
  <c r="AQ162" i="7"/>
  <c r="AW162" i="7"/>
  <c r="AL131" i="7"/>
  <c r="S131" i="7" a="1"/>
  <c r="S131" i="7" s="1"/>
  <c r="AO139" i="7"/>
  <c r="AB139" i="7"/>
  <c r="CD139" i="7"/>
  <c r="P179" i="7"/>
  <c r="AU179" i="7" s="1"/>
  <c r="CD179" i="7"/>
  <c r="AC202" i="7"/>
  <c r="CD202" i="7"/>
  <c r="AL202" i="7"/>
  <c r="AP143" i="7"/>
  <c r="CD143" i="7"/>
  <c r="J143" i="1" s="1"/>
  <c r="AO158" i="7"/>
  <c r="CD166" i="7"/>
  <c r="AB166" i="7"/>
  <c r="AM87" i="7"/>
  <c r="AQ87" i="7"/>
  <c r="S87" i="7" a="1"/>
  <c r="S87" i="7" s="1"/>
  <c r="R87" i="7"/>
  <c r="AQ199" i="7"/>
  <c r="S199" i="7" a="1"/>
  <c r="S199" i="7" s="1"/>
  <c r="AM199" i="7"/>
  <c r="AC79" i="7"/>
  <c r="CE79" i="7" s="1"/>
  <c r="AL79" i="7"/>
  <c r="Q79" i="7"/>
  <c r="AC151" i="7"/>
  <c r="AV151" i="7"/>
  <c r="S151" i="7" a="1"/>
  <c r="S151" i="7" s="1"/>
  <c r="AP151" i="7"/>
  <c r="AP57" i="7"/>
  <c r="AV57" i="7"/>
  <c r="CD57" i="7"/>
  <c r="AC57" i="7"/>
  <c r="AO97" i="7"/>
  <c r="AB97" i="7"/>
  <c r="AP92" i="7"/>
  <c r="AL92" i="7"/>
  <c r="CD124" i="7"/>
  <c r="AB124" i="7"/>
  <c r="AQ148" i="7"/>
  <c r="S148" i="7" a="1"/>
  <c r="S148" i="7" s="1"/>
  <c r="AQ188" i="7"/>
  <c r="CD188" i="7"/>
  <c r="R188" i="7"/>
  <c r="AL44" i="7"/>
  <c r="Q44" i="7"/>
  <c r="CD44" i="7"/>
  <c r="AQ156" i="7"/>
  <c r="S156" i="7" a="1"/>
  <c r="S156" i="7" s="1"/>
  <c r="AW156" i="7"/>
  <c r="AP164" i="7"/>
  <c r="Q164" i="7"/>
  <c r="AC96" i="7"/>
  <c r="S96" i="7" a="1"/>
  <c r="S96" i="7" s="1"/>
  <c r="AM144" i="7"/>
  <c r="AQ144" i="7"/>
  <c r="Q168" i="7"/>
  <c r="AV168" i="7"/>
  <c r="AP168" i="7"/>
  <c r="AL168" i="7"/>
  <c r="AQ184" i="7"/>
  <c r="AM184" i="7"/>
  <c r="AW184" i="7"/>
  <c r="AP109" i="7"/>
  <c r="CD109" i="7"/>
  <c r="AV125" i="7"/>
  <c r="AL125" i="7"/>
  <c r="AP133" i="7"/>
  <c r="AV133" i="7"/>
  <c r="AQ157" i="7"/>
  <c r="AD157" i="7"/>
  <c r="S157" i="7" a="1"/>
  <c r="S157" i="7" s="1"/>
  <c r="AO205" i="7"/>
  <c r="AU205" i="7"/>
  <c r="CD205" i="7"/>
  <c r="AM137" i="7"/>
  <c r="AW137" i="7"/>
  <c r="R137" i="7"/>
  <c r="AB121" i="7"/>
  <c r="Q169" i="7"/>
  <c r="AP169" i="7"/>
  <c r="AV169" i="7"/>
  <c r="AL204" i="7"/>
  <c r="AC204" i="7"/>
  <c r="AP172" i="7"/>
  <c r="AV172" i="7"/>
  <c r="S187" i="7" a="1"/>
  <c r="S187" i="7" s="1"/>
  <c r="AL171" i="7"/>
  <c r="AC122" i="7"/>
  <c r="AC68" i="7"/>
  <c r="CE68" i="7" s="1"/>
  <c r="AU46" i="7"/>
  <c r="AU45" i="7"/>
  <c r="AL86" i="7"/>
  <c r="AU44" i="7"/>
  <c r="Q130" i="7"/>
  <c r="AV26" i="7"/>
  <c r="S192" i="7" a="1"/>
  <c r="S192" i="7" s="1"/>
  <c r="AD175" i="7"/>
  <c r="AC109" i="7"/>
  <c r="CE109" i="7" s="1"/>
  <c r="AC92" i="7"/>
  <c r="CE92" i="7" s="1"/>
  <c r="CE29" i="7"/>
  <c r="J29" i="1" s="1"/>
  <c r="AL151" i="7"/>
  <c r="AL164" i="7"/>
  <c r="Q109" i="7"/>
  <c r="Q92" i="7"/>
  <c r="AV86" i="7"/>
  <c r="AV109" i="7"/>
  <c r="AV92" i="7"/>
  <c r="S130" i="7" a="1"/>
  <c r="S130" i="7" s="1"/>
  <c r="AL205" i="7"/>
  <c r="AD170" i="7"/>
  <c r="CE170" i="7" s="1"/>
  <c r="AO74" i="7"/>
  <c r="AQ130" i="7"/>
  <c r="AM170" i="7"/>
  <c r="R170" i="7"/>
  <c r="CD203" i="7"/>
  <c r="AD196" i="7"/>
  <c r="CE196" i="7" s="1"/>
  <c r="Q160" i="7"/>
  <c r="AM196" i="7"/>
  <c r="AL160" i="7"/>
  <c r="Q9" i="7"/>
  <c r="AV9" i="7" s="1"/>
  <c r="P26" i="7"/>
  <c r="AU26" i="7" s="1"/>
  <c r="P58" i="7"/>
  <c r="AU58" i="7" s="1"/>
  <c r="CD130" i="7"/>
  <c r="AP130" i="7"/>
  <c r="AB26" i="7"/>
  <c r="AU38" i="7"/>
  <c r="AB58" i="7"/>
  <c r="AL74" i="7"/>
  <c r="AC130" i="7"/>
  <c r="AP67" i="7"/>
  <c r="AL170" i="7"/>
  <c r="AL130" i="7"/>
  <c r="AP96" i="7"/>
  <c r="Q96" i="7"/>
  <c r="AL96" i="7"/>
  <c r="AV96" i="7"/>
  <c r="AP120" i="7"/>
  <c r="AC120" i="7"/>
  <c r="AL120" i="7"/>
  <c r="Q120" i="7"/>
  <c r="AV120" i="7"/>
  <c r="AP192" i="7"/>
  <c r="AL192" i="7"/>
  <c r="Q192" i="7"/>
  <c r="AV192" i="7"/>
  <c r="AC192" i="7"/>
  <c r="CE192" i="7" s="1"/>
  <c r="AL80" i="7"/>
  <c r="Q80" i="7"/>
  <c r="AP80" i="7"/>
  <c r="AV80" i="7"/>
  <c r="AC80" i="7"/>
  <c r="AP112" i="7"/>
  <c r="Q112" i="7"/>
  <c r="AL112" i="7"/>
  <c r="AV112" i="7"/>
  <c r="AC40" i="7"/>
  <c r="AL40" i="7"/>
  <c r="AP104" i="7"/>
  <c r="AC104" i="7"/>
  <c r="AL104" i="7"/>
  <c r="AP160" i="7"/>
  <c r="AC160" i="7"/>
  <c r="CE160" i="7" s="1"/>
  <c r="AP72" i="7"/>
  <c r="AC72" i="7"/>
  <c r="AV72" i="7"/>
  <c r="Q72" i="7"/>
  <c r="AP128" i="7"/>
  <c r="Q128" i="7"/>
  <c r="AL128" i="7"/>
  <c r="AV128" i="7"/>
  <c r="AC128" i="7"/>
  <c r="AP88" i="7"/>
  <c r="Q88" i="7"/>
  <c r="AV122" i="7"/>
  <c r="AV190" i="7"/>
  <c r="AL190" i="7"/>
  <c r="AW196" i="7"/>
  <c r="R196" i="7"/>
  <c r="AV67" i="7"/>
  <c r="CD9" i="7"/>
  <c r="S26" i="7" a="1"/>
  <c r="S26" i="7" s="1"/>
  <c r="CD34" i="7"/>
  <c r="AB35" i="7"/>
  <c r="AU28" i="7"/>
  <c r="P50" i="7"/>
  <c r="CE33" i="7"/>
  <c r="J33" i="1" s="1"/>
  <c r="AU25" i="7"/>
  <c r="AP86" i="7"/>
  <c r="AC86" i="7"/>
  <c r="AM119" i="7"/>
  <c r="AQ119" i="7"/>
  <c r="AU22" i="7"/>
  <c r="AL23" i="7"/>
  <c r="R119" i="7"/>
  <c r="AD119" i="7"/>
  <c r="AP199" i="7"/>
  <c r="Q199" i="7"/>
  <c r="AV199" i="7"/>
  <c r="AC199" i="7"/>
  <c r="CE199" i="7" s="1"/>
  <c r="AL199" i="7"/>
  <c r="S8" i="7" a="1"/>
  <c r="S8" i="7" s="1"/>
  <c r="AB50" i="7"/>
  <c r="R34" i="7"/>
  <c r="AW50" i="7"/>
  <c r="CD194" i="7"/>
  <c r="AQ50" i="7"/>
  <c r="CD99" i="7"/>
  <c r="AV43" i="7"/>
  <c r="AO59" i="7"/>
  <c r="AO16" i="7"/>
  <c r="AW59" i="7"/>
  <c r="CE200" i="7"/>
  <c r="J200" i="1" s="1"/>
  <c r="CD59" i="7"/>
  <c r="Q155" i="7"/>
  <c r="AL143" i="7"/>
  <c r="Q143" i="7"/>
  <c r="Q126" i="7"/>
  <c r="AO56" i="7"/>
  <c r="AL126" i="7"/>
  <c r="AV126" i="7"/>
  <c r="AC126" i="7"/>
  <c r="CE126" i="7" s="1"/>
  <c r="AV94" i="7"/>
  <c r="Q94" i="7"/>
  <c r="AL94" i="7"/>
  <c r="S15" i="7" a="1"/>
  <c r="S15" i="7" s="1"/>
  <c r="AQ13" i="7"/>
  <c r="AW24" i="7"/>
  <c r="CD24" i="7"/>
  <c r="AP9" i="7"/>
  <c r="AW64" i="7"/>
  <c r="AD13" i="7"/>
  <c r="S107" i="7" a="1"/>
  <c r="S107" i="7" s="1"/>
  <c r="R178" i="7"/>
  <c r="S178" i="7" a="1"/>
  <c r="S178" i="7" s="1"/>
  <c r="AL26" i="7"/>
  <c r="S138" i="7" a="1"/>
  <c r="S138" i="7" s="1"/>
  <c r="AP171" i="7"/>
  <c r="Q195" i="7"/>
  <c r="AM178" i="7"/>
  <c r="AC26" i="7"/>
  <c r="CD82" i="7"/>
  <c r="Q26" i="7"/>
  <c r="CD107" i="7"/>
  <c r="S171" i="7" a="1"/>
  <c r="S171" i="7" s="1"/>
  <c r="R186" i="7"/>
  <c r="CE61" i="7"/>
  <c r="J61" i="1" s="1"/>
  <c r="AQ178" i="7"/>
  <c r="AD178" i="7"/>
  <c r="AO131" i="7"/>
  <c r="P56" i="7"/>
  <c r="CE76" i="7"/>
  <c r="S43" i="7" a="1"/>
  <c r="S43" i="7" s="1"/>
  <c r="S13" i="7" a="1"/>
  <c r="S13" i="7" s="1"/>
  <c r="CD20" i="7"/>
  <c r="AQ15" i="7"/>
  <c r="AD24" i="7"/>
  <c r="AB24" i="7"/>
  <c r="CD186" i="7"/>
  <c r="S155" i="7" a="1"/>
  <c r="S155" i="7" s="1"/>
  <c r="CD66" i="7"/>
  <c r="S83" i="7" a="1"/>
  <c r="S83" i="7" s="1"/>
  <c r="CD123" i="7"/>
  <c r="S139" i="7" a="1"/>
  <c r="S139" i="7" s="1"/>
  <c r="CD13" i="7"/>
  <c r="AD64" i="7"/>
  <c r="S58" i="7" a="1"/>
  <c r="S58" i="7" s="1"/>
  <c r="AO155" i="7"/>
  <c r="AL43" i="7"/>
  <c r="S82" i="7" a="1"/>
  <c r="S82" i="7" s="1"/>
  <c r="AO179" i="7"/>
  <c r="AO186" i="7"/>
  <c r="CD14" i="7"/>
  <c r="AM64" i="7"/>
  <c r="CD64" i="7"/>
  <c r="CD58" i="7"/>
  <c r="AB194" i="7"/>
  <c r="CD35" i="7"/>
  <c r="S114" i="7" a="1"/>
  <c r="S114" i="7" s="1"/>
  <c r="AO83" i="7"/>
  <c r="CD83" i="7"/>
  <c r="R11" i="7"/>
  <c r="R64" i="7"/>
  <c r="S64" i="7" a="1"/>
  <c r="S64" i="7" s="1"/>
  <c r="CD138" i="7"/>
  <c r="S90" i="7" a="1"/>
  <c r="S90" i="7" s="1"/>
  <c r="AQ99" i="7"/>
  <c r="CD114" i="7"/>
  <c r="AP155" i="7"/>
  <c r="AV155" i="7"/>
  <c r="AC155" i="7"/>
  <c r="CE155" i="7" s="1"/>
  <c r="S194" i="7" a="1"/>
  <c r="S194" i="7" s="1"/>
  <c r="AO194" i="7"/>
  <c r="AP66" i="7"/>
  <c r="AL66" i="7"/>
  <c r="Q66" i="7"/>
  <c r="AC66" i="7"/>
  <c r="AV66" i="7"/>
  <c r="AP194" i="7"/>
  <c r="AV194" i="7"/>
  <c r="AC194" i="7"/>
  <c r="Q194" i="7"/>
  <c r="AL194" i="7"/>
  <c r="AP43" i="7"/>
  <c r="AC43" i="7"/>
  <c r="AP131" i="7"/>
  <c r="Q131" i="7"/>
  <c r="AV131" i="7"/>
  <c r="AV163" i="7"/>
  <c r="AL163" i="7"/>
  <c r="AP163" i="7"/>
  <c r="Q163" i="7"/>
  <c r="AC163" i="7"/>
  <c r="AB179" i="7"/>
  <c r="CE179" i="7" s="1"/>
  <c r="AP83" i="7"/>
  <c r="Q83" i="7"/>
  <c r="AL83" i="7"/>
  <c r="AV83" i="7"/>
  <c r="AP90" i="7"/>
  <c r="AC90" i="7"/>
  <c r="AL90" i="7"/>
  <c r="Q90" i="7"/>
  <c r="AV90" i="7"/>
  <c r="AP114" i="7"/>
  <c r="AV114" i="7"/>
  <c r="AC114" i="7"/>
  <c r="AL114" i="7"/>
  <c r="Q114" i="7"/>
  <c r="AP146" i="7"/>
  <c r="AC146" i="7"/>
  <c r="Q146" i="7"/>
  <c r="AL146" i="7"/>
  <c r="AV146" i="7"/>
  <c r="AP162" i="7"/>
  <c r="Q162" i="7"/>
  <c r="AL162" i="7"/>
  <c r="AV162" i="7"/>
  <c r="AC162" i="7"/>
  <c r="AW115" i="7"/>
  <c r="AQ115" i="7"/>
  <c r="Q123" i="7"/>
  <c r="AL123" i="7"/>
  <c r="AQ14" i="7"/>
  <c r="AC187" i="7"/>
  <c r="CE187" i="7" s="1"/>
  <c r="Q187" i="7"/>
  <c r="AP82" i="7"/>
  <c r="AV82" i="7"/>
  <c r="AL82" i="7"/>
  <c r="Q82" i="7"/>
  <c r="AC82" i="7"/>
  <c r="AP106" i="7"/>
  <c r="AC106" i="7"/>
  <c r="AL106" i="7"/>
  <c r="Q106" i="7"/>
  <c r="AV106" i="7"/>
  <c r="AP138" i="7"/>
  <c r="AC138" i="7"/>
  <c r="Q138" i="7"/>
  <c r="AL138" i="7"/>
  <c r="AV138" i="7"/>
  <c r="AP99" i="7"/>
  <c r="AL99" i="7"/>
  <c r="Q99" i="7"/>
  <c r="AV99" i="7"/>
  <c r="AB115" i="7"/>
  <c r="AO115" i="7"/>
  <c r="R123" i="7"/>
  <c r="AQ123" i="7"/>
  <c r="AW123" i="7"/>
  <c r="AM123" i="7"/>
  <c r="AD123" i="7"/>
  <c r="AD11" i="7"/>
  <c r="AP107" i="7"/>
  <c r="AL107" i="7"/>
  <c r="Q107" i="7"/>
  <c r="AC107" i="7"/>
  <c r="CE107" i="7" s="1"/>
  <c r="AV107" i="7"/>
  <c r="AD147" i="7"/>
  <c r="AQ147" i="7"/>
  <c r="AV74" i="7"/>
  <c r="AC74" i="7"/>
  <c r="AP98" i="7"/>
  <c r="AV98" i="7"/>
  <c r="Q98" i="7"/>
  <c r="AC98" i="7"/>
  <c r="AL98" i="7"/>
  <c r="AP154" i="7"/>
  <c r="Q154" i="7"/>
  <c r="AL154" i="7"/>
  <c r="AV154" i="7"/>
  <c r="AC154" i="7"/>
  <c r="CE154" i="7" s="1"/>
  <c r="AW67" i="7"/>
  <c r="AM67" i="7"/>
  <c r="AP91" i="7"/>
  <c r="AV91" i="7"/>
  <c r="AC91" i="7"/>
  <c r="AL91" i="7"/>
  <c r="Q91" i="7"/>
  <c r="AD131" i="7"/>
  <c r="AQ131" i="7"/>
  <c r="AP139" i="7"/>
  <c r="AV139" i="7"/>
  <c r="AC139" i="7"/>
  <c r="AB21" i="7"/>
  <c r="CE136" i="7"/>
  <c r="J136" i="1" s="1"/>
  <c r="AW11" i="7"/>
  <c r="AP58" i="7"/>
  <c r="S50" i="7" a="1"/>
  <c r="S50" i="7" s="1"/>
  <c r="P14" i="7"/>
  <c r="AU14" i="7" s="1"/>
  <c r="S56" i="7" a="1"/>
  <c r="S56" i="7" s="1"/>
  <c r="CD50" i="7"/>
  <c r="AW51" i="7"/>
  <c r="AQ51" i="7"/>
  <c r="AW14" i="7"/>
  <c r="CE32" i="7"/>
  <c r="J32" i="1" s="1"/>
  <c r="P34" i="7"/>
  <c r="P35" i="7"/>
  <c r="R51" i="7"/>
  <c r="AW35" i="7"/>
  <c r="CD56" i="7"/>
  <c r="AB56" i="7"/>
  <c r="AC67" i="7"/>
  <c r="Q58" i="7"/>
  <c r="S67" i="7" a="1"/>
  <c r="S67" i="7" s="1"/>
  <c r="S35" i="7" a="1"/>
  <c r="S35" i="7" s="1"/>
  <c r="AD59" i="7"/>
  <c r="AQ59" i="7"/>
  <c r="AC34" i="7"/>
  <c r="Q34" i="7"/>
  <c r="AV34" i="7"/>
  <c r="AP34" i="7"/>
  <c r="AL34" i="7"/>
  <c r="AO42" i="7"/>
  <c r="S42" i="7" a="1"/>
  <c r="S42" i="7" s="1"/>
  <c r="S51" i="7" a="1"/>
  <c r="S51" i="7" s="1"/>
  <c r="AV27" i="7"/>
  <c r="AC27" i="7"/>
  <c r="CE27" i="7" s="1"/>
  <c r="Q27" i="7"/>
  <c r="AL27" i="7"/>
  <c r="AP27" i="7"/>
  <c r="AP50" i="7"/>
  <c r="AL50" i="7"/>
  <c r="Q50" i="7"/>
  <c r="AV50" i="7"/>
  <c r="AC50" i="7"/>
  <c r="AD7" i="7"/>
  <c r="AB34" i="7"/>
  <c r="R35" i="7"/>
  <c r="AQ35" i="7"/>
  <c r="AP42" i="7"/>
  <c r="AC42" i="7"/>
  <c r="AV42" i="7"/>
  <c r="AL42" i="7"/>
  <c r="Q42" i="7"/>
  <c r="AQ11" i="7"/>
  <c r="AB14" i="7"/>
  <c r="P16" i="7"/>
  <c r="AU16" i="7" s="1"/>
  <c r="AB11" i="7"/>
  <c r="AD14" i="7"/>
  <c r="AW18" i="7"/>
  <c r="S34" i="7" a="1"/>
  <c r="S34" i="7" s="1"/>
  <c r="AM42" i="7"/>
  <c r="AD51" i="7"/>
  <c r="AL67" i="7"/>
  <c r="CD42" i="7"/>
  <c r="AL58" i="7"/>
  <c r="AV58" i="7"/>
  <c r="CD27" i="7"/>
  <c r="S27" i="7" a="1"/>
  <c r="S27" i="7" s="1"/>
  <c r="AO27" i="7"/>
  <c r="S59" i="7" a="1"/>
  <c r="S59" i="7" s="1"/>
  <c r="CD67" i="7"/>
  <c r="AV73" i="7"/>
  <c r="AP73" i="7"/>
  <c r="Q73" i="7"/>
  <c r="AC73" i="7"/>
  <c r="AL73" i="7"/>
  <c r="CD73" i="7"/>
  <c r="AD8" i="7"/>
  <c r="CD15" i="7"/>
  <c r="AW13" i="7"/>
  <c r="AP56" i="7"/>
  <c r="AC56" i="7"/>
  <c r="AV56" i="7"/>
  <c r="Q56" i="7"/>
  <c r="AL56" i="7"/>
  <c r="R73" i="7"/>
  <c r="AM73" i="7"/>
  <c r="AQ73" i="7"/>
  <c r="AW73" i="7"/>
  <c r="AD73" i="7"/>
  <c r="S73" i="7" a="1"/>
  <c r="S73" i="7" s="1"/>
  <c r="R15" i="7"/>
  <c r="AM24" i="7"/>
  <c r="AO9" i="7"/>
  <c r="P20" i="7"/>
  <c r="AU20" i="7" s="1"/>
  <c r="AW7" i="7"/>
  <c r="CE110" i="7"/>
  <c r="CE158" i="7"/>
  <c r="AP64" i="7"/>
  <c r="AV64" i="7"/>
  <c r="Q64" i="7"/>
  <c r="AL64" i="7"/>
  <c r="AC64" i="7"/>
  <c r="CE100" i="7"/>
  <c r="AW10" i="7"/>
  <c r="S20" i="7" a="1"/>
  <c r="S20" i="7" s="1"/>
  <c r="R13" i="7"/>
  <c r="AD15" i="7"/>
  <c r="R24" i="7"/>
  <c r="R14" i="7"/>
  <c r="AB20" i="7"/>
  <c r="AW15" i="7"/>
  <c r="CE28" i="7"/>
  <c r="J28" i="1" s="1"/>
  <c r="AW16" i="7"/>
  <c r="AD17" i="7"/>
  <c r="CE17" i="7" s="1"/>
  <c r="CE49" i="7"/>
  <c r="S7" i="7" a="1"/>
  <c r="S7" i="7" s="1"/>
  <c r="S9" i="7" a="1"/>
  <c r="S9" i="7" s="1"/>
  <c r="CD21" i="7"/>
  <c r="CD16" i="7"/>
  <c r="AB18" i="7"/>
  <c r="AQ10" i="7"/>
  <c r="CD11" i="7"/>
  <c r="R16" i="7"/>
  <c r="S12" i="7" a="1"/>
  <c r="S12" i="7" s="1"/>
  <c r="S14" i="7" a="1"/>
  <c r="S14" i="7" s="1"/>
  <c r="AM21" i="7"/>
  <c r="S11" i="7" a="1"/>
  <c r="S11" i="7" s="1"/>
  <c r="S17" i="7" a="1"/>
  <c r="S17" i="7" s="1"/>
  <c r="S24" i="7" a="1"/>
  <c r="S24" i="7" s="1"/>
  <c r="CD10" i="7"/>
  <c r="R17" i="7"/>
  <c r="AQ17" i="7"/>
  <c r="P9" i="7"/>
  <c r="AU9" i="7" s="1"/>
  <c r="R10" i="7"/>
  <c r="P11" i="7"/>
  <c r="AU11" i="7" s="1"/>
  <c r="AQ16" i="7"/>
  <c r="CD17" i="7"/>
  <c r="P24" i="7"/>
  <c r="AW17" i="7"/>
  <c r="S16" i="7" a="1"/>
  <c r="S16" i="7" s="1"/>
  <c r="AB9" i="7"/>
  <c r="CE9" i="7" s="1"/>
  <c r="AD10" i="7"/>
  <c r="AD16" i="7"/>
  <c r="CE16" i="7" s="1"/>
  <c r="S10" i="7" a="1"/>
  <c r="S10" i="7" s="1"/>
  <c r="AW8" i="7"/>
  <c r="P8" i="7"/>
  <c r="AU8" i="7" s="1"/>
  <c r="AB19" i="7"/>
  <c r="P12" i="7"/>
  <c r="AU12" i="7" s="1"/>
  <c r="P19" i="7"/>
  <c r="AU19" i="7" s="1"/>
  <c r="R8" i="7"/>
  <c r="AQ8" i="7"/>
  <c r="AQ12" i="7"/>
  <c r="AO8" i="7"/>
  <c r="AO12" i="7"/>
  <c r="AO21" i="7"/>
  <c r="R12" i="7"/>
  <c r="AD18" i="7"/>
  <c r="CD7" i="7"/>
  <c r="AW12" i="7"/>
  <c r="AB8" i="7"/>
  <c r="CD8" i="7"/>
  <c r="AB12" i="7"/>
  <c r="CD12" i="7"/>
  <c r="CD18" i="7"/>
  <c r="AD12" i="7"/>
  <c r="R18" i="7"/>
  <c r="S21" i="7" a="1"/>
  <c r="S21" i="7" s="1"/>
  <c r="R7" i="7"/>
  <c r="AQ7" i="7"/>
  <c r="P18" i="7"/>
  <c r="AU18" i="7" s="1"/>
  <c r="AD21" i="7"/>
  <c r="AQ21" i="7"/>
  <c r="R21" i="7"/>
  <c r="AB7" i="7"/>
  <c r="P7" i="7"/>
  <c r="AU7" i="7" s="1"/>
  <c r="AQ18" i="7"/>
  <c r="S18" i="7" a="1"/>
  <c r="S18" i="7" s="1"/>
  <c r="AC19" i="7"/>
  <c r="AP19" i="7"/>
  <c r="Q19" i="7"/>
  <c r="AV19" i="7" s="1"/>
  <c r="CD19" i="7"/>
  <c r="C5" i="7" a="1"/>
  <c r="C5" i="7" s="1"/>
  <c r="AK16" i="7"/>
  <c r="CC4" i="7"/>
  <c r="CP7" i="7" s="1"/>
  <c r="S19" i="7" a="1"/>
  <c r="S19" i="7" s="1"/>
  <c r="CE15" i="7" l="1"/>
  <c r="J15" i="1" s="1"/>
  <c r="J99" i="1"/>
  <c r="J54" i="1"/>
  <c r="CE22" i="7"/>
  <c r="J22" i="1" s="1"/>
  <c r="J83" i="1"/>
  <c r="J167" i="1"/>
  <c r="J188" i="1"/>
  <c r="J70" i="1"/>
  <c r="J168" i="1"/>
  <c r="CE20" i="7"/>
  <c r="J20" i="1" s="1"/>
  <c r="J153" i="1"/>
  <c r="J52" i="1"/>
  <c r="J140" i="1"/>
  <c r="J47" i="1"/>
  <c r="J185" i="1"/>
  <c r="J142" i="1"/>
  <c r="J55" i="1"/>
  <c r="J9" i="1"/>
  <c r="J109" i="1"/>
  <c r="J170" i="1"/>
  <c r="J84" i="1"/>
  <c r="J154" i="1"/>
  <c r="J23" i="1"/>
  <c r="J199" i="1"/>
  <c r="J171" i="1"/>
  <c r="J110" i="1"/>
  <c r="J71" i="1"/>
  <c r="J49" i="1"/>
  <c r="J193" i="1"/>
  <c r="J182" i="1"/>
  <c r="J206" i="1"/>
  <c r="J116" i="1"/>
  <c r="J36" i="1"/>
  <c r="J31" i="1"/>
  <c r="J27" i="1"/>
  <c r="J107" i="1"/>
  <c r="J203" i="1"/>
  <c r="J155" i="1"/>
  <c r="J187" i="1"/>
  <c r="J150" i="1"/>
  <c r="J198" i="1"/>
  <c r="J126" i="1"/>
  <c r="J78" i="1"/>
  <c r="J201" i="1"/>
  <c r="J76" i="1"/>
  <c r="J180" i="1"/>
  <c r="J113" i="1"/>
  <c r="J41" i="1"/>
  <c r="J196" i="1"/>
  <c r="J172" i="1"/>
  <c r="J79" i="1"/>
  <c r="J92" i="1"/>
  <c r="J173" i="1"/>
  <c r="J16" i="1"/>
  <c r="J102" i="1"/>
  <c r="J17" i="1"/>
  <c r="J205" i="1"/>
  <c r="J179" i="1"/>
  <c r="J161" i="1"/>
  <c r="J152" i="1"/>
  <c r="J192" i="1"/>
  <c r="J195" i="1"/>
  <c r="J100" i="1"/>
  <c r="J160" i="1"/>
  <c r="J158" i="1"/>
  <c r="J68" i="1"/>
  <c r="CE13" i="7"/>
  <c r="J13" i="1" s="1"/>
  <c r="CE119" i="7"/>
  <c r="J119" i="1" s="1"/>
  <c r="CE141" i="7"/>
  <c r="J141" i="1" s="1"/>
  <c r="CE63" i="7"/>
  <c r="J63" i="1" s="1"/>
  <c r="CE53" i="7"/>
  <c r="J53" i="1" s="1"/>
  <c r="CE39" i="7"/>
  <c r="J39" i="1" s="1"/>
  <c r="CE183" i="7"/>
  <c r="J183" i="1" s="1"/>
  <c r="CE77" i="7"/>
  <c r="J77" i="1" s="1"/>
  <c r="CE112" i="7"/>
  <c r="J112" i="1" s="1"/>
  <c r="CE169" i="7"/>
  <c r="J169" i="1" s="1"/>
  <c r="AU203" i="7"/>
  <c r="AU202" i="7"/>
  <c r="AU201" i="7"/>
  <c r="AU190" i="7"/>
  <c r="CE166" i="7"/>
  <c r="J166" i="1" s="1"/>
  <c r="CE37" i="7"/>
  <c r="J37" i="1" s="1"/>
  <c r="CE85" i="7"/>
  <c r="J85" i="1" s="1"/>
  <c r="AU183" i="7"/>
  <c r="AU181" i="7"/>
  <c r="CE137" i="7"/>
  <c r="J137" i="1" s="1"/>
  <c r="CE132" i="7"/>
  <c r="J132" i="1" s="1"/>
  <c r="CE125" i="7"/>
  <c r="J125" i="1" s="1"/>
  <c r="CE10" i="7"/>
  <c r="J10" i="1" s="1"/>
  <c r="CE90" i="7"/>
  <c r="J90" i="1" s="1"/>
  <c r="CE129" i="7"/>
  <c r="J129" i="1" s="1"/>
  <c r="AU176" i="7"/>
  <c r="CE86" i="7"/>
  <c r="J86" i="1" s="1"/>
  <c r="CE91" i="7"/>
  <c r="J91" i="1" s="1"/>
  <c r="CE87" i="7"/>
  <c r="J87" i="1" s="1"/>
  <c r="CE149" i="7"/>
  <c r="J149" i="1" s="1"/>
  <c r="CE174" i="7"/>
  <c r="J174" i="1" s="1"/>
  <c r="CE111" i="7"/>
  <c r="J111" i="1" s="1"/>
  <c r="CE75" i="7"/>
  <c r="J75" i="1" s="1"/>
  <c r="CE105" i="7"/>
  <c r="J105" i="1" s="1"/>
  <c r="CE163" i="7"/>
  <c r="J163" i="1" s="1"/>
  <c r="CE43" i="7"/>
  <c r="J43" i="1" s="1"/>
  <c r="CE62" i="7"/>
  <c r="J62" i="1" s="1"/>
  <c r="CE67" i="7"/>
  <c r="J67" i="1" s="1"/>
  <c r="CE98" i="7"/>
  <c r="J98" i="1" s="1"/>
  <c r="CE93" i="7"/>
  <c r="J93" i="1" s="1"/>
  <c r="CE165" i="7"/>
  <c r="J165" i="1" s="1"/>
  <c r="CE135" i="7"/>
  <c r="J135" i="1" s="1"/>
  <c r="AU162" i="7"/>
  <c r="CE184" i="7"/>
  <c r="J184" i="1" s="1"/>
  <c r="CE60" i="7"/>
  <c r="J60" i="1" s="1"/>
  <c r="AU160" i="7"/>
  <c r="AU156" i="7"/>
  <c r="CE25" i="7"/>
  <c r="J25" i="1" s="1"/>
  <c r="CE181" i="7"/>
  <c r="J181" i="1" s="1"/>
  <c r="CE177" i="7"/>
  <c r="J177" i="1" s="1"/>
  <c r="CE189" i="7"/>
  <c r="J189" i="1" s="1"/>
  <c r="CE156" i="7"/>
  <c r="J156" i="1" s="1"/>
  <c r="CE40" i="7"/>
  <c r="J40" i="1" s="1"/>
  <c r="CE151" i="7"/>
  <c r="J151" i="1" s="1"/>
  <c r="AU155" i="7"/>
  <c r="CE44" i="7"/>
  <c r="J44" i="1" s="1"/>
  <c r="CE122" i="7"/>
  <c r="J122" i="1" s="1"/>
  <c r="CE94" i="7"/>
  <c r="J94" i="1" s="1"/>
  <c r="CE48" i="7"/>
  <c r="J48" i="1" s="1"/>
  <c r="CE145" i="7"/>
  <c r="J145" i="1" s="1"/>
  <c r="CE178" i="7"/>
  <c r="J178" i="1" s="1"/>
  <c r="CE57" i="7"/>
  <c r="J57" i="1" s="1"/>
  <c r="CE81" i="7"/>
  <c r="J81" i="1" s="1"/>
  <c r="AU152" i="7"/>
  <c r="CE164" i="7"/>
  <c r="J164" i="1" s="1"/>
  <c r="CE127" i="7"/>
  <c r="J127" i="1" s="1"/>
  <c r="CE38" i="7"/>
  <c r="J38" i="1" s="1"/>
  <c r="AU147" i="7"/>
  <c r="AU145" i="7"/>
  <c r="AU144" i="7"/>
  <c r="CE144" i="7"/>
  <c r="J144" i="1" s="1"/>
  <c r="CE59" i="7"/>
  <c r="J59" i="1" s="1"/>
  <c r="CE72" i="7"/>
  <c r="J72" i="1" s="1"/>
  <c r="CE190" i="7"/>
  <c r="J190" i="1" s="1"/>
  <c r="AU140" i="7"/>
  <c r="CE58" i="7"/>
  <c r="J58" i="1" s="1"/>
  <c r="AU138" i="7"/>
  <c r="CE51" i="7"/>
  <c r="J51" i="1" s="1"/>
  <c r="CE106" i="7"/>
  <c r="J106" i="1" s="1"/>
  <c r="CE133" i="7"/>
  <c r="J133" i="1" s="1"/>
  <c r="CE191" i="7"/>
  <c r="J191" i="1" s="1"/>
  <c r="CE82" i="7"/>
  <c r="J82" i="1" s="1"/>
  <c r="CE176" i="7"/>
  <c r="J176" i="1" s="1"/>
  <c r="CE74" i="7"/>
  <c r="J74" i="1" s="1"/>
  <c r="AU125" i="7"/>
  <c r="AU123" i="7"/>
  <c r="CE42" i="7"/>
  <c r="J42" i="1" s="1"/>
  <c r="CE30" i="7"/>
  <c r="J30" i="1" s="1"/>
  <c r="CE69" i="7"/>
  <c r="J69" i="1" s="1"/>
  <c r="CE121" i="7"/>
  <c r="J121" i="1" s="1"/>
  <c r="CE146" i="7"/>
  <c r="J146" i="1" s="1"/>
  <c r="AU117" i="7"/>
  <c r="CE128" i="7"/>
  <c r="J128" i="1" s="1"/>
  <c r="CE115" i="7"/>
  <c r="J115" i="1" s="1"/>
  <c r="AU109" i="7"/>
  <c r="AU106" i="7"/>
  <c r="CE101" i="7"/>
  <c r="J101" i="1" s="1"/>
  <c r="CE103" i="7"/>
  <c r="J103" i="1" s="1"/>
  <c r="CE123" i="7"/>
  <c r="J123" i="1" s="1"/>
  <c r="CE138" i="7"/>
  <c r="J138" i="1" s="1"/>
  <c r="AU99" i="7"/>
  <c r="CE120" i="7"/>
  <c r="J120" i="1" s="1"/>
  <c r="CE96" i="7"/>
  <c r="J96" i="1" s="1"/>
  <c r="CE186" i="7"/>
  <c r="J186" i="1" s="1"/>
  <c r="CE147" i="7"/>
  <c r="J147" i="1" s="1"/>
  <c r="CE114" i="7"/>
  <c r="J114" i="1" s="1"/>
  <c r="CE124" i="7"/>
  <c r="J124" i="1" s="1"/>
  <c r="CE89" i="7"/>
  <c r="J89" i="1" s="1"/>
  <c r="CE97" i="7"/>
  <c r="J97" i="1" s="1"/>
  <c r="AU96" i="7"/>
  <c r="CE35" i="7"/>
  <c r="J35" i="1" s="1"/>
  <c r="CE117" i="7"/>
  <c r="J117" i="1" s="1"/>
  <c r="AU91" i="7"/>
  <c r="CE66" i="7"/>
  <c r="J66" i="1" s="1"/>
  <c r="CE130" i="7"/>
  <c r="J130" i="1" s="1"/>
  <c r="CE157" i="7"/>
  <c r="J157" i="1" s="1"/>
  <c r="CE204" i="7"/>
  <c r="J204" i="1" s="1"/>
  <c r="AU84" i="7"/>
  <c r="CE139" i="7"/>
  <c r="J139" i="1" s="1"/>
  <c r="CE159" i="7"/>
  <c r="J159" i="1" s="1"/>
  <c r="CE95" i="7"/>
  <c r="J95" i="1" s="1"/>
  <c r="CE202" i="7"/>
  <c r="J202" i="1" s="1"/>
  <c r="CE131" i="7"/>
  <c r="J131" i="1" s="1"/>
  <c r="CE162" i="7"/>
  <c r="J162" i="1" s="1"/>
  <c r="AU83" i="7"/>
  <c r="CE80" i="7"/>
  <c r="J80" i="1" s="1"/>
  <c r="CE26" i="7"/>
  <c r="J26" i="1" s="1"/>
  <c r="CE104" i="7"/>
  <c r="J104" i="1" s="1"/>
  <c r="CE175" i="7"/>
  <c r="J175" i="1" s="1"/>
  <c r="AU78" i="7"/>
  <c r="AU74" i="7"/>
  <c r="AU56" i="7"/>
  <c r="CE50" i="7"/>
  <c r="J50" i="1" s="1"/>
  <c r="AU50" i="7"/>
  <c r="AU35" i="7"/>
  <c r="AU34" i="7"/>
  <c r="AU24" i="7"/>
  <c r="CE24" i="7"/>
  <c r="J24" i="1" s="1"/>
  <c r="CE194" i="7"/>
  <c r="J194" i="1" s="1"/>
  <c r="CE64" i="7"/>
  <c r="J64" i="1" s="1"/>
  <c r="CE14" i="7"/>
  <c r="J14" i="1" s="1"/>
  <c r="CE21" i="7"/>
  <c r="J21" i="1" s="1"/>
  <c r="CE11" i="7"/>
  <c r="J11" i="1" s="1"/>
  <c r="CE7" i="7"/>
  <c r="J7" i="1" s="1"/>
  <c r="CE8" i="7"/>
  <c r="J8" i="1" s="1"/>
  <c r="CE73" i="7"/>
  <c r="J73" i="1" s="1"/>
  <c r="CE56" i="7"/>
  <c r="J56" i="1" s="1"/>
  <c r="CE34" i="7"/>
  <c r="J34" i="1" s="1"/>
  <c r="CE18" i="7"/>
  <c r="J18" i="1" s="1"/>
  <c r="AJ17" i="7"/>
  <c r="AL17" i="7" s="1"/>
  <c r="CE19" i="7"/>
  <c r="J19" i="1" s="1"/>
  <c r="CE12" i="7"/>
  <c r="J12" i="1" s="1"/>
  <c r="CD4" i="7"/>
  <c r="CP8" i="7" s="1"/>
  <c r="AK7" i="7"/>
  <c r="AJ8" i="7" s="1"/>
  <c r="AK8" i="7" s="1"/>
  <c r="AJ9" i="7" s="1"/>
  <c r="AL9" i="7" s="1"/>
  <c r="AK17" i="7" l="1"/>
  <c r="AJ18" i="7" s="1"/>
  <c r="AL18" i="7" s="1"/>
  <c r="CE4" i="7"/>
  <c r="CP9" i="7" s="1"/>
  <c r="CP5" i="7" s="1"/>
  <c r="AK9" i="7"/>
  <c r="AJ10" i="7" s="1"/>
  <c r="AL11" i="7"/>
  <c r="AK10" i="7" l="1"/>
  <c r="AJ11" i="7" s="1"/>
  <c r="AK11" i="7" s="1"/>
  <c r="AJ12" i="7" s="1"/>
  <c r="AK12" i="7" s="1"/>
  <c r="AJ13" i="7" s="1"/>
  <c r="AL10" i="7"/>
  <c r="CO20" i="7" a="1"/>
  <c r="CO20" i="7" s="1"/>
  <c r="K8" i="1" s="1"/>
  <c r="J6" i="1"/>
  <c r="AK18" i="7"/>
  <c r="CO19" i="7" a="1"/>
  <c r="CO19" i="7" s="1"/>
  <c r="K7" i="1" s="1"/>
  <c r="CO21" i="7" a="1"/>
  <c r="CO21" i="7" s="1"/>
  <c r="K9" i="1" s="1"/>
  <c r="AJ19" i="7" l="1"/>
  <c r="AL13" i="7"/>
  <c r="AK13" i="7"/>
  <c r="AJ14" i="7" s="1"/>
  <c r="AK14" i="7" s="1"/>
  <c r="AL14" i="7"/>
  <c r="AJ16" i="7" s="1"/>
  <c r="AJ23" i="7"/>
  <c r="AK23" i="7" s="1"/>
  <c r="AJ24" i="7" s="1"/>
  <c r="AK24" i="7" s="1"/>
  <c r="AJ25" i="7" s="1"/>
  <c r="AK25" i="7" s="1"/>
  <c r="AJ26" i="7" s="1"/>
  <c r="AK26" i="7" s="1"/>
  <c r="AJ27" i="7" s="1"/>
  <c r="AK27" i="7" s="1"/>
  <c r="AJ28" i="7" s="1"/>
  <c r="AK28" i="7" s="1"/>
  <c r="AJ29" i="7" s="1"/>
  <c r="AK29" i="7" s="1"/>
  <c r="AJ30" i="7" s="1"/>
  <c r="AK30" i="7" s="1"/>
  <c r="AJ31" i="7" s="1"/>
  <c r="AK31" i="7" s="1"/>
  <c r="AJ32" i="7" s="1"/>
  <c r="AK32" i="7" s="1"/>
  <c r="AJ33" i="7" s="1"/>
  <c r="AK33" i="7" s="1"/>
  <c r="AJ34" i="7" s="1"/>
  <c r="AK34" i="7" s="1"/>
  <c r="AJ35" i="7" s="1"/>
  <c r="AK35" i="7" s="1"/>
  <c r="AJ36" i="7" s="1"/>
  <c r="AK36" i="7" s="1"/>
  <c r="AJ37" i="7" s="1"/>
  <c r="AK37" i="7" s="1"/>
  <c r="AJ38" i="7" s="1"/>
  <c r="AK38" i="7" s="1"/>
  <c r="AJ39" i="7" s="1"/>
  <c r="AK39" i="7" s="1"/>
  <c r="AJ40" i="7" s="1"/>
  <c r="AK40" i="7" s="1"/>
  <c r="AJ41" i="7" s="1"/>
  <c r="AK41" i="7" s="1"/>
  <c r="AJ42" i="7" s="1"/>
  <c r="AK42" i="7" s="1"/>
  <c r="AJ43" i="7" s="1"/>
  <c r="AK43" i="7" s="1"/>
  <c r="AJ44" i="7" s="1"/>
  <c r="AK44" i="7" s="1"/>
  <c r="AJ45" i="7" s="1"/>
  <c r="AK45" i="7" s="1"/>
  <c r="AJ46" i="7" s="1"/>
  <c r="AK46" i="7" s="1"/>
  <c r="AJ47" i="7" s="1"/>
  <c r="AK47" i="7" s="1"/>
  <c r="AJ48" i="7" s="1"/>
  <c r="AK48" i="7" s="1"/>
  <c r="AJ49" i="7" s="1"/>
  <c r="AK49" i="7" s="1"/>
  <c r="AJ50" i="7" s="1"/>
  <c r="AK50" i="7" s="1"/>
  <c r="AJ51" i="7" s="1"/>
  <c r="AK51" i="7" s="1"/>
  <c r="AJ52" i="7" s="1"/>
  <c r="AK52" i="7" s="1"/>
  <c r="AJ53" i="7" s="1"/>
  <c r="AK53" i="7" s="1"/>
  <c r="AJ54" i="7" s="1"/>
  <c r="AK54" i="7" s="1"/>
  <c r="AJ55" i="7" s="1"/>
  <c r="AK55" i="7" s="1"/>
  <c r="AJ56" i="7" s="1"/>
  <c r="AK56" i="7" s="1"/>
  <c r="AJ57" i="7" s="1"/>
  <c r="AK57" i="7" s="1"/>
  <c r="AJ58" i="7" s="1"/>
  <c r="AK58" i="7" s="1"/>
  <c r="AJ59" i="7" s="1"/>
  <c r="AK59" i="7" s="1"/>
  <c r="AJ60" i="7" s="1"/>
  <c r="AK60" i="7" s="1"/>
  <c r="AJ61" i="7" s="1"/>
  <c r="AK61" i="7" s="1"/>
  <c r="AJ62" i="7" s="1"/>
  <c r="AK62" i="7" s="1"/>
  <c r="AJ63" i="7" s="1"/>
  <c r="AK63" i="7" s="1"/>
  <c r="AJ64" i="7" s="1"/>
  <c r="AK64" i="7" s="1"/>
  <c r="AJ65" i="7" s="1"/>
  <c r="AK65" i="7" s="1"/>
  <c r="AJ66" i="7" s="1"/>
  <c r="AK66" i="7" s="1"/>
  <c r="AJ67" i="7" s="1"/>
  <c r="AK67" i="7" s="1"/>
  <c r="AJ68" i="7" s="1"/>
  <c r="AK68" i="7" s="1"/>
  <c r="AJ69" i="7" s="1"/>
  <c r="AK69" i="7" s="1"/>
  <c r="AJ70" i="7" s="1"/>
  <c r="AK70" i="7" s="1"/>
  <c r="AJ71" i="7" s="1"/>
  <c r="AK71" i="7" s="1"/>
  <c r="AJ72" i="7" s="1"/>
  <c r="AK72" i="7" s="1"/>
  <c r="AJ73" i="7" s="1"/>
  <c r="AK73" i="7" s="1"/>
  <c r="AJ74" i="7" s="1"/>
  <c r="AK74" i="7" s="1"/>
  <c r="AJ75" i="7" s="1"/>
  <c r="AK75" i="7" s="1"/>
  <c r="AJ76" i="7" s="1"/>
  <c r="AK76" i="7" s="1"/>
  <c r="AJ77" i="7" s="1"/>
  <c r="AK77" i="7" s="1"/>
  <c r="AJ78" i="7" s="1"/>
  <c r="AK78" i="7" s="1"/>
  <c r="AJ79" i="7" s="1"/>
  <c r="AK79" i="7" s="1"/>
  <c r="AJ80" i="7" s="1"/>
  <c r="AK80" i="7" s="1"/>
  <c r="AJ81" i="7" s="1"/>
  <c r="AK81" i="7" s="1"/>
  <c r="AJ82" i="7" s="1"/>
  <c r="AK82" i="7" s="1"/>
  <c r="AJ83" i="7" s="1"/>
  <c r="AK83" i="7" s="1"/>
  <c r="AJ84" i="7" s="1"/>
  <c r="AK84" i="7" s="1"/>
  <c r="AJ85" i="7" s="1"/>
  <c r="AK85" i="7" s="1"/>
  <c r="AJ86" i="7" s="1"/>
  <c r="AK86" i="7" s="1"/>
  <c r="AJ87" i="7" s="1"/>
  <c r="AK87" i="7" s="1"/>
  <c r="AJ88" i="7" s="1"/>
  <c r="AK88" i="7" s="1"/>
  <c r="AJ89" i="7" s="1"/>
  <c r="AK89" i="7" s="1"/>
  <c r="AJ90" i="7" s="1"/>
  <c r="AK90" i="7" s="1"/>
  <c r="AJ91" i="7" s="1"/>
  <c r="AK91" i="7" s="1"/>
  <c r="AJ92" i="7" s="1"/>
  <c r="AK92" i="7" s="1"/>
  <c r="AJ93" i="7" s="1"/>
  <c r="AK93" i="7" s="1"/>
  <c r="AJ94" i="7" s="1"/>
  <c r="AK94" i="7" s="1"/>
  <c r="AJ95" i="7" s="1"/>
  <c r="AK95" i="7" s="1"/>
  <c r="AJ96" i="7" s="1"/>
  <c r="AK96" i="7" s="1"/>
  <c r="AJ97" i="7" s="1"/>
  <c r="AK97" i="7" s="1"/>
  <c r="AJ98" i="7" s="1"/>
  <c r="AK98" i="7" s="1"/>
  <c r="AJ99" i="7" s="1"/>
  <c r="AK99" i="7" s="1"/>
  <c r="AJ100" i="7" s="1"/>
  <c r="AK100" i="7" s="1"/>
  <c r="AJ101" i="7" s="1"/>
  <c r="AK101" i="7" s="1"/>
  <c r="AJ102" i="7" s="1"/>
  <c r="AK102" i="7" s="1"/>
  <c r="AJ103" i="7" s="1"/>
  <c r="AK103" i="7" s="1"/>
  <c r="AJ104" i="7" s="1"/>
  <c r="AK104" i="7" s="1"/>
  <c r="AJ105" i="7" s="1"/>
  <c r="AK105" i="7" s="1"/>
  <c r="AJ106" i="7" s="1"/>
  <c r="AK106" i="7" s="1"/>
  <c r="AJ107" i="7" s="1"/>
  <c r="AK107" i="7" s="1"/>
  <c r="AJ108" i="7" s="1"/>
  <c r="AK108" i="7" s="1"/>
  <c r="AJ109" i="7" s="1"/>
  <c r="AK109" i="7" s="1"/>
  <c r="AJ110" i="7" s="1"/>
  <c r="AK110" i="7" s="1"/>
  <c r="AJ111" i="7" s="1"/>
  <c r="AK111" i="7" s="1"/>
  <c r="AJ112" i="7" s="1"/>
  <c r="AK112" i="7" s="1"/>
  <c r="AJ113" i="7" s="1"/>
  <c r="AK113" i="7" s="1"/>
  <c r="AJ114" i="7" s="1"/>
  <c r="AK114" i="7" s="1"/>
  <c r="AJ115" i="7" s="1"/>
  <c r="AK115" i="7" s="1"/>
  <c r="AJ116" i="7" s="1"/>
  <c r="AK116" i="7" s="1"/>
  <c r="AJ117" i="7" s="1"/>
  <c r="AK117" i="7" s="1"/>
  <c r="AJ118" i="7" s="1"/>
  <c r="AK118" i="7" s="1"/>
  <c r="AJ119" i="7" s="1"/>
  <c r="AK119" i="7" s="1"/>
  <c r="AJ120" i="7" s="1"/>
  <c r="AK120" i="7" s="1"/>
  <c r="AJ121" i="7" s="1"/>
  <c r="AK121" i="7" s="1"/>
  <c r="AJ122" i="7" s="1"/>
  <c r="AK122" i="7" s="1"/>
  <c r="AJ123" i="7" s="1"/>
  <c r="AK123" i="7" s="1"/>
  <c r="AJ124" i="7" s="1"/>
  <c r="AK124" i="7" s="1"/>
  <c r="AJ125" i="7" s="1"/>
  <c r="AK125" i="7" s="1"/>
  <c r="AJ126" i="7" s="1"/>
  <c r="AK126" i="7" s="1"/>
  <c r="AJ127" i="7" s="1"/>
  <c r="AK127" i="7" s="1"/>
  <c r="AJ128" i="7" s="1"/>
  <c r="AK128" i="7" s="1"/>
  <c r="AJ129" i="7" s="1"/>
  <c r="AK129" i="7" s="1"/>
  <c r="AJ130" i="7" s="1"/>
  <c r="AK130" i="7" s="1"/>
  <c r="AJ131" i="7" s="1"/>
  <c r="AK131" i="7" s="1"/>
  <c r="AJ132" i="7" s="1"/>
  <c r="AK132" i="7" s="1"/>
  <c r="AJ133" i="7" s="1"/>
  <c r="AK133" i="7" s="1"/>
  <c r="AJ134" i="7" s="1"/>
  <c r="AK134" i="7" s="1"/>
  <c r="AJ135" i="7" s="1"/>
  <c r="AK135" i="7" s="1"/>
  <c r="AJ136" i="7" s="1"/>
  <c r="AK136" i="7" s="1"/>
  <c r="AJ137" i="7" s="1"/>
  <c r="AK137" i="7" s="1"/>
  <c r="AJ138" i="7" s="1"/>
  <c r="AK138" i="7" s="1"/>
  <c r="AJ139" i="7" s="1"/>
  <c r="AK139" i="7" s="1"/>
  <c r="AJ140" i="7" s="1"/>
  <c r="AK140" i="7" s="1"/>
  <c r="AJ141" i="7" s="1"/>
  <c r="AK141" i="7" s="1"/>
  <c r="AJ142" i="7" s="1"/>
  <c r="AK142" i="7" s="1"/>
  <c r="AJ143" i="7" s="1"/>
  <c r="AK143" i="7" s="1"/>
  <c r="AJ144" i="7" s="1"/>
  <c r="AK144" i="7" s="1"/>
  <c r="AJ145" i="7" s="1"/>
  <c r="AK145" i="7" s="1"/>
  <c r="AJ146" i="7" s="1"/>
  <c r="AK146" i="7" s="1"/>
  <c r="AJ147" i="7" s="1"/>
  <c r="AK147" i="7" s="1"/>
  <c r="AJ148" i="7" s="1"/>
  <c r="AK148" i="7" s="1"/>
  <c r="AJ149" i="7" s="1"/>
  <c r="AK149" i="7" s="1"/>
  <c r="AJ150" i="7" s="1"/>
  <c r="AK150" i="7" s="1"/>
  <c r="AJ151" i="7" s="1"/>
  <c r="AK151" i="7" s="1"/>
  <c r="AJ152" i="7" s="1"/>
  <c r="AK152" i="7" s="1"/>
  <c r="AJ153" i="7" s="1"/>
  <c r="AK153" i="7" s="1"/>
  <c r="AJ154" i="7" s="1"/>
  <c r="AK154" i="7" s="1"/>
  <c r="AJ155" i="7" s="1"/>
  <c r="AK155" i="7" s="1"/>
  <c r="AJ156" i="7" s="1"/>
  <c r="AK156" i="7" s="1"/>
  <c r="AJ157" i="7" s="1"/>
  <c r="AK157" i="7" s="1"/>
  <c r="AJ158" i="7" s="1"/>
  <c r="AK158" i="7" s="1"/>
  <c r="AJ159" i="7" s="1"/>
  <c r="AK159" i="7" s="1"/>
  <c r="AJ160" i="7" s="1"/>
  <c r="AK160" i="7" s="1"/>
  <c r="AJ161" i="7" s="1"/>
  <c r="AK161" i="7" s="1"/>
  <c r="AJ162" i="7" s="1"/>
  <c r="AK162" i="7" s="1"/>
  <c r="AJ163" i="7" s="1"/>
  <c r="AK163" i="7" s="1"/>
  <c r="AJ164" i="7" s="1"/>
  <c r="AK164" i="7" s="1"/>
  <c r="AJ165" i="7" s="1"/>
  <c r="AK165" i="7" s="1"/>
  <c r="AJ166" i="7" s="1"/>
  <c r="AK166" i="7" s="1"/>
  <c r="AJ167" i="7" s="1"/>
  <c r="AK167" i="7" s="1"/>
  <c r="AJ168" i="7" s="1"/>
  <c r="AK168" i="7" s="1"/>
  <c r="AJ169" i="7" s="1"/>
  <c r="AK169" i="7" s="1"/>
  <c r="AJ170" i="7" s="1"/>
  <c r="AK170" i="7" s="1"/>
  <c r="AJ171" i="7" s="1"/>
  <c r="AK171" i="7" s="1"/>
  <c r="AJ172" i="7" s="1"/>
  <c r="AK172" i="7" s="1"/>
  <c r="AJ173" i="7" s="1"/>
  <c r="AK173" i="7" s="1"/>
  <c r="AJ174" i="7" s="1"/>
  <c r="AK174" i="7" s="1"/>
  <c r="AJ175" i="7" s="1"/>
  <c r="AK175" i="7" s="1"/>
  <c r="AJ176" i="7" s="1"/>
  <c r="AK176" i="7" s="1"/>
  <c r="AJ177" i="7" s="1"/>
  <c r="AK177" i="7" s="1"/>
  <c r="AJ178" i="7" s="1"/>
  <c r="AK178" i="7" s="1"/>
  <c r="AJ179" i="7" s="1"/>
  <c r="AK179" i="7" s="1"/>
  <c r="AJ180" i="7" s="1"/>
  <c r="AK180" i="7" s="1"/>
  <c r="AJ181" i="7" s="1"/>
  <c r="AK181" i="7" s="1"/>
  <c r="AJ182" i="7" s="1"/>
  <c r="AK182" i="7" s="1"/>
  <c r="AJ183" i="7" s="1"/>
  <c r="AK183" i="7" s="1"/>
  <c r="AJ184" i="7" s="1"/>
  <c r="AK184" i="7" s="1"/>
  <c r="AJ185" i="7" s="1"/>
  <c r="AK185" i="7" s="1"/>
  <c r="AJ186" i="7" s="1"/>
  <c r="AK186" i="7" s="1"/>
  <c r="AJ187" i="7" s="1"/>
  <c r="AK187" i="7" s="1"/>
  <c r="AJ188" i="7" s="1"/>
  <c r="AK188" i="7" s="1"/>
  <c r="AJ189" i="7" s="1"/>
  <c r="AK189" i="7" s="1"/>
  <c r="AJ190" i="7" s="1"/>
  <c r="AK190" i="7" s="1"/>
  <c r="AJ191" i="7" s="1"/>
  <c r="AK191" i="7" s="1"/>
  <c r="AJ192" i="7" s="1"/>
  <c r="AK192" i="7" s="1"/>
  <c r="AJ193" i="7" s="1"/>
  <c r="AK193" i="7" s="1"/>
  <c r="AJ194" i="7" s="1"/>
  <c r="AK194" i="7" s="1"/>
  <c r="AJ195" i="7" s="1"/>
  <c r="AK195" i="7" s="1"/>
  <c r="AJ196" i="7" s="1"/>
  <c r="AK196" i="7" s="1"/>
  <c r="AJ197" i="7" s="1"/>
  <c r="AK197" i="7" s="1"/>
  <c r="AJ198" i="7" s="1"/>
  <c r="AK198" i="7" s="1"/>
  <c r="AJ199" i="7" s="1"/>
  <c r="AK199" i="7" s="1"/>
  <c r="AJ200" i="7" s="1"/>
  <c r="AK200" i="7" s="1"/>
  <c r="AJ201" i="7" s="1"/>
  <c r="AK201" i="7" s="1"/>
  <c r="AJ202" i="7" s="1"/>
  <c r="AK202" i="7" s="1"/>
  <c r="AJ203" i="7" s="1"/>
  <c r="AK203" i="7" s="1"/>
  <c r="AJ204" i="7" s="1"/>
  <c r="AK204" i="7" s="1"/>
  <c r="AJ205" i="7" s="1"/>
  <c r="AK205" i="7" s="1"/>
  <c r="AJ206" i="7" s="1"/>
  <c r="AJ15" i="7" l="1"/>
  <c r="AK15" i="7" s="1"/>
  <c r="AK19" i="7"/>
  <c r="AJ20" i="7" s="1"/>
  <c r="AK20" i="7" s="1"/>
  <c r="AJ22" i="7" s="1"/>
  <c r="AK22" i="7" s="1"/>
  <c r="AL19" i="7"/>
  <c r="AJ21" i="7" s="1"/>
  <c r="AK21" i="7" s="1"/>
</calcChain>
</file>

<file path=xl/sharedStrings.xml><?xml version="1.0" encoding="utf-8"?>
<sst xmlns="http://schemas.openxmlformats.org/spreadsheetml/2006/main" count="715" uniqueCount="270">
  <si>
    <t>AUTOMATIC FLOWCHART MAKER</t>
  </si>
  <si>
    <t>DASHBOARD</t>
  </si>
  <si>
    <t>FLOWCHART DATA</t>
  </si>
  <si>
    <t>SETTINGS PANEL</t>
  </si>
  <si>
    <t>ID</t>
  </si>
  <si>
    <t>Desc</t>
  </si>
  <si>
    <t>Next ID</t>
  </si>
  <si>
    <t>Decision Labels</t>
  </si>
  <si>
    <t>Shape Type</t>
  </si>
  <si>
    <r>
      <t xml:space="preserve">Next ID Position
</t>
    </r>
    <r>
      <rPr>
        <i/>
        <sz val="10"/>
        <color theme="1" tint="0.249977111117893"/>
        <rFont val="Calibri"/>
        <family val="2"/>
        <charset val="162"/>
        <scheme val="minor"/>
      </rPr>
      <t>(Optional)</t>
    </r>
  </si>
  <si>
    <r>
      <t xml:space="preserve">Shape Color
</t>
    </r>
    <r>
      <rPr>
        <i/>
        <sz val="10"/>
        <color theme="1" tint="0.249977111117893"/>
        <rFont val="Calibri"/>
        <family val="2"/>
        <charset val="162"/>
        <scheme val="minor"/>
      </rPr>
      <t>(Optional)</t>
    </r>
  </si>
  <si>
    <t>Messages</t>
  </si>
  <si>
    <t>Start/End</t>
  </si>
  <si>
    <t>Yes</t>
  </si>
  <si>
    <t>Process</t>
  </si>
  <si>
    <t>Decision</t>
  </si>
  <si>
    <t>SHAPE SETTINGS</t>
  </si>
  <si>
    <t>Top</t>
  </si>
  <si>
    <t>Chart Layout:</t>
  </si>
  <si>
    <t>Vertical</t>
  </si>
  <si>
    <t>Shape Width:</t>
  </si>
  <si>
    <t>Top-Right</t>
  </si>
  <si>
    <t>Shape Height:</t>
  </si>
  <si>
    <t>Shapes Gap (horizontal):</t>
  </si>
  <si>
    <t>Shapes Gap (vertical):</t>
  </si>
  <si>
    <t>Font Size:</t>
  </si>
  <si>
    <t>COLOR SETTINGS</t>
  </si>
  <si>
    <t>Selection Names</t>
  </si>
  <si>
    <t>Color</t>
  </si>
  <si>
    <t>Blue</t>
  </si>
  <si>
    <t>Red</t>
  </si>
  <si>
    <t>Green</t>
  </si>
  <si>
    <t>Orange</t>
  </si>
  <si>
    <t>Purple</t>
  </si>
  <si>
    <t>White</t>
  </si>
  <si>
    <t>Yellow</t>
  </si>
  <si>
    <t>Shape Font Color:</t>
  </si>
  <si>
    <t>Arrow Color:</t>
  </si>
  <si>
    <t>FLOWCHART</t>
  </si>
  <si>
    <t>Next ID Formula</t>
  </si>
  <si>
    <t>REFERENCE</t>
  </si>
  <si>
    <t>GRIDS</t>
  </si>
  <si>
    <t>DIRECTIONS</t>
  </si>
  <si>
    <t>LABELS</t>
  </si>
  <si>
    <t>NODES</t>
  </si>
  <si>
    <t>SHAPES</t>
  </si>
  <si>
    <t>ERROR CHECKS</t>
  </si>
  <si>
    <t>First Shape:</t>
  </si>
  <si>
    <t>Start Grid X</t>
  </si>
  <si>
    <t>Start Grid Y</t>
  </si>
  <si>
    <t>Process Fallback:</t>
  </si>
  <si>
    <t>Process Index</t>
  </si>
  <si>
    <t>Start X Coor.</t>
  </si>
  <si>
    <t>Start Y Coor.</t>
  </si>
  <si>
    <t>Max Column</t>
  </si>
  <si>
    <t>Max Row</t>
  </si>
  <si>
    <t>USER DATA</t>
  </si>
  <si>
    <t>Dependents</t>
  </si>
  <si>
    <t>Row Indexes</t>
  </si>
  <si>
    <t>Next ID Directions From User Input</t>
  </si>
  <si>
    <t>Next ID Directions</t>
  </si>
  <si>
    <t>Node Calculation Method</t>
  </si>
  <si>
    <t>Dependents Node Sections</t>
  </si>
  <si>
    <t>Nodes In Use?</t>
  </si>
  <si>
    <t>Nodes Converted</t>
  </si>
  <si>
    <t>Node Connections</t>
  </si>
  <si>
    <t>Error 1</t>
  </si>
  <si>
    <t>Error 2</t>
  </si>
  <si>
    <t>Error 3</t>
  </si>
  <si>
    <t>Error 4</t>
  </si>
  <si>
    <t>Error 5</t>
  </si>
  <si>
    <t>Error 6</t>
  </si>
  <si>
    <t>Error 7</t>
  </si>
  <si>
    <t>Error 8</t>
  </si>
  <si>
    <t>Error 9</t>
  </si>
  <si>
    <t>Error 10</t>
  </si>
  <si>
    <t>Shape Index</t>
  </si>
  <si>
    <t>Valid?</t>
  </si>
  <si>
    <r>
      <t xml:space="preserve">Next ID Position
</t>
    </r>
    <r>
      <rPr>
        <i/>
        <sz val="11"/>
        <color theme="1"/>
        <rFont val="Calibri"/>
        <family val="2"/>
        <charset val="162"/>
        <scheme val="minor"/>
      </rPr>
      <t>(Optional)</t>
    </r>
  </si>
  <si>
    <r>
      <t xml:space="preserve">Shape Color
</t>
    </r>
    <r>
      <rPr>
        <i/>
        <sz val="11"/>
        <color theme="1"/>
        <rFont val="Calibri"/>
        <family val="2"/>
        <charset val="162"/>
        <scheme val="minor"/>
      </rPr>
      <t>(Optional)</t>
    </r>
  </si>
  <si>
    <t>Number of Dependents</t>
  </si>
  <si>
    <t>Number of Precedents</t>
  </si>
  <si>
    <t>Grid X</t>
  </si>
  <si>
    <t>Grid Y</t>
  </si>
  <si>
    <t>Combined</t>
  </si>
  <si>
    <t>Direct Precedent Index</t>
  </si>
  <si>
    <t>Process Order</t>
  </si>
  <si>
    <t>Next ID Position Dropdown Ranges</t>
  </si>
  <si>
    <t>Precedent Position - Dependent Direction</t>
  </si>
  <si>
    <t>Direct Precedent Direction</t>
  </si>
  <si>
    <t>Shapes X - Y Difference</t>
  </si>
  <si>
    <t>Node Section</t>
  </si>
  <si>
    <t>Node 1</t>
  </si>
  <si>
    <t>Node 2</t>
  </si>
  <si>
    <t>Node 3</t>
  </si>
  <si>
    <t>Node 4</t>
  </si>
  <si>
    <t>Next ID Node Range</t>
  </si>
  <si>
    <t>This Node Empty</t>
  </si>
  <si>
    <t>Next Node Empty</t>
  </si>
  <si>
    <t>Fallback</t>
  </si>
  <si>
    <t>Shape X Coor.</t>
  </si>
  <si>
    <t>Shape Y Coor.</t>
  </si>
  <si>
    <t>Shape Width</t>
  </si>
  <si>
    <t>Shape Height</t>
  </si>
  <si>
    <t>Shape Type Code</t>
  </si>
  <si>
    <t>Shape Text</t>
  </si>
  <si>
    <t>Shape Color No</t>
  </si>
  <si>
    <t>Symbol User</t>
  </si>
  <si>
    <t>Symbol VBA</t>
  </si>
  <si>
    <t>Symbol Code</t>
  </si>
  <si>
    <t>Height</t>
  </si>
  <si>
    <t>Width</t>
  </si>
  <si>
    <t>Node 1 Conv.</t>
  </si>
  <si>
    <t>Node 2 Conv.</t>
  </si>
  <si>
    <t>Node 3 Conv.</t>
  </si>
  <si>
    <t>Node 4 Conv.</t>
  </si>
  <si>
    <t>Duplicate ID</t>
  </si>
  <si>
    <t>Next ID Not Matching</t>
  </si>
  <si>
    <t>Next ID Position</t>
  </si>
  <si>
    <t>All Empty Check</t>
  </si>
  <si>
    <t>Shapes Overlap</t>
  </si>
  <si>
    <t>Error No</t>
  </si>
  <si>
    <r>
      <t xml:space="preserve">Error Message 
</t>
    </r>
    <r>
      <rPr>
        <i/>
        <sz val="11"/>
        <color theme="1"/>
        <rFont val="Calibri"/>
        <family val="2"/>
        <charset val="162"/>
        <scheme val="minor"/>
      </rPr>
      <t>(max 48 characters)</t>
    </r>
  </si>
  <si>
    <t>Formula</t>
  </si>
  <si>
    <t>Characters</t>
  </si>
  <si>
    <t>Right</t>
  </si>
  <si>
    <t>Zero - Positive</t>
  </si>
  <si>
    <t>msoShapeFlowchartTerminator</t>
  </si>
  <si>
    <t>-</t>
  </si>
  <si>
    <t>• Duplicate ID problem! Please use unique IDs.</t>
  </si>
  <si>
    <t>One Dependent</t>
  </si>
  <si>
    <t>Below-Right</t>
  </si>
  <si>
    <t>Zero - Negative</t>
  </si>
  <si>
    <t>msoShapeFlowchartProcess</t>
  </si>
  <si>
    <t>• "Next ID" does not exist!</t>
  </si>
  <si>
    <t>Below</t>
  </si>
  <si>
    <t>Positive - Zero</t>
  </si>
  <si>
    <t>msoShapeFlowchartDecision</t>
  </si>
  <si>
    <t>• "Next ID Position" issue! Check instructions.</t>
  </si>
  <si>
    <t>Below-Left</t>
  </si>
  <si>
    <t>Positive - Positive</t>
  </si>
  <si>
    <t>Alternate Process</t>
  </si>
  <si>
    <t>msoShapeFlowchartAlternateProcess</t>
  </si>
  <si>
    <t>• No data! Start making inputs.</t>
  </si>
  <si>
    <t>Left</t>
  </si>
  <si>
    <t>Positive - Negative</t>
  </si>
  <si>
    <t>Card</t>
  </si>
  <si>
    <t>msoShapeFlowchartCard</t>
  </si>
  <si>
    <t>• Shapes overlap! Use "Next ID Position" to fix.</t>
  </si>
  <si>
    <t>Top-Left</t>
  </si>
  <si>
    <t>Negative - Zero</t>
  </si>
  <si>
    <t>Collate</t>
  </si>
  <si>
    <t>msoShapeFlowchartCollate</t>
  </si>
  <si>
    <t>Negative - Positive</t>
  </si>
  <si>
    <t>Connector</t>
  </si>
  <si>
    <t>msoShapeFlowchartConnector</t>
  </si>
  <si>
    <t>Negative - Negative</t>
  </si>
  <si>
    <t>Database</t>
  </si>
  <si>
    <t>msoShapeFlowchartMagneticDisk</t>
  </si>
  <si>
    <t>RIGHT</t>
  </si>
  <si>
    <t>Zero - Zero</t>
  </si>
  <si>
    <t>Delay</t>
  </si>
  <si>
    <t>msoShapeFlowchartDelay</t>
  </si>
  <si>
    <t>BELOW-RIGHT</t>
  </si>
  <si>
    <t>Direct Access Storage</t>
  </si>
  <si>
    <t>msoShapeFlowchartDirectAccessStorage</t>
  </si>
  <si>
    <t>TOP-RIGHT</t>
  </si>
  <si>
    <t>Display</t>
  </si>
  <si>
    <t>msoShapeFlowchartDisplay</t>
  </si>
  <si>
    <t>Two Dependents</t>
  </si>
  <si>
    <t>Document</t>
  </si>
  <si>
    <t>msoShapeFlowchartDocument</t>
  </si>
  <si>
    <t>Message List</t>
  </si>
  <si>
    <t>Right, Below</t>
  </si>
  <si>
    <t>Extract</t>
  </si>
  <si>
    <t>msoShapeFlowchartExtract</t>
  </si>
  <si>
    <t>Right, Left</t>
  </si>
  <si>
    <t>Input/Output</t>
  </si>
  <si>
    <t>msoShapeFlowchartData</t>
  </si>
  <si>
    <t>Right, Top</t>
  </si>
  <si>
    <t>Internal Storage</t>
  </si>
  <si>
    <t>msoShapeFlowchartInternalStorage</t>
  </si>
  <si>
    <t>Below, Right</t>
  </si>
  <si>
    <t>Default for Vertical</t>
  </si>
  <si>
    <t>Manual Input</t>
  </si>
  <si>
    <t>msoShapeFlowchartManualInput</t>
  </si>
  <si>
    <t>Below, Left</t>
  </si>
  <si>
    <t>Manual Operation</t>
  </si>
  <si>
    <t>msoShapeFlowchartManualOperation</t>
  </si>
  <si>
    <t>Below, Top</t>
  </si>
  <si>
    <t>Merge</t>
  </si>
  <si>
    <t>msoShapeFlowchartMerge</t>
  </si>
  <si>
    <t>Left, Right</t>
  </si>
  <si>
    <t>Multidocument</t>
  </si>
  <si>
    <t>msoShapeFlowchartMultidocument</t>
  </si>
  <si>
    <t>Left, Below</t>
  </si>
  <si>
    <t>Offline Storage</t>
  </si>
  <si>
    <t>msoShapeFlowchartOfflineStorage</t>
  </si>
  <si>
    <t>Left, Top</t>
  </si>
  <si>
    <t>Offpage Connector</t>
  </si>
  <si>
    <t>msoShapeFlowchartOffpageConnector</t>
  </si>
  <si>
    <t>Top, Right</t>
  </si>
  <si>
    <t>Or</t>
  </si>
  <si>
    <t>msoShapeFlowchartOr</t>
  </si>
  <si>
    <t>Top, Below</t>
  </si>
  <si>
    <t>Preparation</t>
  </si>
  <si>
    <t>msoShapeFlowchartPreparation</t>
  </si>
  <si>
    <t>Top, Left</t>
  </si>
  <si>
    <t>Punched Tape</t>
  </si>
  <si>
    <t>msoShapeFlowchartPunchedTape</t>
  </si>
  <si>
    <t>Sequential Access Storage</t>
  </si>
  <si>
    <t>msoShapeFlowchartSequentialAccessStorage</t>
  </si>
  <si>
    <t>Three Dependents</t>
  </si>
  <si>
    <t>Default for Horizontal</t>
  </si>
  <si>
    <t>Sort</t>
  </si>
  <si>
    <t>msoShapeFlowchartSort</t>
  </si>
  <si>
    <t>Right, Below, Left</t>
  </si>
  <si>
    <t>Stored Data</t>
  </si>
  <si>
    <t>msoShapeFlowchartStoredData</t>
  </si>
  <si>
    <t>Right, Below, Top</t>
  </si>
  <si>
    <t>Subprocess</t>
  </si>
  <si>
    <t>msoShapeFlowchartPredefinedProcess</t>
  </si>
  <si>
    <t>Right, Left, Below</t>
  </si>
  <si>
    <t>Summing Junction</t>
  </si>
  <si>
    <t>msoShapeFlowchartSummingJunction</t>
  </si>
  <si>
    <t>Right, Left, Top</t>
  </si>
  <si>
    <t>Right, Top, Below</t>
  </si>
  <si>
    <t>Right, Top, Left</t>
  </si>
  <si>
    <t>Below, Right, Left</t>
  </si>
  <si>
    <t>Below, Right, Top</t>
  </si>
  <si>
    <t>Below, Left, Right</t>
  </si>
  <si>
    <t>Below, Left, Top</t>
  </si>
  <si>
    <t>Below, Top, Right</t>
  </si>
  <si>
    <t>Below, Top, Left</t>
  </si>
  <si>
    <t>Left, Right, Below</t>
  </si>
  <si>
    <t>Left, Right, Top</t>
  </si>
  <si>
    <t>Left, Below, Right</t>
  </si>
  <si>
    <t>Left, Below, Top</t>
  </si>
  <si>
    <t>Left, Top, Right</t>
  </si>
  <si>
    <t>Left, Top, Below</t>
  </si>
  <si>
    <t>Top, Right, Below</t>
  </si>
  <si>
    <t>Top, Right, Left</t>
  </si>
  <si>
    <t>Top, Below, Right</t>
  </si>
  <si>
    <t>Top, Below, Left</t>
  </si>
  <si>
    <t>Top, Left, Right</t>
  </si>
  <si>
    <t>Top, Left, Below</t>
  </si>
  <si>
    <t>Flow Chart</t>
  </si>
  <si>
    <t>14,15</t>
  </si>
  <si>
    <t>End</t>
  </si>
  <si>
    <t>Start</t>
  </si>
  <si>
    <t>Check &amp; set prod/Dev path</t>
  </si>
  <si>
    <t>process</t>
  </si>
  <si>
    <t>For handshake path clear old end request</t>
  </si>
  <si>
    <t>If PID exist</t>
  </si>
  <si>
    <t>5,10</t>
  </si>
  <si>
    <t>yes,No</t>
  </si>
  <si>
    <t>decision</t>
  </si>
  <si>
    <t>Crete Terminal request</t>
  </si>
  <si>
    <t>wait till Timeout for clearing Terminal</t>
  </si>
  <si>
    <t>If timeout is True</t>
  </si>
  <si>
    <t>8,9</t>
  </si>
  <si>
    <t>Kill PID process</t>
  </si>
  <si>
    <t>Delete PID file</t>
  </si>
  <si>
    <t>Start RFL</t>
  </si>
  <si>
    <t>Get RFL PID</t>
  </si>
  <si>
    <t>wait till Timeout for RFL PID to progress</t>
  </si>
  <si>
    <t>Email process not started</t>
  </si>
  <si>
    <t>create PID_start file</t>
  </si>
  <si>
    <t>Filled by macro</t>
  </si>
  <si>
    <t>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</si>
</sst>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3"/>
      <color rgb="FFFFC000"/>
      <name val="Calibri"/>
      <family val="2"/>
      <charset val="162"/>
      <scheme val="minor"/>
    </font>
    <font>
      <sz val="13"/>
      <color theme="1"/>
      <name val="Calibri"/>
      <family val="2"/>
      <charset val="162"/>
      <scheme val="minor"/>
    </font>
    <font>
      <b/>
      <sz val="16"/>
      <color theme="0"/>
      <name val="Calibri"/>
      <family val="2"/>
      <charset val="162"/>
      <scheme val="minor"/>
    </font>
    <font>
      <b/>
      <sz val="16"/>
      <color theme="1"/>
      <name val="Calibri"/>
      <family val="2"/>
      <charset val="162"/>
      <scheme val="minor"/>
    </font>
    <font>
      <b/>
      <sz val="12"/>
      <color theme="0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1"/>
      <color theme="1" tint="0.249977111117893"/>
      <name val="Calibri"/>
      <family val="2"/>
      <charset val="162"/>
      <scheme val="minor"/>
    </font>
    <font>
      <i/>
      <sz val="10"/>
      <color theme="1" tint="0.249977111117893"/>
      <name val="Calibri"/>
      <family val="2"/>
      <charset val="162"/>
      <scheme val="minor"/>
    </font>
    <font>
      <b/>
      <sz val="10.5"/>
      <color rgb="FFFF0000"/>
      <name val="Calibri"/>
      <family val="2"/>
      <charset val="162"/>
      <scheme val="minor"/>
    </font>
    <font>
      <b/>
      <sz val="11"/>
      <color rgb="FF00B05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name val="Arial"/>
      <family val="2"/>
      <charset val="162"/>
    </font>
    <font>
      <i/>
      <sz val="11"/>
      <color theme="1"/>
      <name val="Calibri"/>
      <family val="2"/>
      <charset val="162"/>
      <scheme val="minor"/>
    </font>
    <font>
      <sz val="11"/>
      <color rgb="FF0070C0"/>
      <name val="Calibri"/>
      <family val="2"/>
      <charset val="162"/>
      <scheme val="minor"/>
    </font>
    <font>
      <i/>
      <sz val="11"/>
      <color theme="1" tint="0.34998626667073579"/>
      <name val="Calibri"/>
      <family val="2"/>
      <charset val="16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ADA9A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5F86CD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/>
      </right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indexed="6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 style="thin">
        <color theme="1" tint="0.34998626667073579"/>
      </left>
      <right/>
      <top style="thin">
        <color indexed="64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/>
      <diagonal/>
    </border>
    <border>
      <left style="thin">
        <color theme="1" tint="0.34998626667073579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1" tint="0.34998626667073579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rgb="FF9F9B9B"/>
      </bottom>
      <diagonal/>
    </border>
    <border>
      <left/>
      <right/>
      <top style="thin">
        <color indexed="64"/>
      </top>
      <bottom style="thin">
        <color rgb="FF9F9B9B"/>
      </bottom>
      <diagonal/>
    </border>
    <border>
      <left/>
      <right style="thin">
        <color indexed="64"/>
      </right>
      <top style="thin">
        <color indexed="64"/>
      </top>
      <bottom style="thin">
        <color rgb="FF9F9B9B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9">
    <xf numFmtId="0" fontId="0" fillId="0" borderId="0"/>
    <xf numFmtId="0" fontId="17" fillId="0" borderId="0"/>
    <xf numFmtId="0" fontId="1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7" fillId="0" borderId="0"/>
  </cellStyleXfs>
  <cellXfs count="225">
    <xf numFmtId="0" fontId="0" fillId="0" borderId="0" xfId="0"/>
    <xf numFmtId="49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49" fontId="3" fillId="3" borderId="0" xfId="0" applyNumberFormat="1" applyFont="1" applyFill="1" applyAlignment="1">
      <alignment horizontal="left" vertical="center" indent="7"/>
    </xf>
    <xf numFmtId="49" fontId="3" fillId="3" borderId="0" xfId="0" applyNumberFormat="1" applyFont="1" applyFill="1" applyAlignment="1">
      <alignment horizontal="left" vertical="center" indent="2"/>
    </xf>
    <xf numFmtId="49" fontId="3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49" fontId="5" fillId="4" borderId="0" xfId="0" applyNumberFormat="1" applyFont="1" applyFill="1" applyAlignment="1">
      <alignment horizontal="left" vertical="center" indent="7"/>
    </xf>
    <xf numFmtId="49" fontId="5" fillId="4" borderId="0" xfId="0" applyNumberFormat="1" applyFont="1" applyFill="1" applyAlignment="1">
      <alignment horizontal="left" vertical="center" indent="2"/>
    </xf>
    <xf numFmtId="49" fontId="5" fillId="4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7" fillId="5" borderId="1" xfId="0" applyFont="1" applyFill="1" applyBorder="1" applyAlignment="1">
      <alignment horizontal="centerContinuous" vertical="center"/>
    </xf>
    <xf numFmtId="0" fontId="7" fillId="5" borderId="2" xfId="0" applyFont="1" applyFill="1" applyBorder="1" applyAlignment="1">
      <alignment horizontal="centerContinuous" vertical="center"/>
    </xf>
    <xf numFmtId="0" fontId="7" fillId="5" borderId="3" xfId="0" applyFont="1" applyFill="1" applyBorder="1" applyAlignment="1">
      <alignment horizontal="centerContinuous" vertical="center"/>
    </xf>
    <xf numFmtId="0" fontId="8" fillId="6" borderId="1" xfId="0" applyFont="1" applyFill="1" applyBorder="1" applyAlignment="1">
      <alignment horizontal="centerContinuous" vertical="center"/>
    </xf>
    <xf numFmtId="0" fontId="9" fillId="6" borderId="2" xfId="0" applyFont="1" applyFill="1" applyBorder="1" applyAlignment="1">
      <alignment horizontal="centerContinuous" vertical="center"/>
    </xf>
    <xf numFmtId="0" fontId="9" fillId="6" borderId="3" xfId="0" applyFont="1" applyFill="1" applyBorder="1" applyAlignment="1">
      <alignment horizontal="centerContinuous" vertical="center"/>
    </xf>
    <xf numFmtId="0" fontId="10" fillId="7" borderId="4" xfId="0" applyFont="1" applyFill="1" applyBorder="1" applyAlignment="1">
      <alignment horizontal="center" vertical="center" wrapText="1"/>
    </xf>
    <xf numFmtId="0" fontId="10" fillId="7" borderId="5" xfId="0" applyFont="1" applyFill="1" applyBorder="1" applyAlignment="1">
      <alignment vertical="center" wrapText="1"/>
    </xf>
    <xf numFmtId="0" fontId="10" fillId="7" borderId="5" xfId="0" applyFont="1" applyFill="1" applyBorder="1" applyAlignment="1">
      <alignment horizontal="center" vertical="center" wrapText="1"/>
    </xf>
    <xf numFmtId="0" fontId="11" fillId="7" borderId="5" xfId="0" applyFont="1" applyFill="1" applyBorder="1" applyAlignment="1">
      <alignment horizontal="center" vertical="center" wrapText="1"/>
    </xf>
    <xf numFmtId="0" fontId="11" fillId="7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 applyProtection="1">
      <alignment horizontal="center" vertical="center" wrapText="1"/>
      <protection hidden="1"/>
    </xf>
    <xf numFmtId="0" fontId="10" fillId="8" borderId="0" xfId="0" applyFont="1" applyFill="1" applyBorder="1" applyAlignment="1">
      <alignment horizontal="centerContinuous" vertical="center"/>
    </xf>
    <xf numFmtId="0" fontId="10" fillId="8" borderId="8" xfId="0" applyFont="1" applyFill="1" applyBorder="1" applyAlignment="1">
      <alignment horizontal="centerContinuous" vertical="center"/>
    </xf>
    <xf numFmtId="49" fontId="0" fillId="0" borderId="0" xfId="0" applyNumberFormat="1" applyAlignment="1" applyProtection="1">
      <alignment horizontal="center" vertical="center" shrinkToFit="1"/>
      <protection locked="0"/>
    </xf>
    <xf numFmtId="49" fontId="0" fillId="0" borderId="0" xfId="0" applyNumberFormat="1" applyAlignment="1" applyProtection="1">
      <alignment vertical="center" shrinkToFit="1"/>
      <protection locked="0"/>
    </xf>
    <xf numFmtId="0" fontId="13" fillId="2" borderId="9" xfId="0" applyFont="1" applyFill="1" applyBorder="1" applyAlignment="1" applyProtection="1">
      <alignment horizontal="left" vertical="center"/>
      <protection hidden="1"/>
    </xf>
    <xf numFmtId="0" fontId="14" fillId="0" borderId="9" xfId="0" applyFont="1" applyFill="1" applyBorder="1" applyAlignment="1" applyProtection="1">
      <alignment horizontal="centerContinuous" vertical="center"/>
      <protection hidden="1"/>
    </xf>
    <xf numFmtId="0" fontId="14" fillId="0" borderId="10" xfId="0" applyFont="1" applyFill="1" applyBorder="1" applyAlignment="1" applyProtection="1">
      <alignment horizontal="centerContinuous" vertical="center"/>
      <protection hidden="1"/>
    </xf>
    <xf numFmtId="0" fontId="14" fillId="0" borderId="11" xfId="0" applyFont="1" applyFill="1" applyBorder="1" applyAlignment="1" applyProtection="1">
      <alignment horizontal="centerContinuous" vertical="center"/>
      <protection hidden="1"/>
    </xf>
    <xf numFmtId="0" fontId="13" fillId="2" borderId="12" xfId="0" applyFont="1" applyFill="1" applyBorder="1" applyAlignment="1" applyProtection="1">
      <alignment horizontal="left" vertical="center"/>
      <protection hidden="1"/>
    </xf>
    <xf numFmtId="0" fontId="14" fillId="0" borderId="12" xfId="0" applyFont="1" applyFill="1" applyBorder="1" applyAlignment="1" applyProtection="1">
      <alignment horizontal="centerContinuous" vertical="center"/>
      <protection hidden="1"/>
    </xf>
    <xf numFmtId="0" fontId="14" fillId="0" borderId="0" xfId="0" applyFont="1" applyFill="1" applyBorder="1" applyAlignment="1" applyProtection="1">
      <alignment horizontal="centerContinuous" vertical="center"/>
      <protection hidden="1"/>
    </xf>
    <xf numFmtId="0" fontId="14" fillId="0" borderId="8" xfId="0" applyFont="1" applyFill="1" applyBorder="1" applyAlignment="1" applyProtection="1">
      <alignment horizontal="centerContinuous" vertical="center"/>
      <protection hidden="1"/>
    </xf>
    <xf numFmtId="0" fontId="14" fillId="0" borderId="13" xfId="0" applyFont="1" applyFill="1" applyBorder="1" applyAlignment="1" applyProtection="1">
      <alignment horizontal="centerContinuous" vertical="center"/>
      <protection hidden="1"/>
    </xf>
    <xf numFmtId="0" fontId="14" fillId="0" borderId="14" xfId="0" applyFont="1" applyFill="1" applyBorder="1" applyAlignment="1" applyProtection="1">
      <alignment horizontal="centerContinuous" vertical="center"/>
      <protection hidden="1"/>
    </xf>
    <xf numFmtId="0" fontId="14" fillId="0" borderId="15" xfId="0" applyFont="1" applyFill="1" applyBorder="1" applyAlignment="1" applyProtection="1">
      <alignment horizontal="centerContinuous" vertical="center"/>
      <protection hidden="1"/>
    </xf>
    <xf numFmtId="0" fontId="13" fillId="2" borderId="16" xfId="0" applyFont="1" applyFill="1" applyBorder="1" applyAlignment="1" applyProtection="1">
      <alignment horizontal="left" vertical="center"/>
      <protection hidden="1"/>
    </xf>
    <xf numFmtId="0" fontId="0" fillId="2" borderId="0" xfId="0" applyFill="1" applyBorder="1"/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horizontal="centerContinuous" vertical="center"/>
    </xf>
    <xf numFmtId="0" fontId="15" fillId="9" borderId="19" xfId="0" applyFont="1" applyFill="1" applyBorder="1" applyAlignment="1">
      <alignment vertical="center"/>
    </xf>
    <xf numFmtId="0" fontId="0" fillId="8" borderId="20" xfId="0" applyFill="1" applyBorder="1"/>
    <xf numFmtId="0" fontId="0" fillId="8" borderId="0" xfId="0" applyFill="1" applyBorder="1"/>
    <xf numFmtId="0" fontId="0" fillId="8" borderId="21" xfId="0" applyFill="1" applyBorder="1"/>
    <xf numFmtId="0" fontId="9" fillId="8" borderId="0" xfId="0" applyFont="1" applyFill="1" applyBorder="1" applyAlignment="1">
      <alignment horizontal="right" vertical="center" indent="1"/>
    </xf>
    <xf numFmtId="0" fontId="0" fillId="0" borderId="22" xfId="0" applyFill="1" applyBorder="1" applyAlignment="1" applyProtection="1">
      <alignment horizontal="center" vertical="center"/>
      <protection locked="0"/>
    </xf>
    <xf numFmtId="0" fontId="0" fillId="8" borderId="0" xfId="0" applyFill="1" applyBorder="1" applyAlignment="1">
      <alignment horizontal="right" indent="1"/>
    </xf>
    <xf numFmtId="0" fontId="0" fillId="0" borderId="22" xfId="0" applyBorder="1" applyAlignment="1" applyProtection="1">
      <alignment horizontal="center" vertical="center"/>
      <protection locked="0"/>
    </xf>
    <xf numFmtId="0" fontId="0" fillId="8" borderId="23" xfId="0" applyFill="1" applyBorder="1"/>
    <xf numFmtId="0" fontId="0" fillId="8" borderId="14" xfId="0" applyFill="1" applyBorder="1"/>
    <xf numFmtId="0" fontId="0" fillId="8" borderId="24" xfId="0" applyFill="1" applyBorder="1"/>
    <xf numFmtId="0" fontId="16" fillId="9" borderId="17" xfId="0" applyFont="1" applyFill="1" applyBorder="1" applyAlignment="1">
      <alignment vertical="center"/>
    </xf>
    <xf numFmtId="0" fontId="16" fillId="9" borderId="19" xfId="0" applyFont="1" applyFill="1" applyBorder="1" applyAlignment="1">
      <alignment vertical="center"/>
    </xf>
    <xf numFmtId="0" fontId="9" fillId="10" borderId="22" xfId="0" applyFont="1" applyFill="1" applyBorder="1" applyAlignment="1">
      <alignment vertical="center"/>
    </xf>
    <xf numFmtId="0" fontId="9" fillId="10" borderId="22" xfId="0" applyFont="1" applyFill="1" applyBorder="1" applyAlignment="1">
      <alignment horizontal="center" vertical="center"/>
    </xf>
    <xf numFmtId="0" fontId="0" fillId="0" borderId="22" xfId="0" applyFill="1" applyBorder="1" applyAlignment="1" applyProtection="1">
      <alignment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2" borderId="22" xfId="0" applyFill="1" applyBorder="1" applyAlignment="1" applyProtection="1">
      <alignment horizontal="center" vertical="center"/>
      <protection locked="0"/>
    </xf>
    <xf numFmtId="0" fontId="0" fillId="13" borderId="22" xfId="0" applyFill="1" applyBorder="1" applyAlignment="1" applyProtection="1">
      <alignment horizontal="center" vertical="center"/>
      <protection locked="0"/>
    </xf>
    <xf numFmtId="0" fontId="0" fillId="14" borderId="22" xfId="0" applyFill="1" applyBorder="1" applyAlignment="1" applyProtection="1">
      <alignment horizontal="center" vertical="center"/>
      <protection locked="0"/>
    </xf>
    <xf numFmtId="0" fontId="0" fillId="15" borderId="22" xfId="0" applyFill="1" applyBorder="1" applyAlignment="1" applyProtection="1">
      <alignment horizontal="center" vertical="center"/>
      <protection locked="0"/>
    </xf>
    <xf numFmtId="0" fontId="9" fillId="8" borderId="0" xfId="0" applyFont="1" applyFill="1" applyBorder="1" applyAlignment="1">
      <alignment horizontal="left" vertical="center"/>
    </xf>
    <xf numFmtId="0" fontId="0" fillId="17" borderId="22" xfId="0" applyFill="1" applyBorder="1" applyAlignment="1" applyProtection="1">
      <alignment vertical="center"/>
      <protection locked="0"/>
    </xf>
    <xf numFmtId="0" fontId="0" fillId="18" borderId="22" xfId="0" applyFill="1" applyBorder="1" applyProtection="1">
      <protection locked="0"/>
    </xf>
    <xf numFmtId="0" fontId="13" fillId="2" borderId="25" xfId="0" applyFont="1" applyFill="1" applyBorder="1" applyAlignment="1" applyProtection="1">
      <alignment horizontal="left" vertical="center"/>
      <protection hidden="1"/>
    </xf>
    <xf numFmtId="0" fontId="17" fillId="2" borderId="0" xfId="5" applyFill="1"/>
    <xf numFmtId="0" fontId="17" fillId="2" borderId="0" xfId="5" applyFill="1" applyAlignment="1">
      <alignment horizontal="center"/>
    </xf>
    <xf numFmtId="0" fontId="1" fillId="2" borderId="0" xfId="5" applyFont="1" applyFill="1" applyAlignment="1">
      <alignment vertical="center"/>
    </xf>
    <xf numFmtId="49" fontId="1" fillId="2" borderId="0" xfId="5" applyNumberFormat="1" applyFont="1" applyFill="1" applyAlignment="1">
      <alignment horizontal="center" vertical="center"/>
    </xf>
    <xf numFmtId="0" fontId="1" fillId="2" borderId="0" xfId="5" applyFont="1" applyFill="1" applyAlignment="1">
      <alignment horizontal="center" vertical="center"/>
    </xf>
    <xf numFmtId="49" fontId="3" fillId="3" borderId="0" xfId="5" applyNumberFormat="1" applyFont="1" applyFill="1" applyAlignment="1">
      <alignment horizontal="left" vertical="center" indent="7"/>
    </xf>
    <xf numFmtId="0" fontId="6" fillId="2" borderId="0" xfId="5" applyFont="1" applyFill="1" applyAlignment="1">
      <alignment vertical="center"/>
    </xf>
    <xf numFmtId="49" fontId="3" fillId="3" borderId="0" xfId="5" applyNumberFormat="1" applyFont="1" applyFill="1" applyAlignment="1">
      <alignment horizontal="left" vertical="center"/>
    </xf>
    <xf numFmtId="0" fontId="4" fillId="2" borderId="0" xfId="5" applyFont="1" applyFill="1" applyAlignment="1">
      <alignment horizontal="left" vertical="center"/>
    </xf>
    <xf numFmtId="0" fontId="4" fillId="3" borderId="0" xfId="5" applyFont="1" applyFill="1" applyAlignment="1">
      <alignment horizontal="left" vertical="center"/>
    </xf>
    <xf numFmtId="49" fontId="5" fillId="4" borderId="0" xfId="5" applyNumberFormat="1" applyFont="1" applyFill="1" applyAlignment="1">
      <alignment horizontal="left" vertical="center" indent="7"/>
    </xf>
    <xf numFmtId="49" fontId="5" fillId="4" borderId="0" xfId="5" applyNumberFormat="1" applyFont="1" applyFill="1" applyAlignment="1">
      <alignment vertical="center"/>
    </xf>
    <xf numFmtId="0" fontId="5" fillId="4" borderId="0" xfId="5" applyFont="1" applyFill="1" applyAlignment="1">
      <alignment vertical="center"/>
    </xf>
    <xf numFmtId="0" fontId="17" fillId="2" borderId="0" xfId="8" applyFill="1" applyAlignment="1">
      <alignment horizontal="center"/>
    </xf>
    <xf numFmtId="0" fontId="17" fillId="2" borderId="0" xfId="8" applyFill="1"/>
    <xf numFmtId="0" fontId="17" fillId="2" borderId="0" xfId="8" applyFill="1" applyAlignment="1">
      <alignment horizontal="center" vertical="center"/>
    </xf>
    <xf numFmtId="0" fontId="17" fillId="2" borderId="0" xfId="8" applyFill="1" applyAlignment="1">
      <alignment vertical="center"/>
    </xf>
    <xf numFmtId="0" fontId="9" fillId="2" borderId="22" xfId="8" applyFont="1" applyFill="1" applyBorder="1" applyAlignment="1">
      <alignment horizontal="center" vertical="center" shrinkToFit="1"/>
    </xf>
    <xf numFmtId="0" fontId="7" fillId="19" borderId="1" xfId="8" applyFont="1" applyFill="1" applyBorder="1" applyAlignment="1">
      <alignment horizontal="centerContinuous" vertical="center"/>
    </xf>
    <xf numFmtId="0" fontId="7" fillId="19" borderId="2" xfId="8" applyFont="1" applyFill="1" applyBorder="1" applyAlignment="1">
      <alignment horizontal="centerContinuous" vertical="center"/>
    </xf>
    <xf numFmtId="0" fontId="7" fillId="19" borderId="3" xfId="8" applyFont="1" applyFill="1" applyBorder="1" applyAlignment="1">
      <alignment horizontal="centerContinuous" vertical="center"/>
    </xf>
    <xf numFmtId="0" fontId="7" fillId="20" borderId="1" xfId="8" applyFont="1" applyFill="1" applyBorder="1" applyAlignment="1">
      <alignment horizontal="centerContinuous" vertical="center"/>
    </xf>
    <xf numFmtId="0" fontId="7" fillId="20" borderId="2" xfId="8" applyFont="1" applyFill="1" applyBorder="1" applyAlignment="1">
      <alignment horizontal="centerContinuous" vertical="center"/>
    </xf>
    <xf numFmtId="0" fontId="7" fillId="20" borderId="3" xfId="8" applyFont="1" applyFill="1" applyBorder="1" applyAlignment="1">
      <alignment horizontal="centerContinuous" vertical="center"/>
    </xf>
    <xf numFmtId="0" fontId="7" fillId="21" borderId="1" xfId="8" applyFont="1" applyFill="1" applyBorder="1" applyAlignment="1">
      <alignment horizontal="centerContinuous" vertical="center"/>
    </xf>
    <xf numFmtId="0" fontId="7" fillId="21" borderId="2" xfId="8" applyFont="1" applyFill="1" applyBorder="1" applyAlignment="1">
      <alignment horizontal="centerContinuous" vertical="center"/>
    </xf>
    <xf numFmtId="0" fontId="7" fillId="22" borderId="1" xfId="8" applyFont="1" applyFill="1" applyBorder="1" applyAlignment="1">
      <alignment horizontal="centerContinuous" vertical="center"/>
    </xf>
    <xf numFmtId="0" fontId="7" fillId="22" borderId="2" xfId="8" applyFont="1" applyFill="1" applyBorder="1" applyAlignment="1">
      <alignment horizontal="centerContinuous" vertical="center"/>
    </xf>
    <xf numFmtId="0" fontId="17" fillId="2" borderId="26" xfId="8" applyFill="1" applyBorder="1" applyAlignment="1">
      <alignment horizontal="center" vertical="center"/>
    </xf>
    <xf numFmtId="0" fontId="7" fillId="23" borderId="1" xfId="8" applyFont="1" applyFill="1" applyBorder="1" applyAlignment="1">
      <alignment horizontal="centerContinuous" vertical="center"/>
    </xf>
    <xf numFmtId="0" fontId="7" fillId="23" borderId="2" xfId="8" applyFont="1" applyFill="1" applyBorder="1" applyAlignment="1">
      <alignment horizontal="centerContinuous" vertical="center"/>
    </xf>
    <xf numFmtId="0" fontId="7" fillId="23" borderId="3" xfId="8" applyFont="1" applyFill="1" applyBorder="1" applyAlignment="1">
      <alignment horizontal="centerContinuous" vertical="center"/>
    </xf>
    <xf numFmtId="0" fontId="7" fillId="24" borderId="1" xfId="8" applyFont="1" applyFill="1" applyBorder="1" applyAlignment="1">
      <alignment horizontal="centerContinuous" vertical="center"/>
    </xf>
    <xf numFmtId="0" fontId="7" fillId="24" borderId="2" xfId="8" applyFont="1" applyFill="1" applyBorder="1" applyAlignment="1">
      <alignment horizontal="centerContinuous" vertical="center"/>
    </xf>
    <xf numFmtId="0" fontId="7" fillId="24" borderId="3" xfId="8" applyFont="1" applyFill="1" applyBorder="1" applyAlignment="1">
      <alignment horizontal="centerContinuous" vertical="center"/>
    </xf>
    <xf numFmtId="0" fontId="15" fillId="22" borderId="1" xfId="8" applyFont="1" applyFill="1" applyBorder="1" applyAlignment="1">
      <alignment horizontal="centerContinuous" vertical="center"/>
    </xf>
    <xf numFmtId="0" fontId="16" fillId="22" borderId="2" xfId="8" applyFont="1" applyFill="1" applyBorder="1" applyAlignment="1">
      <alignment horizontal="centerContinuous" vertical="center"/>
    </xf>
    <xf numFmtId="0" fontId="17" fillId="2" borderId="20" xfId="8" applyFill="1" applyBorder="1" applyAlignment="1">
      <alignment vertical="center"/>
    </xf>
    <xf numFmtId="0" fontId="9" fillId="2" borderId="22" xfId="8" applyFont="1" applyFill="1" applyBorder="1" applyAlignment="1">
      <alignment horizontal="center" vertical="center"/>
    </xf>
    <xf numFmtId="0" fontId="17" fillId="2" borderId="22" xfId="8" applyFill="1" applyBorder="1" applyAlignment="1">
      <alignment horizontal="center"/>
    </xf>
    <xf numFmtId="0" fontId="9" fillId="25" borderId="27" xfId="8" applyFont="1" applyFill="1" applyBorder="1" applyAlignment="1">
      <alignment horizontal="center"/>
    </xf>
    <xf numFmtId="0" fontId="9" fillId="25" borderId="22" xfId="8" applyFont="1" applyFill="1" applyBorder="1" applyAlignment="1">
      <alignment horizontal="center"/>
    </xf>
    <xf numFmtId="0" fontId="19" fillId="26" borderId="27" xfId="8" applyFont="1" applyFill="1" applyBorder="1" applyAlignment="1">
      <alignment horizontal="center"/>
    </xf>
    <xf numFmtId="0" fontId="9" fillId="8" borderId="27" xfId="8" applyFont="1" applyFill="1" applyBorder="1" applyAlignment="1">
      <alignment horizontal="center" vertical="center"/>
    </xf>
    <xf numFmtId="0" fontId="9" fillId="8" borderId="22" xfId="8" applyFont="1" applyFill="1" applyBorder="1" applyAlignment="1">
      <alignment horizontal="center"/>
    </xf>
    <xf numFmtId="0" fontId="9" fillId="16" borderId="22" xfId="8" applyFont="1" applyFill="1" applyBorder="1" applyAlignment="1">
      <alignment horizontal="center"/>
    </xf>
    <xf numFmtId="0" fontId="9" fillId="2" borderId="1" xfId="8" applyFont="1" applyFill="1" applyBorder="1" applyAlignment="1">
      <alignment horizontal="centerContinuous"/>
    </xf>
    <xf numFmtId="0" fontId="9" fillId="2" borderId="2" xfId="8" applyFont="1" applyFill="1" applyBorder="1" applyAlignment="1">
      <alignment horizontal="centerContinuous"/>
    </xf>
    <xf numFmtId="0" fontId="9" fillId="2" borderId="3" xfId="8" applyFont="1" applyFill="1" applyBorder="1" applyAlignment="1">
      <alignment horizontal="centerContinuous"/>
    </xf>
    <xf numFmtId="0" fontId="9" fillId="10" borderId="1" xfId="8" applyFont="1" applyFill="1" applyBorder="1" applyAlignment="1">
      <alignment horizontal="centerContinuous"/>
    </xf>
    <xf numFmtId="0" fontId="9" fillId="10" borderId="2" xfId="8" applyFont="1" applyFill="1" applyBorder="1" applyAlignment="1">
      <alignment horizontal="centerContinuous"/>
    </xf>
    <xf numFmtId="0" fontId="9" fillId="10" borderId="28" xfId="8" applyFont="1" applyFill="1" applyBorder="1" applyAlignment="1">
      <alignment horizontal="centerContinuous"/>
    </xf>
    <xf numFmtId="0" fontId="9" fillId="10" borderId="3" xfId="8" applyFont="1" applyFill="1" applyBorder="1" applyAlignment="1">
      <alignment horizontal="centerContinuous"/>
    </xf>
    <xf numFmtId="0" fontId="17" fillId="0" borderId="22" xfId="8" applyFill="1" applyBorder="1" applyAlignment="1">
      <alignment horizontal="center"/>
    </xf>
    <xf numFmtId="0" fontId="17" fillId="25" borderId="22" xfId="8" applyFont="1" applyFill="1" applyBorder="1" applyAlignment="1">
      <alignment horizontal="center"/>
    </xf>
    <xf numFmtId="0" fontId="17" fillId="25" borderId="22" xfId="8" applyFill="1" applyBorder="1" applyAlignment="1">
      <alignment horizontal="center"/>
    </xf>
    <xf numFmtId="0" fontId="9" fillId="27" borderId="1" xfId="8" applyFont="1" applyFill="1" applyBorder="1" applyAlignment="1">
      <alignment horizontal="centerContinuous"/>
    </xf>
    <xf numFmtId="0" fontId="9" fillId="27" borderId="2" xfId="8" applyFont="1" applyFill="1" applyBorder="1" applyAlignment="1">
      <alignment horizontal="centerContinuous"/>
    </xf>
    <xf numFmtId="0" fontId="9" fillId="27" borderId="3" xfId="8" applyFont="1" applyFill="1" applyBorder="1" applyAlignment="1">
      <alignment horizontal="centerContinuous"/>
    </xf>
    <xf numFmtId="0" fontId="17" fillId="2" borderId="20" xfId="8" applyFill="1" applyBorder="1"/>
    <xf numFmtId="0" fontId="9" fillId="26" borderId="1" xfId="8" applyFont="1" applyFill="1" applyBorder="1" applyAlignment="1">
      <alignment horizontal="centerContinuous"/>
    </xf>
    <xf numFmtId="0" fontId="9" fillId="26" borderId="2" xfId="8" applyFont="1" applyFill="1" applyBorder="1" applyAlignment="1">
      <alignment horizontal="centerContinuous"/>
    </xf>
    <xf numFmtId="0" fontId="9" fillId="26" borderId="28" xfId="8" applyFont="1" applyFill="1" applyBorder="1" applyAlignment="1">
      <alignment horizontal="centerContinuous"/>
    </xf>
    <xf numFmtId="0" fontId="9" fillId="26" borderId="28" xfId="8" applyFont="1" applyFill="1" applyBorder="1" applyAlignment="1">
      <alignment horizontal="centerContinuous" vertical="center"/>
    </xf>
    <xf numFmtId="0" fontId="9" fillId="26" borderId="2" xfId="8" applyFont="1" applyFill="1" applyBorder="1" applyAlignment="1">
      <alignment horizontal="centerContinuous" vertical="center"/>
    </xf>
    <xf numFmtId="0" fontId="9" fillId="26" borderId="29" xfId="8" applyFont="1" applyFill="1" applyBorder="1" applyAlignment="1">
      <alignment horizontal="centerContinuous" vertical="center"/>
    </xf>
    <xf numFmtId="0" fontId="9" fillId="26" borderId="3" xfId="8" applyFont="1" applyFill="1" applyBorder="1" applyAlignment="1">
      <alignment horizontal="centerContinuous"/>
    </xf>
    <xf numFmtId="0" fontId="20" fillId="8" borderId="22" xfId="8" applyFont="1" applyFill="1" applyBorder="1" applyAlignment="1">
      <alignment horizontal="center"/>
    </xf>
    <xf numFmtId="0" fontId="17" fillId="8" borderId="22" xfId="8" applyFill="1" applyBorder="1" applyAlignment="1">
      <alignment horizontal="centerContinuous"/>
    </xf>
    <xf numFmtId="0" fontId="17" fillId="2" borderId="14" xfId="8" applyFill="1" applyBorder="1" applyAlignment="1">
      <alignment horizontal="centerContinuous"/>
    </xf>
    <xf numFmtId="0" fontId="19" fillId="16" borderId="22" xfId="8" applyFont="1" applyFill="1" applyBorder="1" applyAlignment="1">
      <alignment horizontal="center"/>
    </xf>
    <xf numFmtId="0" fontId="17" fillId="16" borderId="22" xfId="8" applyFill="1" applyBorder="1" applyAlignment="1">
      <alignment horizontal="center"/>
    </xf>
    <xf numFmtId="0" fontId="9" fillId="2" borderId="22" xfId="8" applyFont="1" applyFill="1" applyBorder="1" applyAlignment="1">
      <alignment horizontal="center" vertical="center" wrapText="1"/>
    </xf>
    <xf numFmtId="0" fontId="9" fillId="2" borderId="22" xfId="8" applyFont="1" applyFill="1" applyBorder="1" applyAlignment="1">
      <alignment vertical="center" wrapText="1"/>
    </xf>
    <xf numFmtId="0" fontId="9" fillId="2" borderId="0" xfId="8" applyFont="1" applyFill="1" applyAlignment="1">
      <alignment vertical="center" wrapText="1"/>
    </xf>
    <xf numFmtId="0" fontId="9" fillId="10" borderId="22" xfId="8" applyFont="1" applyFill="1" applyBorder="1" applyAlignment="1">
      <alignment horizontal="centerContinuous" vertical="center"/>
    </xf>
    <xf numFmtId="0" fontId="9" fillId="10" borderId="30" xfId="8" applyFont="1" applyFill="1" applyBorder="1" applyAlignment="1">
      <alignment horizontal="centerContinuous" vertical="center"/>
    </xf>
    <xf numFmtId="0" fontId="9" fillId="10" borderId="22" xfId="8" applyFont="1" applyFill="1" applyBorder="1" applyAlignment="1">
      <alignment horizontal="center" vertical="center" wrapText="1"/>
    </xf>
    <xf numFmtId="0" fontId="9" fillId="2" borderId="0" xfId="8" applyFont="1" applyFill="1" applyAlignment="1">
      <alignment horizontal="center" vertical="center" wrapText="1"/>
    </xf>
    <xf numFmtId="0" fontId="9" fillId="25" borderId="22" xfId="8" applyFont="1" applyFill="1" applyBorder="1" applyAlignment="1">
      <alignment horizontal="center" vertical="center" wrapText="1"/>
    </xf>
    <xf numFmtId="0" fontId="9" fillId="25" borderId="1" xfId="8" applyFont="1" applyFill="1" applyBorder="1" applyAlignment="1">
      <alignment horizontal="center" vertical="center" wrapText="1"/>
    </xf>
    <xf numFmtId="0" fontId="9" fillId="25" borderId="31" xfId="8" applyFont="1" applyFill="1" applyBorder="1" applyAlignment="1">
      <alignment horizontal="center" vertical="center" wrapText="1"/>
    </xf>
    <xf numFmtId="0" fontId="9" fillId="27" borderId="22" xfId="8" applyFont="1" applyFill="1" applyBorder="1" applyAlignment="1">
      <alignment horizontal="centerContinuous" vertical="center"/>
    </xf>
    <xf numFmtId="0" fontId="9" fillId="27" borderId="22" xfId="8" applyFont="1" applyFill="1" applyBorder="1" applyAlignment="1">
      <alignment horizontal="center" vertical="center" wrapText="1"/>
    </xf>
    <xf numFmtId="0" fontId="9" fillId="27" borderId="1" xfId="8" applyFont="1" applyFill="1" applyBorder="1" applyAlignment="1">
      <alignment horizontal="centerContinuous" vertical="center"/>
    </xf>
    <xf numFmtId="0" fontId="9" fillId="16" borderId="22" xfId="8" applyFont="1" applyFill="1" applyBorder="1" applyAlignment="1">
      <alignment horizontal="centerContinuous" vertical="center"/>
    </xf>
    <xf numFmtId="0" fontId="9" fillId="26" borderId="22" xfId="8" applyFont="1" applyFill="1" applyBorder="1" applyAlignment="1">
      <alignment vertical="center" wrapText="1"/>
    </xf>
    <xf numFmtId="0" fontId="9" fillId="26" borderId="1" xfId="8" applyFont="1" applyFill="1" applyBorder="1" applyAlignment="1">
      <alignment horizontal="center" vertical="center" wrapText="1"/>
    </xf>
    <xf numFmtId="0" fontId="9" fillId="26" borderId="30" xfId="8" applyFont="1" applyFill="1" applyBorder="1" applyAlignment="1">
      <alignment horizontal="centerContinuous" vertical="center"/>
    </xf>
    <xf numFmtId="0" fontId="9" fillId="26" borderId="22" xfId="8" applyFont="1" applyFill="1" applyBorder="1" applyAlignment="1">
      <alignment horizontal="centerContinuous" vertical="center"/>
    </xf>
    <xf numFmtId="0" fontId="9" fillId="26" borderId="30" xfId="8" applyFont="1" applyFill="1" applyBorder="1" applyAlignment="1">
      <alignment horizontal="center" vertical="center" wrapText="1"/>
    </xf>
    <xf numFmtId="0" fontId="9" fillId="26" borderId="22" xfId="8" applyFont="1" applyFill="1" applyBorder="1" applyAlignment="1">
      <alignment horizontal="center" vertical="center" wrapText="1"/>
    </xf>
    <xf numFmtId="0" fontId="9" fillId="26" borderId="32" xfId="8" applyFont="1" applyFill="1" applyBorder="1" applyAlignment="1">
      <alignment horizontal="center" vertical="center" wrapText="1"/>
    </xf>
    <xf numFmtId="0" fontId="9" fillId="26" borderId="3" xfId="8" applyFont="1" applyFill="1" applyBorder="1" applyAlignment="1">
      <alignment horizontal="center" vertical="center" wrapText="1"/>
    </xf>
    <xf numFmtId="0" fontId="9" fillId="8" borderId="27" xfId="8" applyFont="1" applyFill="1" applyBorder="1" applyAlignment="1">
      <alignment horizontal="center" vertical="center" wrapText="1"/>
    </xf>
    <xf numFmtId="0" fontId="9" fillId="8" borderId="22" xfId="8" applyFont="1" applyFill="1" applyBorder="1" applyAlignment="1">
      <alignment horizontal="center" vertical="center" wrapText="1"/>
    </xf>
    <xf numFmtId="0" fontId="9" fillId="8" borderId="22" xfId="8" applyFont="1" applyFill="1" applyBorder="1" applyAlignment="1">
      <alignment vertical="center" wrapText="1"/>
    </xf>
    <xf numFmtId="0" fontId="9" fillId="16" borderId="22" xfId="8" applyFont="1" applyFill="1" applyBorder="1" applyAlignment="1">
      <alignment horizontal="center" vertical="center" wrapText="1"/>
    </xf>
    <xf numFmtId="0" fontId="17" fillId="2" borderId="22" xfId="8" applyNumberFormat="1" applyFill="1" applyBorder="1" applyAlignment="1">
      <alignment horizontal="center"/>
    </xf>
    <xf numFmtId="0" fontId="17" fillId="2" borderId="22" xfId="8" applyFill="1" applyBorder="1"/>
    <xf numFmtId="0" fontId="17" fillId="10" borderId="22" xfId="8" applyFill="1" applyBorder="1" applyAlignment="1">
      <alignment horizontal="center" shrinkToFit="1"/>
    </xf>
    <xf numFmtId="0" fontId="17" fillId="10" borderId="30" xfId="8" applyFill="1" applyBorder="1" applyAlignment="1">
      <alignment horizontal="center" shrinkToFit="1"/>
    </xf>
    <xf numFmtId="0" fontId="17" fillId="10" borderId="22" xfId="8" applyFill="1" applyBorder="1" applyAlignment="1">
      <alignment horizontal="center" vertical="center" shrinkToFit="1"/>
    </xf>
    <xf numFmtId="0" fontId="17" fillId="10" borderId="22" xfId="8" applyFill="1" applyBorder="1" applyAlignment="1">
      <alignment horizontal="center"/>
    </xf>
    <xf numFmtId="0" fontId="17" fillId="25" borderId="33" xfId="8" applyFill="1" applyBorder="1" applyAlignment="1">
      <alignment horizontal="center"/>
    </xf>
    <xf numFmtId="0" fontId="17" fillId="25" borderId="1" xfId="8" applyFill="1" applyBorder="1" applyAlignment="1">
      <alignment horizontal="center"/>
    </xf>
    <xf numFmtId="0" fontId="17" fillId="25" borderId="31" xfId="8" applyFill="1" applyBorder="1" applyAlignment="1">
      <alignment horizontal="center"/>
    </xf>
    <xf numFmtId="0" fontId="17" fillId="27" borderId="22" xfId="8" applyFill="1" applyBorder="1" applyAlignment="1">
      <alignment horizontal="center" shrinkToFit="1"/>
    </xf>
    <xf numFmtId="0" fontId="17" fillId="27" borderId="22" xfId="8" applyFill="1" applyBorder="1"/>
    <xf numFmtId="0" fontId="17" fillId="27" borderId="22" xfId="8" applyFill="1" applyBorder="1" applyAlignment="1">
      <alignment horizontal="center"/>
    </xf>
    <xf numFmtId="0" fontId="17" fillId="16" borderId="22" xfId="8" applyFill="1" applyBorder="1" applyAlignment="1">
      <alignment horizontal="center" shrinkToFit="1"/>
    </xf>
    <xf numFmtId="0" fontId="17" fillId="26" borderId="22" xfId="8" applyFill="1" applyBorder="1"/>
    <xf numFmtId="0" fontId="17" fillId="26" borderId="1" xfId="8" applyFill="1" applyBorder="1" applyAlignment="1">
      <alignment horizontal="center"/>
    </xf>
    <xf numFmtId="0" fontId="17" fillId="26" borderId="30" xfId="8" applyFill="1" applyBorder="1" applyAlignment="1">
      <alignment horizontal="center" shrinkToFit="1"/>
    </xf>
    <xf numFmtId="0" fontId="17" fillId="26" borderId="22" xfId="8" applyFill="1" applyBorder="1" applyAlignment="1">
      <alignment horizontal="center" shrinkToFit="1"/>
    </xf>
    <xf numFmtId="0" fontId="17" fillId="26" borderId="30" xfId="8" applyFill="1" applyBorder="1" applyAlignment="1">
      <alignment horizontal="center"/>
    </xf>
    <xf numFmtId="0" fontId="17" fillId="26" borderId="22" xfId="8" applyFill="1" applyBorder="1" applyAlignment="1">
      <alignment horizontal="center"/>
    </xf>
    <xf numFmtId="0" fontId="17" fillId="26" borderId="32" xfId="8" applyFill="1" applyBorder="1" applyAlignment="1">
      <alignment horizontal="center"/>
    </xf>
    <xf numFmtId="0" fontId="17" fillId="26" borderId="34" xfId="8" applyFill="1" applyBorder="1" applyAlignment="1">
      <alignment horizontal="center"/>
    </xf>
    <xf numFmtId="0" fontId="17" fillId="26" borderId="35" xfId="8" applyFill="1" applyBorder="1" applyAlignment="1">
      <alignment horizontal="center"/>
    </xf>
    <xf numFmtId="0" fontId="17" fillId="8" borderId="22" xfId="8" applyFill="1" applyBorder="1" applyAlignment="1">
      <alignment horizontal="center" vertical="center" shrinkToFit="1"/>
    </xf>
    <xf numFmtId="0" fontId="17" fillId="8" borderId="22" xfId="8" applyFill="1" applyBorder="1"/>
    <xf numFmtId="0" fontId="17" fillId="8" borderId="22" xfId="8" applyFill="1" applyBorder="1" applyAlignment="1">
      <alignment horizontal="center"/>
    </xf>
    <xf numFmtId="0" fontId="17" fillId="8" borderId="22" xfId="8" applyFill="1" applyBorder="1" applyAlignment="1">
      <alignment horizontal="center" vertical="center"/>
    </xf>
    <xf numFmtId="0" fontId="17" fillId="16" borderId="22" xfId="8" applyFill="1" applyBorder="1"/>
    <xf numFmtId="0" fontId="17" fillId="25" borderId="36" xfId="8" applyFill="1" applyBorder="1" applyAlignment="1">
      <alignment horizontal="center"/>
    </xf>
    <xf numFmtId="0" fontId="9" fillId="27" borderId="22" xfId="8" applyFont="1" applyFill="1" applyBorder="1" applyAlignment="1">
      <alignment horizontal="center"/>
    </xf>
    <xf numFmtId="0" fontId="17" fillId="26" borderId="37" xfId="8" applyFill="1" applyBorder="1" applyAlignment="1">
      <alignment horizontal="center"/>
    </xf>
    <xf numFmtId="0" fontId="17" fillId="26" borderId="38" xfId="8" applyFill="1" applyBorder="1" applyAlignment="1">
      <alignment horizontal="center"/>
    </xf>
    <xf numFmtId="0" fontId="17" fillId="27" borderId="26" xfId="8" applyFill="1" applyBorder="1" applyAlignment="1">
      <alignment horizontal="center"/>
    </xf>
    <xf numFmtId="0" fontId="17" fillId="26" borderId="39" xfId="8" applyFill="1" applyBorder="1" applyAlignment="1">
      <alignment horizontal="center"/>
    </xf>
    <xf numFmtId="0" fontId="17" fillId="26" borderId="40" xfId="8" applyFill="1" applyBorder="1" applyAlignment="1">
      <alignment horizontal="center"/>
    </xf>
    <xf numFmtId="0" fontId="17" fillId="28" borderId="36" xfId="8" applyFill="1" applyBorder="1" applyAlignment="1">
      <alignment horizontal="center"/>
    </xf>
    <xf numFmtId="0" fontId="21" fillId="27" borderId="22" xfId="8" applyFont="1" applyFill="1" applyBorder="1"/>
    <xf numFmtId="0" fontId="21" fillId="27" borderId="22" xfId="8" applyFont="1" applyFill="1" applyBorder="1" applyAlignment="1">
      <alignment horizontal="center"/>
    </xf>
    <xf numFmtId="0" fontId="17" fillId="27" borderId="27" xfId="8" applyFill="1" applyBorder="1" applyAlignment="1">
      <alignment horizontal="center"/>
    </xf>
    <xf numFmtId="0" fontId="17" fillId="16" borderId="27" xfId="8" applyFill="1" applyBorder="1" applyAlignment="1">
      <alignment horizontal="center"/>
    </xf>
    <xf numFmtId="0" fontId="9" fillId="27" borderId="1" xfId="8" applyFont="1" applyFill="1" applyBorder="1"/>
    <xf numFmtId="0" fontId="17" fillId="27" borderId="2" xfId="8" applyFill="1" applyBorder="1" applyAlignment="1">
      <alignment horizontal="center"/>
    </xf>
    <xf numFmtId="0" fontId="17" fillId="27" borderId="3" xfId="8" applyFill="1" applyBorder="1"/>
    <xf numFmtId="0" fontId="17" fillId="27" borderId="41" xfId="8" applyFill="1" applyBorder="1" applyAlignment="1">
      <alignment horizontal="center"/>
    </xf>
    <xf numFmtId="0" fontId="17" fillId="26" borderId="3" xfId="8" applyFill="1" applyBorder="1" applyAlignment="1">
      <alignment horizontal="center"/>
    </xf>
    <xf numFmtId="0" fontId="17" fillId="28" borderId="42" xfId="8" applyFill="1" applyBorder="1" applyAlignment="1">
      <alignment horizontal="center"/>
    </xf>
    <xf numFmtId="0" fontId="17" fillId="29" borderId="0" xfId="5" applyFill="1" applyBorder="1"/>
    <xf numFmtId="0" fontId="0" fillId="29" borderId="0" xfId="0" applyFill="1" applyBorder="1"/>
    <xf numFmtId="0" fontId="0" fillId="0" borderId="0" xfId="0"/>
    <xf numFmtId="0" fontId="0" fillId="30" borderId="22" xfId="0" applyFill="1" applyBorder="1" applyAlignment="1" applyProtection="1">
      <alignment horizontal="center" vertical="center"/>
      <protection locked="0"/>
    </xf>
    <xf numFmtId="0" fontId="0" fillId="2" borderId="22" xfId="8" applyFont="1" applyFill="1" applyBorder="1" applyAlignment="1">
      <alignment horizontal="center"/>
    </xf>
    <xf numFmtId="0" fontId="0" fillId="2" borderId="22" xfId="8" applyFont="1" applyFill="1" applyBorder="1"/>
    <xf numFmtId="0" fontId="0" fillId="2" borderId="22" xfId="8" applyNumberFormat="1" applyFont="1" applyFill="1" applyBorder="1" applyAlignment="1">
      <alignment horizontal="center"/>
    </xf>
    <xf numFmtId="49" fontId="0" fillId="2" borderId="0" xfId="0" applyNumberFormat="1" applyFill="1" applyAlignment="1" applyProtection="1">
      <alignment horizontal="center" vertical="center" shrinkToFit="1"/>
      <protection locked="0"/>
    </xf>
    <xf numFmtId="49" fontId="0" fillId="2" borderId="0" xfId="0" applyNumberFormat="1" applyFill="1" applyAlignment="1" applyProtection="1">
      <alignment vertical="center" shrinkToFit="1"/>
      <protection locked="0"/>
    </xf>
    <xf numFmtId="0" fontId="1" fillId="0" borderId="22" xfId="5" applyFont="1" applyFill="1" applyBorder="1" applyAlignment="1">
      <alignment vertical="center"/>
    </xf>
  </cellXfs>
  <cellStyles count="9">
    <cellStyle name="Normal" xfId="0" builtinId="0"/>
    <cellStyle name="Normal 2" xfId="8" xr:uid="{00000000-0005-0000-0000-000001000000}"/>
    <cellStyle name="Normal 2 2" xfId="1" xr:uid="{00000000-0005-0000-0000-000002000000}"/>
    <cellStyle name="Normal 2 2 2" xfId="3" xr:uid="{00000000-0005-0000-0000-000003000000}"/>
    <cellStyle name="Normal 2 2 3" xfId="7" xr:uid="{00000000-0005-0000-0000-000004000000}"/>
    <cellStyle name="Normal 2 3" xfId="6" xr:uid="{00000000-0005-0000-0000-000005000000}"/>
    <cellStyle name="Normal 3" xfId="2" xr:uid="{00000000-0005-0000-0000-000006000000}"/>
    <cellStyle name="Normal 3 2" xfId="4" xr:uid="{00000000-0005-0000-0000-000007000000}"/>
    <cellStyle name="Normal 4" xfId="5" xr:uid="{00000000-0005-0000-0000-000008000000}"/>
  </cellStyles>
  <dxfs count="9"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alignment vertical="center" textRotation="0" wrapText="0" indent="0" justifyLastLine="0" shrinkToFit="1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4" tint="0.79998168889431442"/>
        </patternFill>
      </fill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Flowchart!A4"/><Relationship Id="rId1" Type="http://schemas.openxmlformats.org/officeDocument/2006/relationships/hyperlink" Target="#'Terms of Use'!A4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Dashboard!A7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616350</xdr:colOff>
      <xdr:row>1</xdr:row>
      <xdr:rowOff>95872</xdr:rowOff>
    </xdr:from>
    <xdr:to>
      <xdr:col>6</xdr:col>
      <xdr:colOff>750570</xdr:colOff>
      <xdr:row>3</xdr:row>
      <xdr:rowOff>28575</xdr:rowOff>
    </xdr:to>
    <xdr:sp macro="[0]!CreateFlowchart" textlink="">
      <xdr:nvSpPr>
        <xdr:cNvPr id="4" name="Rectangle: Rounded Corners 8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828430" y="278752"/>
          <a:ext cx="1482960" cy="420383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CREATE FLOWCHART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14</xdr:col>
      <xdr:colOff>255495</xdr:colOff>
      <xdr:row>5</xdr:row>
      <xdr:rowOff>2752</xdr:rowOff>
    </xdr:from>
    <xdr:to>
      <xdr:col>20</xdr:col>
      <xdr:colOff>487135</xdr:colOff>
      <xdr:row>12</xdr:row>
      <xdr:rowOff>112358</xdr:rowOff>
    </xdr:to>
    <xdr:sp macro="" textlink="">
      <xdr:nvSpPr>
        <xdr:cNvPr id="5" name="yellownotes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580845" y="1012402"/>
          <a:ext cx="3222490" cy="1662181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108000" rIns="54000" bIns="108000" rtlCol="0" anchor="ctr">
          <a:spAutoFit/>
        </a:bodyPr>
        <a:lstStyle/>
        <a:p>
          <a:pPr marL="0" indent="0" algn="ctr">
            <a:lnSpc>
              <a:spcPts val="1100"/>
            </a:lnSpc>
            <a:spcAft>
              <a:spcPts val="300"/>
            </a:spcAft>
            <a:buFont typeface="Arial" panose="020B0604020202020204" pitchFamily="34" charset="0"/>
            <a:buNone/>
          </a:pPr>
          <a:r>
            <a:rPr lang="en-US" sz="1000" b="1" i="1" u="sng" baseline="0">
              <a:solidFill>
                <a:schemeClr val="tx1">
                  <a:lumMod val="85000"/>
                  <a:lumOff val="15000"/>
                </a:schemeClr>
              </a:solidFill>
            </a:rPr>
            <a:t>INSTRUCTIONS</a:t>
          </a:r>
        </a:p>
        <a:p>
          <a:pPr marL="0" indent="0">
            <a:lnSpc>
              <a:spcPts val="800"/>
            </a:lnSpc>
            <a:spcAft>
              <a:spcPts val="400"/>
            </a:spcAft>
            <a:buFont typeface="Arial" panose="020B0604020202020204" pitchFamily="34" charset="0"/>
            <a:buNone/>
          </a:pPr>
          <a:endParaRPr lang="en-US" sz="1000" b="1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500"/>
            </a:spcAft>
            <a:buFont typeface="Wingdings" panose="05000000000000000000" pitchFamily="2" charset="2"/>
            <a:buChar char="§"/>
          </a:pP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Basically, clear the dummy data and input your own data to the table on the left and click the button. That's it! </a:t>
          </a:r>
        </a:p>
        <a:p>
          <a:pPr marL="144000" marR="0" lvl="0" indent="-144000" algn="l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50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Settings panel is used to apply visual changes to your chart automatically. </a:t>
          </a:r>
        </a:p>
        <a:p>
          <a:pPr marL="144000" marR="0" lvl="0" indent="-144000" algn="l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kumimoji="0" lang="en-US" sz="1000" b="1" i="1" u="none" strike="noStrike" kern="0" cap="none" spc="0" normalizeH="0" baseline="0" noProof="0">
              <a:ln>
                <a:noFill/>
              </a:ln>
              <a:solidFill>
                <a:prstClr val="black">
                  <a:lumMod val="85000"/>
                  <a:lumOff val="15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After you create your flowchart, you can also make manual modifications </a:t>
          </a:r>
          <a:r>
            <a:rPr kumimoji="0" lang="en-US" sz="1000" b="0" i="1" u="none" strike="noStrike" kern="0" cap="none" spc="0" normalizeH="0" baseline="0" noProof="0">
              <a:ln>
                <a:noFill/>
              </a:ln>
              <a:solidFill>
                <a:prstClr val="black">
                  <a:lumMod val="85000"/>
                  <a:lumOff val="15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such as changing arrows, moving shapes, painting labels etc. on the chart page.</a:t>
          </a:r>
        </a:p>
      </xdr:txBody>
    </xdr:sp>
    <xdr:clientData fPrintsWithSheet="0"/>
  </xdr:twoCellAnchor>
  <xdr:oneCellAnchor>
    <xdr:from>
      <xdr:col>14</xdr:col>
      <xdr:colOff>255495</xdr:colOff>
      <xdr:row>13</xdr:row>
      <xdr:rowOff>63137</xdr:rowOff>
    </xdr:from>
    <xdr:ext cx="3204000" cy="3400588"/>
    <xdr:sp macro="" textlink="">
      <xdr:nvSpPr>
        <xdr:cNvPr id="6" name="yellownotes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2580845" y="2825387"/>
          <a:ext cx="3204000" cy="3400588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72000" rIns="54000" bIns="108000" rtlCol="0" anchor="ctr">
          <a:spAutoFit/>
        </a:bodyPr>
        <a:lstStyle/>
        <a:p>
          <a:pPr marL="0" indent="0" algn="ctr">
            <a:lnSpc>
              <a:spcPts val="1100"/>
            </a:lnSpc>
            <a:spcAft>
              <a:spcPts val="0"/>
            </a:spcAft>
            <a:buFont typeface="Arial" panose="020B0604020202020204" pitchFamily="34" charset="0"/>
            <a:buNone/>
          </a:pPr>
          <a:r>
            <a:rPr lang="en-US" sz="1000" b="1" i="1" u="sng" baseline="0">
              <a:solidFill>
                <a:schemeClr val="tx1">
                  <a:lumMod val="85000"/>
                  <a:lumOff val="15000"/>
                </a:schemeClr>
              </a:solidFill>
            </a:rPr>
            <a:t>DATA SECTION</a:t>
          </a:r>
        </a:p>
        <a:p>
          <a:pPr marL="0" indent="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None/>
          </a:pPr>
          <a:endParaRPr lang="en-US" sz="1000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ID:</a:t>
          </a: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 This is used to refer steps. Should be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unique</a:t>
          </a:r>
          <a:r>
            <a:rPr lang="en-US" sz="100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.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DESC: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Just enter description of the step (max. 25 characters recommended)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NEXT ID: 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This is where you refer to the other shapes.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Use comma to refer multiple shapes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(decision). Select from dropdown. You can refer Max. 3 shapes.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DECISION LABELS: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These labels appear on the arrows. Mostly used to show decisions (such as Yes, No).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Use comma to label corresponding shapes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you entered in Next ID column separately.</a:t>
          </a:r>
        </a:p>
        <a:p>
          <a:pPr marL="144000" indent="-144000">
            <a:lnSpc>
              <a:spcPts val="1100"/>
            </a:lnSpc>
            <a:spcAft>
              <a:spcPts val="60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SHAPE TYPE: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 Select shape type from the dropdown menu (If left blank, standard Process shape will be used).</a:t>
          </a:r>
        </a:p>
        <a:p>
          <a:pPr marL="144000" indent="-144000">
            <a:lnSpc>
              <a:spcPts val="1100"/>
            </a:lnSpc>
            <a:spcAft>
              <a:spcPts val="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NEXT ID POSITION: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 This is optional but can be useful if you want to change the position of the next shapes you refer to.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Only use: Right, Below, Left, Top and their combinations (such as Below-Right)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. Undefined inputs will be ignored. </a:t>
          </a:r>
        </a:p>
      </xdr:txBody>
    </xdr:sp>
    <xdr:clientData fPrintsWithSheet="0"/>
  </xdr:oneCellAnchor>
  <xdr:twoCellAnchor editAs="oneCell">
    <xdr:from>
      <xdr:col>9</xdr:col>
      <xdr:colOff>489575</xdr:colOff>
      <xdr:row>1</xdr:row>
      <xdr:rowOff>17931</xdr:rowOff>
    </xdr:from>
    <xdr:to>
      <xdr:col>11</xdr:col>
      <xdr:colOff>934359</xdr:colOff>
      <xdr:row>2</xdr:row>
      <xdr:rowOff>4026</xdr:rowOff>
    </xdr:to>
    <xdr:sp macro="" textlink="">
      <xdr:nvSpPr>
        <xdr:cNvPr id="7" name="headerinfobox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9224000" y="103656"/>
          <a:ext cx="1492534" cy="233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lIns="36000" tIns="36000" rIns="36000" bIns="36000" rtlCol="0" anchor="t">
          <a:spAutoFit/>
        </a:bodyPr>
        <a:lstStyle/>
        <a:p>
          <a:pPr algn="r"/>
          <a:r>
            <a:rPr lang="en-US" sz="1050" i="1">
              <a:solidFill>
                <a:srgbClr val="E8E8E8"/>
              </a:solidFill>
            </a:rPr>
            <a:t>C</a:t>
          </a:r>
          <a:r>
            <a:rPr lang="tr-TR" sz="1050" i="1">
              <a:solidFill>
                <a:srgbClr val="E8E8E8"/>
              </a:solidFill>
            </a:rPr>
            <a:t>ontact: info@someka.net</a:t>
          </a:r>
        </a:p>
      </xdr:txBody>
    </xdr:sp>
    <xdr:clientData/>
  </xdr:twoCellAnchor>
  <xdr:twoCellAnchor editAs="oneCell">
    <xdr:from>
      <xdr:col>11</xdr:col>
      <xdr:colOff>242043</xdr:colOff>
      <xdr:row>2</xdr:row>
      <xdr:rowOff>35857</xdr:rowOff>
    </xdr:from>
    <xdr:to>
      <xdr:col>11</xdr:col>
      <xdr:colOff>610509</xdr:colOff>
      <xdr:row>2</xdr:row>
      <xdr:rowOff>187285</xdr:rowOff>
    </xdr:to>
    <xdr:sp macro="" textlink="">
      <xdr:nvSpPr>
        <xdr:cNvPr id="8" name="termsbox">
          <a:hlinkClick xmlns:r="http://schemas.openxmlformats.org/officeDocument/2006/relationships" r:id="rId1" tooltip="Terms of Use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871818" y="369232"/>
          <a:ext cx="844716" cy="20857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18000" rIns="36000" bIns="18000" rtlCol="0" anchor="t">
          <a:spAutoFit/>
        </a:bodyPr>
        <a:lstStyle/>
        <a:p>
          <a:pPr algn="r"/>
          <a:r>
            <a:rPr lang="tr-TR" sz="1100" i="1" u="sng">
              <a:solidFill>
                <a:srgbClr val="E8E8E8"/>
              </a:solidFill>
            </a:rPr>
            <a:t>Terms of Use</a:t>
          </a:r>
        </a:p>
      </xdr:txBody>
    </xdr:sp>
    <xdr:clientData fPrintsWithSheet="0"/>
  </xdr:twoCellAnchor>
  <xdr:oneCellAnchor>
    <xdr:from>
      <xdr:col>6</xdr:col>
      <xdr:colOff>928278</xdr:colOff>
      <xdr:row>1</xdr:row>
      <xdr:rowOff>81947</xdr:rowOff>
    </xdr:from>
    <xdr:ext cx="1368000" cy="396000"/>
    <xdr:sp macro="" textlink="">
      <xdr:nvSpPr>
        <xdr:cNvPr id="9" name="Arrow: Right 21">
          <a:hlinkClick xmlns:r="http://schemas.openxmlformats.org/officeDocument/2006/relationships" r:id="rId2" tooltip="Go to Flowchart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319553" y="167672"/>
          <a:ext cx="1368000" cy="396000"/>
        </a:xfrm>
        <a:prstGeom prst="rightArrow">
          <a:avLst>
            <a:gd name="adj1" fmla="val 71650"/>
            <a:gd name="adj2" fmla="val 50000"/>
          </a:avLst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50800" h="50800" prst="artDeco"/>
          <a:contourClr>
            <a:schemeClr val="bg1">
              <a:lumMod val="9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36000" tIns="36000" rIns="36000" bIns="36000" rtlCol="0" anchor="ctr">
          <a:noAutofit/>
        </a:bodyPr>
        <a:lstStyle/>
        <a:p>
          <a:pPr algn="ctr"/>
          <a:r>
            <a:rPr lang="en-US" sz="1100" b="0">
              <a:solidFill>
                <a:schemeClr val="bg1">
                  <a:lumMod val="95000"/>
                </a:schemeClr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Go to Current Chart</a:t>
          </a:r>
          <a:endParaRPr lang="tr-TR" sz="1100" b="0">
            <a:solidFill>
              <a:schemeClr val="bg1">
                <a:lumMod val="95000"/>
              </a:schemeClr>
            </a:solidFill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oneCellAnchor>
  <xdr:oneCellAnchor>
    <xdr:from>
      <xdr:col>14</xdr:col>
      <xdr:colOff>255495</xdr:colOff>
      <xdr:row>30</xdr:row>
      <xdr:rowOff>187210</xdr:rowOff>
    </xdr:from>
    <xdr:ext cx="3204000" cy="2131009"/>
    <xdr:sp macro="" textlink="">
      <xdr:nvSpPr>
        <xdr:cNvPr id="10" name="yellownotes3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12580845" y="6349885"/>
          <a:ext cx="3204000" cy="2131009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72000" rIns="54000" bIns="108000" rtlCol="0" anchor="ctr">
          <a:spAutoFit/>
        </a:bodyPr>
        <a:lstStyle/>
        <a:p>
          <a:pPr marL="0" indent="0" algn="ctr">
            <a:lnSpc>
              <a:spcPts val="1100"/>
            </a:lnSpc>
            <a:spcAft>
              <a:spcPts val="0"/>
            </a:spcAft>
            <a:buFont typeface="Arial" panose="020B0604020202020204" pitchFamily="34" charset="0"/>
            <a:buNone/>
          </a:pPr>
          <a:r>
            <a:rPr lang="en-US" sz="1000" b="1" i="1" u="sng" baseline="0">
              <a:solidFill>
                <a:schemeClr val="tx1">
                  <a:lumMod val="85000"/>
                  <a:lumOff val="15000"/>
                </a:schemeClr>
              </a:solidFill>
            </a:rPr>
            <a:t>SETTINGS SECTION</a:t>
          </a:r>
        </a:p>
        <a:p>
          <a:pPr marL="0" indent="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None/>
          </a:pPr>
          <a:endParaRPr lang="en-US" sz="1000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CHART LAYOUT:</a:t>
          </a: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 There are two default layouts: Vertical/ Horizontal. But you can make individual placement changes by using the "Next ID Position" column.</a:t>
          </a:r>
          <a:endParaRPr lang="en-US" sz="1000" i="1" u="none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SHAPE SETTINGS: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You can change the width/height of all shapes as well as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gap size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between items. You can also change the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font size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on the shapes.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COLOR SETTINGS: 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You can add/modify colors for shapes, fonts, and arrows. Additionally, you can paint the color boxes and they will be automatically applied to your flowchart.</a:t>
          </a:r>
        </a:p>
      </xdr:txBody>
    </xdr:sp>
    <xdr:clientData fPrintsWithSheet="0"/>
  </xdr:oneCellAnchor>
  <xdr:twoCellAnchor editAs="oneCell">
    <xdr:from>
      <xdr:col>11</xdr:col>
      <xdr:colOff>437029</xdr:colOff>
      <xdr:row>36</xdr:row>
      <xdr:rowOff>134471</xdr:rowOff>
    </xdr:from>
    <xdr:to>
      <xdr:col>11</xdr:col>
      <xdr:colOff>1077776</xdr:colOff>
      <xdr:row>38</xdr:row>
      <xdr:rowOff>163059</xdr:rowOff>
    </xdr:to>
    <xdr:sp macro="[0]!ClearData" textlink="">
      <xdr:nvSpPr>
        <xdr:cNvPr id="11" name="Rectangle: Rounded Corners 12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066804" y="7497296"/>
          <a:ext cx="1659922" cy="42863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CLEAR EXISTING DATA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205740</xdr:colOff>
          <xdr:row>1</xdr:row>
          <xdr:rowOff>60960</xdr:rowOff>
        </xdr:from>
        <xdr:to>
          <xdr:col>17</xdr:col>
          <xdr:colOff>45720</xdr:colOff>
          <xdr:row>3</xdr:row>
          <xdr:rowOff>114300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Instructions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60960</xdr:colOff>
          <xdr:row>1</xdr:row>
          <xdr:rowOff>182880</xdr:rowOff>
        </xdr:from>
        <xdr:to>
          <xdr:col>15</xdr:col>
          <xdr:colOff>403860</xdr:colOff>
          <xdr:row>3</xdr:row>
          <xdr:rowOff>30480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30480</xdr:colOff>
          <xdr:row>1</xdr:row>
          <xdr:rowOff>182880</xdr:rowOff>
        </xdr:from>
        <xdr:to>
          <xdr:col>16</xdr:col>
          <xdr:colOff>426720</xdr:colOff>
          <xdr:row>3</xdr:row>
          <xdr:rowOff>22860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</a:t>
              </a:r>
            </a:p>
          </xdr:txBody>
        </xdr:sp>
        <xdr:clientData/>
      </xdr:twoCellAnchor>
    </mc:Choice>
    <mc:Fallback/>
  </mc:AlternateContent>
  <xdr:twoCellAnchor editAs="oneCell">
    <xdr:from>
      <xdr:col>4</xdr:col>
      <xdr:colOff>370605</xdr:colOff>
      <xdr:row>1</xdr:row>
      <xdr:rowOff>103492</xdr:rowOff>
    </xdr:from>
    <xdr:to>
      <xdr:col>5</xdr:col>
      <xdr:colOff>504825</xdr:colOff>
      <xdr:row>3</xdr:row>
      <xdr:rowOff>36195</xdr:rowOff>
    </xdr:to>
    <xdr:sp macro="[0]!OpenNotepadWithTempFileWithClipboardContent" textlink="">
      <xdr:nvSpPr>
        <xdr:cNvPr id="13" name="Rectangle: Rounded Corners 8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233945" y="286372"/>
          <a:ext cx="1482960" cy="420383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EXPORT</a:t>
          </a:r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 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</xdr:col>
      <xdr:colOff>1821180</xdr:colOff>
      <xdr:row>1</xdr:row>
      <xdr:rowOff>106680</xdr:rowOff>
    </xdr:from>
    <xdr:to>
      <xdr:col>4</xdr:col>
      <xdr:colOff>218040</xdr:colOff>
      <xdr:row>3</xdr:row>
      <xdr:rowOff>39383</xdr:rowOff>
    </xdr:to>
    <xdr:sp macro="[0]!ImportText" textlink="">
      <xdr:nvSpPr>
        <xdr:cNvPr id="16" name="Rectangle: Rounded Corners 8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598420" y="289560"/>
          <a:ext cx="1482960" cy="420383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IMPORT 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190501</xdr:colOff>
      <xdr:row>1</xdr:row>
      <xdr:rowOff>95250</xdr:rowOff>
    </xdr:from>
    <xdr:to>
      <xdr:col>28</xdr:col>
      <xdr:colOff>95250</xdr:colOff>
      <xdr:row>2</xdr:row>
      <xdr:rowOff>200025</xdr:rowOff>
    </xdr:to>
    <xdr:grpSp>
      <xdr:nvGrpSpPr>
        <xdr:cNvPr id="2" name="backtomenu">
          <a:hlinkClick xmlns:r="http://schemas.openxmlformats.org/officeDocument/2006/relationships" r:id="rId1" tooltip="Go to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5151121" y="278130"/>
          <a:ext cx="1558289" cy="325755"/>
          <a:chOff x="7332133" y="217525"/>
          <a:chExt cx="1131771" cy="451203"/>
        </a:xfrm>
      </xdr:grpSpPr>
      <xdr:sp macro="" textlink="">
        <xdr:nvSpPr>
          <xdr:cNvPr id="3" name="Rounded Rectangle 2">
            <a:hlinkClick xmlns:r="http://schemas.openxmlformats.org/officeDocument/2006/relationships" r:id="rId1" tooltip="Go to"/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7332133" y="222010"/>
            <a:ext cx="1116756" cy="446718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overflow" horzOverflow="overflow" rtlCol="0" anchor="t"/>
          <a:lstStyle/>
          <a:p>
            <a:pPr algn="l"/>
            <a:endParaRPr lang="tr-TR" sz="1100"/>
          </a:p>
        </xdr:txBody>
      </xdr:sp>
      <xdr:pic>
        <xdr:nvPicPr>
          <xdr:cNvPr id="4" name="Picture 3" descr="http://swiss-delicious.com/images/1024/icons/back.png">
            <a:hlinkClick xmlns:r="http://schemas.openxmlformats.org/officeDocument/2006/relationships" r:id="rId1" tooltip="Go to"/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" cstate="print">
            <a:duotone>
              <a:prstClr val="black"/>
              <a:schemeClr val="tx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289" t="21508" r="18116" b="22717"/>
          <a:stretch/>
        </xdr:blipFill>
        <xdr:spPr bwMode="auto">
          <a:xfrm>
            <a:off x="7388041" y="217525"/>
            <a:ext cx="496172" cy="44612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TextBox 4">
            <a:hlinkClick xmlns:r="http://schemas.openxmlformats.org/officeDocument/2006/relationships" r:id="rId1" tooltip="Go to"/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7792377" y="255855"/>
            <a:ext cx="671527" cy="3681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lIns="36000" tIns="36000" rIns="36000" bIns="36000" rtlCol="0" anchor="ctr">
            <a:spAutoFit/>
          </a:bodyPr>
          <a:lstStyle/>
          <a:p>
            <a:pPr algn="ctr"/>
            <a:r>
              <a:rPr lang="tr-TR" sz="1000" b="1" i="1"/>
              <a:t>Back</a:t>
            </a:r>
            <a:r>
              <a:rPr lang="tr-TR" sz="1000" b="1" i="1" baseline="0"/>
              <a:t> to </a:t>
            </a:r>
          </a:p>
          <a:p>
            <a:pPr algn="ctr"/>
            <a:r>
              <a:rPr lang="tr-TR" sz="1000" b="1" i="1" baseline="0"/>
              <a:t>Menu</a:t>
            </a:r>
            <a:endParaRPr lang="tr-TR" sz="1000" b="1" i="1"/>
          </a:p>
        </xdr:txBody>
      </xdr:sp>
    </xdr:grpSp>
    <xdr:clientData fPrintsWithSheet="0"/>
  </xdr:twoCellAnchor>
  <xdr:twoCellAnchor editAs="oneCell">
    <xdr:from>
      <xdr:col>36</xdr:col>
      <xdr:colOff>181913</xdr:colOff>
      <xdr:row>1</xdr:row>
      <xdr:rowOff>28249</xdr:rowOff>
    </xdr:from>
    <xdr:to>
      <xdr:col>42</xdr:col>
      <xdr:colOff>76201</xdr:colOff>
      <xdr:row>2</xdr:row>
      <xdr:rowOff>142875</xdr:rowOff>
    </xdr:to>
    <xdr:sp macro="[0]!ExportPDF" textlink="">
      <xdr:nvSpPr>
        <xdr:cNvPr id="6" name="exportPDF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8411513" y="218749"/>
          <a:ext cx="1265888" cy="333701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36000" tIns="36000" rIns="36000" bIns="36000" rtlCol="0" anchor="ctr"/>
        <a:lstStyle/>
        <a:p>
          <a:pPr algn="ctr"/>
          <a:r>
            <a:rPr lang="tr-TR" sz="1100" b="0"/>
            <a:t>Export to PDF</a:t>
          </a:r>
        </a:p>
      </xdr:txBody>
    </xdr:sp>
    <xdr:clientData fPrintsWithSheet="0"/>
  </xdr:twoCellAnchor>
  <xdr:twoCellAnchor editAs="oneCell">
    <xdr:from>
      <xdr:col>4</xdr:col>
      <xdr:colOff>71120</xdr:colOff>
      <xdr:row>6</xdr:row>
      <xdr:rowOff>50800</xdr:rowOff>
    </xdr:from>
    <xdr:to>
      <xdr:col>10</xdr:col>
      <xdr:colOff>50800</xdr:colOff>
      <xdr:row>9</xdr:row>
      <xdr:rowOff>137160</xdr:rowOff>
    </xdr:to>
    <xdr:sp macro="" textlink="">
      <xdr:nvSpPr>
        <xdr:cNvPr id="916" name="ShapeIndex1">
          <a:extLst>
            <a:ext uri="{FF2B5EF4-FFF2-40B4-BE49-F238E27FC236}">
              <a16:creationId xmlns:a16="http://schemas.microsoft.com/office/drawing/2014/main" id="{00000000-0008-0000-0200-000094030000}"/>
            </a:ext>
          </a:extLst>
        </xdr:cNvPr>
        <xdr:cNvSpPr/>
      </xdr:nvSpPr>
      <xdr:spPr>
        <a:xfrm>
          <a:off x="1016000" y="1270000"/>
          <a:ext cx="1397000" cy="635000"/>
        </a:xfrm>
        <a:prstGeom prst="flowChartProcess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Start</a:t>
          </a:r>
        </a:p>
      </xdr:txBody>
    </xdr:sp>
    <xdr:clientData/>
  </xdr:twoCellAnchor>
  <xdr:twoCellAnchor editAs="oneCell">
    <xdr:from>
      <xdr:col>4</xdr:col>
      <xdr:colOff>71120</xdr:colOff>
      <xdr:row>12</xdr:row>
      <xdr:rowOff>96520</xdr:rowOff>
    </xdr:from>
    <xdr:to>
      <xdr:col>10</xdr:col>
      <xdr:colOff>50800</xdr:colOff>
      <xdr:row>16</xdr:row>
      <xdr:rowOff>0</xdr:rowOff>
    </xdr:to>
    <xdr:sp macro="" textlink="">
      <xdr:nvSpPr>
        <xdr:cNvPr id="917" name="ShapeIndex2">
          <a:extLst>
            <a:ext uri="{FF2B5EF4-FFF2-40B4-BE49-F238E27FC236}">
              <a16:creationId xmlns:a16="http://schemas.microsoft.com/office/drawing/2014/main" id="{00000000-0008-0000-0200-000095030000}"/>
            </a:ext>
          </a:extLst>
        </xdr:cNvPr>
        <xdr:cNvSpPr/>
      </xdr:nvSpPr>
      <xdr:spPr>
        <a:xfrm>
          <a:off x="1016000" y="2413000"/>
          <a:ext cx="1397000" cy="635000"/>
        </a:xfrm>
        <a:prstGeom prst="flowChartProcess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Check &amp; set prod/Dev path</a:t>
          </a:r>
        </a:p>
      </xdr:txBody>
    </xdr:sp>
    <xdr:clientData/>
  </xdr:twoCellAnchor>
  <xdr:twoCellAnchor editAs="oneCell">
    <xdr:from>
      <xdr:col>4</xdr:col>
      <xdr:colOff>71120</xdr:colOff>
      <xdr:row>18</xdr:row>
      <xdr:rowOff>142240</xdr:rowOff>
    </xdr:from>
    <xdr:to>
      <xdr:col>10</xdr:col>
      <xdr:colOff>50800</xdr:colOff>
      <xdr:row>22</xdr:row>
      <xdr:rowOff>45720</xdr:rowOff>
    </xdr:to>
    <xdr:sp macro="" textlink="">
      <xdr:nvSpPr>
        <xdr:cNvPr id="918" name="ShapeIndex3">
          <a:extLst>
            <a:ext uri="{FF2B5EF4-FFF2-40B4-BE49-F238E27FC236}">
              <a16:creationId xmlns:a16="http://schemas.microsoft.com/office/drawing/2014/main" id="{00000000-0008-0000-0200-000096030000}"/>
            </a:ext>
          </a:extLst>
        </xdr:cNvPr>
        <xdr:cNvSpPr/>
      </xdr:nvSpPr>
      <xdr:spPr>
        <a:xfrm>
          <a:off x="1016000" y="3556000"/>
          <a:ext cx="1397000" cy="635000"/>
        </a:xfrm>
        <a:prstGeom prst="flowChartProcess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For handshake path clear old end request</a:t>
          </a:r>
        </a:p>
      </xdr:txBody>
    </xdr:sp>
    <xdr:clientData/>
  </xdr:twoCellAnchor>
  <xdr:twoCellAnchor editAs="oneCell">
    <xdr:from>
      <xdr:col>4</xdr:col>
      <xdr:colOff>71120</xdr:colOff>
      <xdr:row>25</xdr:row>
      <xdr:rowOff>5080</xdr:rowOff>
    </xdr:from>
    <xdr:to>
      <xdr:col>10</xdr:col>
      <xdr:colOff>50800</xdr:colOff>
      <xdr:row>28</xdr:row>
      <xdr:rowOff>91440</xdr:rowOff>
    </xdr:to>
    <xdr:sp macro="" textlink="">
      <xdr:nvSpPr>
        <xdr:cNvPr id="919" name="ShapeIndex4">
          <a:extLst>
            <a:ext uri="{FF2B5EF4-FFF2-40B4-BE49-F238E27FC236}">
              <a16:creationId xmlns:a16="http://schemas.microsoft.com/office/drawing/2014/main" id="{00000000-0008-0000-0200-000097030000}"/>
            </a:ext>
          </a:extLst>
        </xdr:cNvPr>
        <xdr:cNvSpPr/>
      </xdr:nvSpPr>
      <xdr:spPr>
        <a:xfrm>
          <a:off x="1016000" y="4699000"/>
          <a:ext cx="1397000" cy="635000"/>
        </a:xfrm>
        <a:prstGeom prst="flowChartDecision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If PID exist</a:t>
          </a:r>
        </a:p>
      </xdr:txBody>
    </xdr:sp>
    <xdr:clientData/>
  </xdr:twoCellAnchor>
  <xdr:twoCellAnchor editAs="oneCell">
    <xdr:from>
      <xdr:col>4</xdr:col>
      <xdr:colOff>71120</xdr:colOff>
      <xdr:row>31</xdr:row>
      <xdr:rowOff>50800</xdr:rowOff>
    </xdr:from>
    <xdr:to>
      <xdr:col>10</xdr:col>
      <xdr:colOff>50800</xdr:colOff>
      <xdr:row>34</xdr:row>
      <xdr:rowOff>137160</xdr:rowOff>
    </xdr:to>
    <xdr:sp macro="" textlink="">
      <xdr:nvSpPr>
        <xdr:cNvPr id="920" name="ShapeIndex5">
          <a:extLst>
            <a:ext uri="{FF2B5EF4-FFF2-40B4-BE49-F238E27FC236}">
              <a16:creationId xmlns:a16="http://schemas.microsoft.com/office/drawing/2014/main" id="{00000000-0008-0000-0200-000098030000}"/>
            </a:ext>
          </a:extLst>
        </xdr:cNvPr>
        <xdr:cNvSpPr/>
      </xdr:nvSpPr>
      <xdr:spPr>
        <a:xfrm>
          <a:off x="1016000" y="5842000"/>
          <a:ext cx="1397000" cy="635000"/>
        </a:xfrm>
        <a:prstGeom prst="flowChartProcess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Crete Terminal request</a:t>
          </a:r>
        </a:p>
      </xdr:txBody>
    </xdr:sp>
    <xdr:clientData/>
  </xdr:twoCellAnchor>
  <xdr:twoCellAnchor editAs="oneCell">
    <xdr:from>
      <xdr:col>4</xdr:col>
      <xdr:colOff>71120</xdr:colOff>
      <xdr:row>37</xdr:row>
      <xdr:rowOff>96520</xdr:rowOff>
    </xdr:from>
    <xdr:to>
      <xdr:col>10</xdr:col>
      <xdr:colOff>50800</xdr:colOff>
      <xdr:row>41</xdr:row>
      <xdr:rowOff>0</xdr:rowOff>
    </xdr:to>
    <xdr:sp macro="" textlink="">
      <xdr:nvSpPr>
        <xdr:cNvPr id="921" name="ShapeIndex6">
          <a:extLst>
            <a:ext uri="{FF2B5EF4-FFF2-40B4-BE49-F238E27FC236}">
              <a16:creationId xmlns:a16="http://schemas.microsoft.com/office/drawing/2014/main" id="{00000000-0008-0000-0200-000099030000}"/>
            </a:ext>
          </a:extLst>
        </xdr:cNvPr>
        <xdr:cNvSpPr/>
      </xdr:nvSpPr>
      <xdr:spPr>
        <a:xfrm>
          <a:off x="1016000" y="6985000"/>
          <a:ext cx="1397000" cy="635000"/>
        </a:xfrm>
        <a:prstGeom prst="flowChartProcess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wait till Timeout for clearing Terminal</a:t>
          </a:r>
        </a:p>
      </xdr:txBody>
    </xdr:sp>
    <xdr:clientData/>
  </xdr:twoCellAnchor>
  <xdr:twoCellAnchor editAs="oneCell">
    <xdr:from>
      <xdr:col>4</xdr:col>
      <xdr:colOff>71120</xdr:colOff>
      <xdr:row>43</xdr:row>
      <xdr:rowOff>142240</xdr:rowOff>
    </xdr:from>
    <xdr:to>
      <xdr:col>10</xdr:col>
      <xdr:colOff>50800</xdr:colOff>
      <xdr:row>47</xdr:row>
      <xdr:rowOff>45720</xdr:rowOff>
    </xdr:to>
    <xdr:sp macro="" textlink="">
      <xdr:nvSpPr>
        <xdr:cNvPr id="922" name="ShapeIndex7">
          <a:extLst>
            <a:ext uri="{FF2B5EF4-FFF2-40B4-BE49-F238E27FC236}">
              <a16:creationId xmlns:a16="http://schemas.microsoft.com/office/drawing/2014/main" id="{00000000-0008-0000-0200-00009A030000}"/>
            </a:ext>
          </a:extLst>
        </xdr:cNvPr>
        <xdr:cNvSpPr/>
      </xdr:nvSpPr>
      <xdr:spPr>
        <a:xfrm>
          <a:off x="1016000" y="8128000"/>
          <a:ext cx="1397000" cy="635000"/>
        </a:xfrm>
        <a:prstGeom prst="flowChartDecision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If timeout is True</a:t>
          </a:r>
        </a:p>
      </xdr:txBody>
    </xdr:sp>
    <xdr:clientData/>
  </xdr:twoCellAnchor>
  <xdr:twoCellAnchor editAs="oneCell">
    <xdr:from>
      <xdr:col>4</xdr:col>
      <xdr:colOff>71120</xdr:colOff>
      <xdr:row>50</xdr:row>
      <xdr:rowOff>5080</xdr:rowOff>
    </xdr:from>
    <xdr:to>
      <xdr:col>10</xdr:col>
      <xdr:colOff>50800</xdr:colOff>
      <xdr:row>53</xdr:row>
      <xdr:rowOff>91440</xdr:rowOff>
    </xdr:to>
    <xdr:sp macro="" textlink="">
      <xdr:nvSpPr>
        <xdr:cNvPr id="923" name="ShapeIndex8">
          <a:extLst>
            <a:ext uri="{FF2B5EF4-FFF2-40B4-BE49-F238E27FC236}">
              <a16:creationId xmlns:a16="http://schemas.microsoft.com/office/drawing/2014/main" id="{00000000-0008-0000-0200-00009B030000}"/>
            </a:ext>
          </a:extLst>
        </xdr:cNvPr>
        <xdr:cNvSpPr/>
      </xdr:nvSpPr>
      <xdr:spPr>
        <a:xfrm>
          <a:off x="1016000" y="9271000"/>
          <a:ext cx="1397000" cy="635000"/>
        </a:xfrm>
        <a:prstGeom prst="flowChartProcess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Kill PID process</a:t>
          </a:r>
        </a:p>
      </xdr:txBody>
    </xdr:sp>
    <xdr:clientData/>
  </xdr:twoCellAnchor>
  <xdr:twoCellAnchor editAs="oneCell">
    <xdr:from>
      <xdr:col>12</xdr:col>
      <xdr:colOff>213360</xdr:colOff>
      <xdr:row>43</xdr:row>
      <xdr:rowOff>142240</xdr:rowOff>
    </xdr:from>
    <xdr:to>
      <xdr:col>18</xdr:col>
      <xdr:colOff>193040</xdr:colOff>
      <xdr:row>47</xdr:row>
      <xdr:rowOff>45720</xdr:rowOff>
    </xdr:to>
    <xdr:sp macro="" textlink="">
      <xdr:nvSpPr>
        <xdr:cNvPr id="924" name="ShapeIndex9">
          <a:extLst>
            <a:ext uri="{FF2B5EF4-FFF2-40B4-BE49-F238E27FC236}">
              <a16:creationId xmlns:a16="http://schemas.microsoft.com/office/drawing/2014/main" id="{00000000-0008-0000-0200-00009C030000}"/>
            </a:ext>
          </a:extLst>
        </xdr:cNvPr>
        <xdr:cNvSpPr/>
      </xdr:nvSpPr>
      <xdr:spPr>
        <a:xfrm>
          <a:off x="3048000" y="8128000"/>
          <a:ext cx="1397000" cy="635000"/>
        </a:xfrm>
        <a:prstGeom prst="flowChartProcess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Delete PID file</a:t>
          </a:r>
        </a:p>
      </xdr:txBody>
    </xdr:sp>
    <xdr:clientData/>
  </xdr:twoCellAnchor>
  <xdr:twoCellAnchor editAs="oneCell">
    <xdr:from>
      <xdr:col>12</xdr:col>
      <xdr:colOff>213360</xdr:colOff>
      <xdr:row>25</xdr:row>
      <xdr:rowOff>5080</xdr:rowOff>
    </xdr:from>
    <xdr:to>
      <xdr:col>18</xdr:col>
      <xdr:colOff>193040</xdr:colOff>
      <xdr:row>28</xdr:row>
      <xdr:rowOff>91440</xdr:rowOff>
    </xdr:to>
    <xdr:sp macro="" textlink="">
      <xdr:nvSpPr>
        <xdr:cNvPr id="925" name="ShapeIndex10">
          <a:extLst>
            <a:ext uri="{FF2B5EF4-FFF2-40B4-BE49-F238E27FC236}">
              <a16:creationId xmlns:a16="http://schemas.microsoft.com/office/drawing/2014/main" id="{00000000-0008-0000-0200-00009D030000}"/>
            </a:ext>
          </a:extLst>
        </xdr:cNvPr>
        <xdr:cNvSpPr/>
      </xdr:nvSpPr>
      <xdr:spPr>
        <a:xfrm>
          <a:off x="3048000" y="4699000"/>
          <a:ext cx="1397000" cy="635000"/>
        </a:xfrm>
        <a:prstGeom prst="flowChartProcess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Start RFL</a:t>
          </a:r>
        </a:p>
      </xdr:txBody>
    </xdr:sp>
    <xdr:clientData/>
  </xdr:twoCellAnchor>
  <xdr:twoCellAnchor editAs="oneCell">
    <xdr:from>
      <xdr:col>21</xdr:col>
      <xdr:colOff>119380</xdr:colOff>
      <xdr:row>25</xdr:row>
      <xdr:rowOff>5080</xdr:rowOff>
    </xdr:from>
    <xdr:to>
      <xdr:col>27</xdr:col>
      <xdr:colOff>99060</xdr:colOff>
      <xdr:row>28</xdr:row>
      <xdr:rowOff>91440</xdr:rowOff>
    </xdr:to>
    <xdr:sp macro="" textlink="">
      <xdr:nvSpPr>
        <xdr:cNvPr id="926" name="ShapeIndex11">
          <a:extLst>
            <a:ext uri="{FF2B5EF4-FFF2-40B4-BE49-F238E27FC236}">
              <a16:creationId xmlns:a16="http://schemas.microsoft.com/office/drawing/2014/main" id="{00000000-0008-0000-0200-00009E030000}"/>
            </a:ext>
          </a:extLst>
        </xdr:cNvPr>
        <xdr:cNvSpPr/>
      </xdr:nvSpPr>
      <xdr:spPr>
        <a:xfrm>
          <a:off x="5080000" y="4699000"/>
          <a:ext cx="1397000" cy="635000"/>
        </a:xfrm>
        <a:prstGeom prst="flowChartProcess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Get RFL PID</a:t>
          </a:r>
        </a:p>
      </xdr:txBody>
    </xdr:sp>
    <xdr:clientData/>
  </xdr:twoCellAnchor>
  <xdr:twoCellAnchor editAs="oneCell">
    <xdr:from>
      <xdr:col>30</xdr:col>
      <xdr:colOff>25400</xdr:colOff>
      <xdr:row>25</xdr:row>
      <xdr:rowOff>5080</xdr:rowOff>
    </xdr:from>
    <xdr:to>
      <xdr:col>36</xdr:col>
      <xdr:colOff>5080</xdr:colOff>
      <xdr:row>28</xdr:row>
      <xdr:rowOff>91440</xdr:rowOff>
    </xdr:to>
    <xdr:sp macro="" textlink="">
      <xdr:nvSpPr>
        <xdr:cNvPr id="927" name="ShapeIndex12">
          <a:extLst>
            <a:ext uri="{FF2B5EF4-FFF2-40B4-BE49-F238E27FC236}">
              <a16:creationId xmlns:a16="http://schemas.microsoft.com/office/drawing/2014/main" id="{00000000-0008-0000-0200-00009F030000}"/>
            </a:ext>
          </a:extLst>
        </xdr:cNvPr>
        <xdr:cNvSpPr/>
      </xdr:nvSpPr>
      <xdr:spPr>
        <a:xfrm>
          <a:off x="7112000" y="4699000"/>
          <a:ext cx="1397000" cy="635000"/>
        </a:xfrm>
        <a:prstGeom prst="flowChartProcess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wait till Timeout for RFL PID to progress</a:t>
          </a:r>
        </a:p>
      </xdr:txBody>
    </xdr:sp>
    <xdr:clientData/>
  </xdr:twoCellAnchor>
  <xdr:twoCellAnchor editAs="oneCell">
    <xdr:from>
      <xdr:col>30</xdr:col>
      <xdr:colOff>25400</xdr:colOff>
      <xdr:row>31</xdr:row>
      <xdr:rowOff>50800</xdr:rowOff>
    </xdr:from>
    <xdr:to>
      <xdr:col>36</xdr:col>
      <xdr:colOff>5080</xdr:colOff>
      <xdr:row>34</xdr:row>
      <xdr:rowOff>137160</xdr:rowOff>
    </xdr:to>
    <xdr:sp macro="" textlink="">
      <xdr:nvSpPr>
        <xdr:cNvPr id="928" name="ShapeIndex13">
          <a:extLst>
            <a:ext uri="{FF2B5EF4-FFF2-40B4-BE49-F238E27FC236}">
              <a16:creationId xmlns:a16="http://schemas.microsoft.com/office/drawing/2014/main" id="{00000000-0008-0000-0200-0000A0030000}"/>
            </a:ext>
          </a:extLst>
        </xdr:cNvPr>
        <xdr:cNvSpPr/>
      </xdr:nvSpPr>
      <xdr:spPr>
        <a:xfrm>
          <a:off x="7112000" y="5842000"/>
          <a:ext cx="1397000" cy="635000"/>
        </a:xfrm>
        <a:prstGeom prst="flowChartDecision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If timeout is True</a:t>
          </a:r>
        </a:p>
      </xdr:txBody>
    </xdr:sp>
    <xdr:clientData/>
  </xdr:twoCellAnchor>
  <xdr:twoCellAnchor editAs="oneCell">
    <xdr:from>
      <xdr:col>30</xdr:col>
      <xdr:colOff>25400</xdr:colOff>
      <xdr:row>37</xdr:row>
      <xdr:rowOff>96520</xdr:rowOff>
    </xdr:from>
    <xdr:to>
      <xdr:col>36</xdr:col>
      <xdr:colOff>5080</xdr:colOff>
      <xdr:row>41</xdr:row>
      <xdr:rowOff>0</xdr:rowOff>
    </xdr:to>
    <xdr:sp macro="" textlink="">
      <xdr:nvSpPr>
        <xdr:cNvPr id="929" name="ShapeIndex14">
          <a:extLst>
            <a:ext uri="{FF2B5EF4-FFF2-40B4-BE49-F238E27FC236}">
              <a16:creationId xmlns:a16="http://schemas.microsoft.com/office/drawing/2014/main" id="{00000000-0008-0000-0200-0000A1030000}"/>
            </a:ext>
          </a:extLst>
        </xdr:cNvPr>
        <xdr:cNvSpPr/>
      </xdr:nvSpPr>
      <xdr:spPr>
        <a:xfrm>
          <a:off x="7112000" y="6985000"/>
          <a:ext cx="1397000" cy="635000"/>
        </a:xfrm>
        <a:prstGeom prst="flowChartProcess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Email process not started</a:t>
          </a:r>
        </a:p>
      </xdr:txBody>
    </xdr:sp>
    <xdr:clientData/>
  </xdr:twoCellAnchor>
  <xdr:twoCellAnchor editAs="oneCell">
    <xdr:from>
      <xdr:col>38</xdr:col>
      <xdr:colOff>167640</xdr:colOff>
      <xdr:row>31</xdr:row>
      <xdr:rowOff>50800</xdr:rowOff>
    </xdr:from>
    <xdr:to>
      <xdr:col>44</xdr:col>
      <xdr:colOff>147320</xdr:colOff>
      <xdr:row>34</xdr:row>
      <xdr:rowOff>137160</xdr:rowOff>
    </xdr:to>
    <xdr:sp macro="" textlink="">
      <xdr:nvSpPr>
        <xdr:cNvPr id="930" name="ShapeIndex15">
          <a:extLst>
            <a:ext uri="{FF2B5EF4-FFF2-40B4-BE49-F238E27FC236}">
              <a16:creationId xmlns:a16="http://schemas.microsoft.com/office/drawing/2014/main" id="{00000000-0008-0000-0200-0000A2030000}"/>
            </a:ext>
          </a:extLst>
        </xdr:cNvPr>
        <xdr:cNvSpPr/>
      </xdr:nvSpPr>
      <xdr:spPr>
        <a:xfrm>
          <a:off x="9144000" y="5842000"/>
          <a:ext cx="1397000" cy="635000"/>
        </a:xfrm>
        <a:prstGeom prst="flowChartProcess">
          <a:avLst/>
        </a:prstGeom>
        <a:solidFill>
          <a:srgbClr val="00B050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create PID_start file</a:t>
          </a:r>
        </a:p>
      </xdr:txBody>
    </xdr:sp>
    <xdr:clientData/>
  </xdr:twoCellAnchor>
  <xdr:twoCellAnchor editAs="oneCell">
    <xdr:from>
      <xdr:col>30</xdr:col>
      <xdr:colOff>25400</xdr:colOff>
      <xdr:row>43</xdr:row>
      <xdr:rowOff>142240</xdr:rowOff>
    </xdr:from>
    <xdr:to>
      <xdr:col>36</xdr:col>
      <xdr:colOff>5080</xdr:colOff>
      <xdr:row>47</xdr:row>
      <xdr:rowOff>45720</xdr:rowOff>
    </xdr:to>
    <xdr:sp macro="" textlink="">
      <xdr:nvSpPr>
        <xdr:cNvPr id="931" name="ShapeIndex16">
          <a:extLst>
            <a:ext uri="{FF2B5EF4-FFF2-40B4-BE49-F238E27FC236}">
              <a16:creationId xmlns:a16="http://schemas.microsoft.com/office/drawing/2014/main" id="{00000000-0008-0000-0200-0000A3030000}"/>
            </a:ext>
          </a:extLst>
        </xdr:cNvPr>
        <xdr:cNvSpPr/>
      </xdr:nvSpPr>
      <xdr:spPr>
        <a:xfrm>
          <a:off x="7112000" y="8128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End</a:t>
          </a:r>
        </a:p>
      </xdr:txBody>
    </xdr:sp>
    <xdr:clientData/>
  </xdr:twoCellAnchor>
  <xdr:twoCellAnchor editAs="oneCell">
    <xdr:from>
      <xdr:col>7</xdr:col>
      <xdr:colOff>60960</xdr:colOff>
      <xdr:row>9</xdr:row>
      <xdr:rowOff>137160</xdr:rowOff>
    </xdr:from>
    <xdr:to>
      <xdr:col>7</xdr:col>
      <xdr:colOff>60960</xdr:colOff>
      <xdr:row>12</xdr:row>
      <xdr:rowOff>96520</xdr:rowOff>
    </xdr:to>
    <xdr:cxnSp macro="">
      <xdr:nvCxnSpPr>
        <xdr:cNvPr id="932" name="ArrowIndex1-1">
          <a:extLst>
            <a:ext uri="{FF2B5EF4-FFF2-40B4-BE49-F238E27FC236}">
              <a16:creationId xmlns:a16="http://schemas.microsoft.com/office/drawing/2014/main" id="{00000000-0008-0000-0200-0000A4030000}"/>
            </a:ext>
          </a:extLst>
        </xdr:cNvPr>
        <xdr:cNvCxnSpPr>
          <a:stCxn id="916" idx="2"/>
          <a:endCxn id="917" idx="0"/>
        </xdr:cNvCxnSpPr>
      </xdr:nvCxnSpPr>
      <xdr:spPr>
        <a:xfrm>
          <a:off x="1714500" y="1905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60960</xdr:colOff>
      <xdr:row>16</xdr:row>
      <xdr:rowOff>0</xdr:rowOff>
    </xdr:from>
    <xdr:to>
      <xdr:col>7</xdr:col>
      <xdr:colOff>60960</xdr:colOff>
      <xdr:row>18</xdr:row>
      <xdr:rowOff>142240</xdr:rowOff>
    </xdr:to>
    <xdr:cxnSp macro="">
      <xdr:nvCxnSpPr>
        <xdr:cNvPr id="933" name="ArrowIndex2-1">
          <a:extLst>
            <a:ext uri="{FF2B5EF4-FFF2-40B4-BE49-F238E27FC236}">
              <a16:creationId xmlns:a16="http://schemas.microsoft.com/office/drawing/2014/main" id="{00000000-0008-0000-0200-0000A5030000}"/>
            </a:ext>
          </a:extLst>
        </xdr:cNvPr>
        <xdr:cNvCxnSpPr>
          <a:stCxn id="917" idx="2"/>
          <a:endCxn id="918" idx="0"/>
        </xdr:cNvCxnSpPr>
      </xdr:nvCxnSpPr>
      <xdr:spPr>
        <a:xfrm>
          <a:off x="1714500" y="3048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60960</xdr:colOff>
      <xdr:row>22</xdr:row>
      <xdr:rowOff>45720</xdr:rowOff>
    </xdr:from>
    <xdr:to>
      <xdr:col>7</xdr:col>
      <xdr:colOff>60960</xdr:colOff>
      <xdr:row>25</xdr:row>
      <xdr:rowOff>5080</xdr:rowOff>
    </xdr:to>
    <xdr:cxnSp macro="">
      <xdr:nvCxnSpPr>
        <xdr:cNvPr id="934" name="ArrowIndex3-1">
          <a:extLst>
            <a:ext uri="{FF2B5EF4-FFF2-40B4-BE49-F238E27FC236}">
              <a16:creationId xmlns:a16="http://schemas.microsoft.com/office/drawing/2014/main" id="{00000000-0008-0000-0200-0000A6030000}"/>
            </a:ext>
          </a:extLst>
        </xdr:cNvPr>
        <xdr:cNvCxnSpPr>
          <a:stCxn id="918" idx="2"/>
          <a:endCxn id="919" idx="0"/>
        </xdr:cNvCxnSpPr>
      </xdr:nvCxnSpPr>
      <xdr:spPr>
        <a:xfrm>
          <a:off x="1714500" y="4191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60960</xdr:colOff>
      <xdr:row>28</xdr:row>
      <xdr:rowOff>91440</xdr:rowOff>
    </xdr:from>
    <xdr:to>
      <xdr:col>7</xdr:col>
      <xdr:colOff>60960</xdr:colOff>
      <xdr:row>31</xdr:row>
      <xdr:rowOff>50800</xdr:rowOff>
    </xdr:to>
    <xdr:cxnSp macro="">
      <xdr:nvCxnSpPr>
        <xdr:cNvPr id="935" name="ArrowIndex4-1">
          <a:extLst>
            <a:ext uri="{FF2B5EF4-FFF2-40B4-BE49-F238E27FC236}">
              <a16:creationId xmlns:a16="http://schemas.microsoft.com/office/drawing/2014/main" id="{00000000-0008-0000-0200-0000A7030000}"/>
            </a:ext>
          </a:extLst>
        </xdr:cNvPr>
        <xdr:cNvCxnSpPr>
          <a:stCxn id="919" idx="2"/>
          <a:endCxn id="920" idx="0"/>
        </xdr:cNvCxnSpPr>
      </xdr:nvCxnSpPr>
      <xdr:spPr>
        <a:xfrm>
          <a:off x="1714500" y="5334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50800</xdr:colOff>
      <xdr:row>26</xdr:row>
      <xdr:rowOff>139700</xdr:rowOff>
    </xdr:from>
    <xdr:to>
      <xdr:col>12</xdr:col>
      <xdr:colOff>213360</xdr:colOff>
      <xdr:row>26</xdr:row>
      <xdr:rowOff>139700</xdr:rowOff>
    </xdr:to>
    <xdr:cxnSp macro="">
      <xdr:nvCxnSpPr>
        <xdr:cNvPr id="936" name="ArrowIndex4-2">
          <a:extLst>
            <a:ext uri="{FF2B5EF4-FFF2-40B4-BE49-F238E27FC236}">
              <a16:creationId xmlns:a16="http://schemas.microsoft.com/office/drawing/2014/main" id="{00000000-0008-0000-0200-0000A8030000}"/>
            </a:ext>
          </a:extLst>
        </xdr:cNvPr>
        <xdr:cNvCxnSpPr>
          <a:stCxn id="919" idx="3"/>
          <a:endCxn id="925" idx="1"/>
        </xdr:cNvCxnSpPr>
      </xdr:nvCxnSpPr>
      <xdr:spPr>
        <a:xfrm>
          <a:off x="2413000" y="5016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60960</xdr:colOff>
      <xdr:row>34</xdr:row>
      <xdr:rowOff>137160</xdr:rowOff>
    </xdr:from>
    <xdr:to>
      <xdr:col>7</xdr:col>
      <xdr:colOff>60960</xdr:colOff>
      <xdr:row>37</xdr:row>
      <xdr:rowOff>96520</xdr:rowOff>
    </xdr:to>
    <xdr:cxnSp macro="">
      <xdr:nvCxnSpPr>
        <xdr:cNvPr id="937" name="ArrowIndex5-1">
          <a:extLst>
            <a:ext uri="{FF2B5EF4-FFF2-40B4-BE49-F238E27FC236}">
              <a16:creationId xmlns:a16="http://schemas.microsoft.com/office/drawing/2014/main" id="{00000000-0008-0000-0200-0000A9030000}"/>
            </a:ext>
          </a:extLst>
        </xdr:cNvPr>
        <xdr:cNvCxnSpPr>
          <a:stCxn id="920" idx="2"/>
          <a:endCxn id="921" idx="0"/>
        </xdr:cNvCxnSpPr>
      </xdr:nvCxnSpPr>
      <xdr:spPr>
        <a:xfrm>
          <a:off x="1714500" y="6477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60960</xdr:colOff>
      <xdr:row>41</xdr:row>
      <xdr:rowOff>0</xdr:rowOff>
    </xdr:from>
    <xdr:to>
      <xdr:col>7</xdr:col>
      <xdr:colOff>60960</xdr:colOff>
      <xdr:row>43</xdr:row>
      <xdr:rowOff>142240</xdr:rowOff>
    </xdr:to>
    <xdr:cxnSp macro="">
      <xdr:nvCxnSpPr>
        <xdr:cNvPr id="938" name="ArrowIndex6-1">
          <a:extLst>
            <a:ext uri="{FF2B5EF4-FFF2-40B4-BE49-F238E27FC236}">
              <a16:creationId xmlns:a16="http://schemas.microsoft.com/office/drawing/2014/main" id="{00000000-0008-0000-0200-0000AA030000}"/>
            </a:ext>
          </a:extLst>
        </xdr:cNvPr>
        <xdr:cNvCxnSpPr>
          <a:stCxn id="921" idx="2"/>
          <a:endCxn id="922" idx="0"/>
        </xdr:cNvCxnSpPr>
      </xdr:nvCxnSpPr>
      <xdr:spPr>
        <a:xfrm>
          <a:off x="1714500" y="7620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60960</xdr:colOff>
      <xdr:row>47</xdr:row>
      <xdr:rowOff>45720</xdr:rowOff>
    </xdr:from>
    <xdr:to>
      <xdr:col>7</xdr:col>
      <xdr:colOff>60960</xdr:colOff>
      <xdr:row>50</xdr:row>
      <xdr:rowOff>5080</xdr:rowOff>
    </xdr:to>
    <xdr:cxnSp macro="">
      <xdr:nvCxnSpPr>
        <xdr:cNvPr id="939" name="ArrowIndex7-1">
          <a:extLst>
            <a:ext uri="{FF2B5EF4-FFF2-40B4-BE49-F238E27FC236}">
              <a16:creationId xmlns:a16="http://schemas.microsoft.com/office/drawing/2014/main" id="{00000000-0008-0000-0200-0000AB030000}"/>
            </a:ext>
          </a:extLst>
        </xdr:cNvPr>
        <xdr:cNvCxnSpPr>
          <a:stCxn id="922" idx="2"/>
          <a:endCxn id="923" idx="0"/>
        </xdr:cNvCxnSpPr>
      </xdr:nvCxnSpPr>
      <xdr:spPr>
        <a:xfrm>
          <a:off x="1714500" y="8763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50800</xdr:colOff>
      <xdr:row>45</xdr:row>
      <xdr:rowOff>93980</xdr:rowOff>
    </xdr:from>
    <xdr:to>
      <xdr:col>12</xdr:col>
      <xdr:colOff>213360</xdr:colOff>
      <xdr:row>45</xdr:row>
      <xdr:rowOff>93980</xdr:rowOff>
    </xdr:to>
    <xdr:cxnSp macro="">
      <xdr:nvCxnSpPr>
        <xdr:cNvPr id="940" name="ArrowIndex7-2">
          <a:extLst>
            <a:ext uri="{FF2B5EF4-FFF2-40B4-BE49-F238E27FC236}">
              <a16:creationId xmlns:a16="http://schemas.microsoft.com/office/drawing/2014/main" id="{00000000-0008-0000-0200-0000AC030000}"/>
            </a:ext>
          </a:extLst>
        </xdr:cNvPr>
        <xdr:cNvCxnSpPr>
          <a:stCxn id="922" idx="3"/>
          <a:endCxn id="924" idx="1"/>
        </xdr:cNvCxnSpPr>
      </xdr:nvCxnSpPr>
      <xdr:spPr>
        <a:xfrm>
          <a:off x="2413000" y="8445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18</xdr:col>
      <xdr:colOff>193040</xdr:colOff>
      <xdr:row>26</xdr:row>
      <xdr:rowOff>139700</xdr:rowOff>
    </xdr:from>
    <xdr:to>
      <xdr:col>21</xdr:col>
      <xdr:colOff>119380</xdr:colOff>
      <xdr:row>26</xdr:row>
      <xdr:rowOff>139700</xdr:rowOff>
    </xdr:to>
    <xdr:cxnSp macro="">
      <xdr:nvCxnSpPr>
        <xdr:cNvPr id="941" name="ArrowIndex10-1">
          <a:extLst>
            <a:ext uri="{FF2B5EF4-FFF2-40B4-BE49-F238E27FC236}">
              <a16:creationId xmlns:a16="http://schemas.microsoft.com/office/drawing/2014/main" id="{00000000-0008-0000-0200-0000AD030000}"/>
            </a:ext>
          </a:extLst>
        </xdr:cNvPr>
        <xdr:cNvCxnSpPr>
          <a:stCxn id="925" idx="3"/>
          <a:endCxn id="926" idx="1"/>
        </xdr:cNvCxnSpPr>
      </xdr:nvCxnSpPr>
      <xdr:spPr>
        <a:xfrm>
          <a:off x="4445000" y="5016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99060</xdr:colOff>
      <xdr:row>26</xdr:row>
      <xdr:rowOff>139700</xdr:rowOff>
    </xdr:from>
    <xdr:to>
      <xdr:col>30</xdr:col>
      <xdr:colOff>25400</xdr:colOff>
      <xdr:row>26</xdr:row>
      <xdr:rowOff>139700</xdr:rowOff>
    </xdr:to>
    <xdr:cxnSp macro="">
      <xdr:nvCxnSpPr>
        <xdr:cNvPr id="942" name="ArrowIndex11-1">
          <a:extLst>
            <a:ext uri="{FF2B5EF4-FFF2-40B4-BE49-F238E27FC236}">
              <a16:creationId xmlns:a16="http://schemas.microsoft.com/office/drawing/2014/main" id="{00000000-0008-0000-0200-0000AE030000}"/>
            </a:ext>
          </a:extLst>
        </xdr:cNvPr>
        <xdr:cNvCxnSpPr>
          <a:stCxn id="926" idx="3"/>
          <a:endCxn id="927" idx="1"/>
        </xdr:cNvCxnSpPr>
      </xdr:nvCxnSpPr>
      <xdr:spPr>
        <a:xfrm>
          <a:off x="6477000" y="5016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33</xdr:col>
      <xdr:colOff>15240</xdr:colOff>
      <xdr:row>28</xdr:row>
      <xdr:rowOff>91440</xdr:rowOff>
    </xdr:from>
    <xdr:to>
      <xdr:col>33</xdr:col>
      <xdr:colOff>15240</xdr:colOff>
      <xdr:row>31</xdr:row>
      <xdr:rowOff>50800</xdr:rowOff>
    </xdr:to>
    <xdr:cxnSp macro="">
      <xdr:nvCxnSpPr>
        <xdr:cNvPr id="943" name="ArrowIndex12-1">
          <a:extLst>
            <a:ext uri="{FF2B5EF4-FFF2-40B4-BE49-F238E27FC236}">
              <a16:creationId xmlns:a16="http://schemas.microsoft.com/office/drawing/2014/main" id="{00000000-0008-0000-0200-0000AF030000}"/>
            </a:ext>
          </a:extLst>
        </xdr:cNvPr>
        <xdr:cNvCxnSpPr>
          <a:stCxn id="927" idx="2"/>
          <a:endCxn id="928" idx="0"/>
        </xdr:cNvCxnSpPr>
      </xdr:nvCxnSpPr>
      <xdr:spPr>
        <a:xfrm>
          <a:off x="7810500" y="5334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33</xdr:col>
      <xdr:colOff>15240</xdr:colOff>
      <xdr:row>34</xdr:row>
      <xdr:rowOff>137160</xdr:rowOff>
    </xdr:from>
    <xdr:to>
      <xdr:col>33</xdr:col>
      <xdr:colOff>15240</xdr:colOff>
      <xdr:row>37</xdr:row>
      <xdr:rowOff>96520</xdr:rowOff>
    </xdr:to>
    <xdr:cxnSp macro="">
      <xdr:nvCxnSpPr>
        <xdr:cNvPr id="944" name="ArrowIndex13-1">
          <a:extLst>
            <a:ext uri="{FF2B5EF4-FFF2-40B4-BE49-F238E27FC236}">
              <a16:creationId xmlns:a16="http://schemas.microsoft.com/office/drawing/2014/main" id="{00000000-0008-0000-0200-0000B0030000}"/>
            </a:ext>
          </a:extLst>
        </xdr:cNvPr>
        <xdr:cNvCxnSpPr>
          <a:stCxn id="928" idx="2"/>
          <a:endCxn id="929" idx="0"/>
        </xdr:cNvCxnSpPr>
      </xdr:nvCxnSpPr>
      <xdr:spPr>
        <a:xfrm>
          <a:off x="7810500" y="6477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36</xdr:col>
      <xdr:colOff>5080</xdr:colOff>
      <xdr:row>33</xdr:row>
      <xdr:rowOff>2540</xdr:rowOff>
    </xdr:from>
    <xdr:to>
      <xdr:col>38</xdr:col>
      <xdr:colOff>167640</xdr:colOff>
      <xdr:row>33</xdr:row>
      <xdr:rowOff>2540</xdr:rowOff>
    </xdr:to>
    <xdr:cxnSp macro="">
      <xdr:nvCxnSpPr>
        <xdr:cNvPr id="945" name="ArrowIndex13-2">
          <a:extLst>
            <a:ext uri="{FF2B5EF4-FFF2-40B4-BE49-F238E27FC236}">
              <a16:creationId xmlns:a16="http://schemas.microsoft.com/office/drawing/2014/main" id="{00000000-0008-0000-0200-0000B1030000}"/>
            </a:ext>
          </a:extLst>
        </xdr:cNvPr>
        <xdr:cNvCxnSpPr>
          <a:stCxn id="928" idx="3"/>
          <a:endCxn id="930" idx="1"/>
        </xdr:cNvCxnSpPr>
      </xdr:nvCxnSpPr>
      <xdr:spPr>
        <a:xfrm>
          <a:off x="8509000" y="6159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33</xdr:col>
      <xdr:colOff>15240</xdr:colOff>
      <xdr:row>41</xdr:row>
      <xdr:rowOff>0</xdr:rowOff>
    </xdr:from>
    <xdr:to>
      <xdr:col>33</xdr:col>
      <xdr:colOff>15240</xdr:colOff>
      <xdr:row>43</xdr:row>
      <xdr:rowOff>142240</xdr:rowOff>
    </xdr:to>
    <xdr:cxnSp macro="">
      <xdr:nvCxnSpPr>
        <xdr:cNvPr id="946" name="ArrowIndex14-1">
          <a:extLst>
            <a:ext uri="{FF2B5EF4-FFF2-40B4-BE49-F238E27FC236}">
              <a16:creationId xmlns:a16="http://schemas.microsoft.com/office/drawing/2014/main" id="{00000000-0008-0000-0200-0000B2030000}"/>
            </a:ext>
          </a:extLst>
        </xdr:cNvPr>
        <xdr:cNvCxnSpPr>
          <a:stCxn id="929" idx="2"/>
          <a:endCxn id="931" idx="0"/>
        </xdr:cNvCxnSpPr>
      </xdr:nvCxnSpPr>
      <xdr:spPr>
        <a:xfrm>
          <a:off x="7810500" y="7620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50800</xdr:colOff>
      <xdr:row>47</xdr:row>
      <xdr:rowOff>45720</xdr:rowOff>
    </xdr:from>
    <xdr:to>
      <xdr:col>15</xdr:col>
      <xdr:colOff>203200</xdr:colOff>
      <xdr:row>51</xdr:row>
      <xdr:rowOff>139700</xdr:rowOff>
    </xdr:to>
    <xdr:cxnSp macro="">
      <xdr:nvCxnSpPr>
        <xdr:cNvPr id="947" name="ArrowIndex8-1">
          <a:extLst>
            <a:ext uri="{FF2B5EF4-FFF2-40B4-BE49-F238E27FC236}">
              <a16:creationId xmlns:a16="http://schemas.microsoft.com/office/drawing/2014/main" id="{00000000-0008-0000-0200-0000B3030000}"/>
            </a:ext>
          </a:extLst>
        </xdr:cNvPr>
        <xdr:cNvCxnSpPr>
          <a:stCxn id="923" idx="3"/>
          <a:endCxn id="924" idx="2"/>
        </xdr:cNvCxnSpPr>
      </xdr:nvCxnSpPr>
      <xdr:spPr>
        <a:xfrm flipV="1">
          <a:off x="2413000" y="8763000"/>
          <a:ext cx="1333500" cy="825500"/>
        </a:xfrm>
        <a:prstGeom prst="bentConnector2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36</xdr:col>
      <xdr:colOff>5080</xdr:colOff>
      <xdr:row>34</xdr:row>
      <xdr:rowOff>137160</xdr:rowOff>
    </xdr:from>
    <xdr:to>
      <xdr:col>41</xdr:col>
      <xdr:colOff>157480</xdr:colOff>
      <xdr:row>45</xdr:row>
      <xdr:rowOff>93980</xdr:rowOff>
    </xdr:to>
    <xdr:cxnSp macro="">
      <xdr:nvCxnSpPr>
        <xdr:cNvPr id="948" name="ArrowIndex15-1">
          <a:extLst>
            <a:ext uri="{FF2B5EF4-FFF2-40B4-BE49-F238E27FC236}">
              <a16:creationId xmlns:a16="http://schemas.microsoft.com/office/drawing/2014/main" id="{00000000-0008-0000-0200-0000B4030000}"/>
            </a:ext>
          </a:extLst>
        </xdr:cNvPr>
        <xdr:cNvCxnSpPr>
          <a:stCxn id="930" idx="2"/>
          <a:endCxn id="931" idx="3"/>
        </xdr:cNvCxnSpPr>
      </xdr:nvCxnSpPr>
      <xdr:spPr>
        <a:xfrm rot="5400000">
          <a:off x="8191500" y="6794500"/>
          <a:ext cx="1968500" cy="1333500"/>
        </a:xfrm>
        <a:prstGeom prst="bentConnector2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176923</xdr:colOff>
      <xdr:row>29</xdr:row>
      <xdr:rowOff>76447</xdr:rowOff>
    </xdr:from>
    <xdr:ext cx="240515" cy="172227"/>
    <xdr:sp macro="" textlink="">
      <xdr:nvSpPr>
        <xdr:cNvPr id="949" name="LabelIndex4-1">
          <a:extLst>
            <a:ext uri="{FF2B5EF4-FFF2-40B4-BE49-F238E27FC236}">
              <a16:creationId xmlns:a16="http://schemas.microsoft.com/office/drawing/2014/main" id="{00000000-0008-0000-0200-0000B5030000}"/>
            </a:ext>
          </a:extLst>
        </xdr:cNvPr>
        <xdr:cNvSpPr txBox="1"/>
      </xdr:nvSpPr>
      <xdr:spPr>
        <a:xfrm>
          <a:off x="1594243" y="5501887"/>
          <a:ext cx="240515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yes</a:t>
          </a:r>
        </a:p>
      </xdr:txBody>
    </xdr:sp>
    <xdr:clientData/>
  </xdr:oneCellAnchor>
  <xdr:oneCellAnchor>
    <xdr:from>
      <xdr:col>11</xdr:col>
      <xdr:colOff>23717</xdr:colOff>
      <xdr:row>26</xdr:row>
      <xdr:rowOff>53587</xdr:rowOff>
    </xdr:from>
    <xdr:ext cx="216726" cy="172227"/>
    <xdr:sp macro="" textlink="">
      <xdr:nvSpPr>
        <xdr:cNvPr id="950" name="LabelIndex4-2">
          <a:extLst>
            <a:ext uri="{FF2B5EF4-FFF2-40B4-BE49-F238E27FC236}">
              <a16:creationId xmlns:a16="http://schemas.microsoft.com/office/drawing/2014/main" id="{00000000-0008-0000-0200-0000B6030000}"/>
            </a:ext>
          </a:extLst>
        </xdr:cNvPr>
        <xdr:cNvSpPr txBox="1"/>
      </xdr:nvSpPr>
      <xdr:spPr>
        <a:xfrm>
          <a:off x="2622137" y="4930387"/>
          <a:ext cx="216726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No</a:t>
          </a:r>
        </a:p>
      </xdr:txBody>
    </xdr:sp>
    <xdr:clientData/>
  </xdr:oneCellAnchor>
  <xdr:oneCellAnchor>
    <xdr:from>
      <xdr:col>6</xdr:col>
      <xdr:colOff>176923</xdr:colOff>
      <xdr:row>48</xdr:row>
      <xdr:rowOff>30727</xdr:rowOff>
    </xdr:from>
    <xdr:ext cx="240515" cy="172227"/>
    <xdr:sp macro="" textlink="">
      <xdr:nvSpPr>
        <xdr:cNvPr id="951" name="LabelIndex7-1">
          <a:extLst>
            <a:ext uri="{FF2B5EF4-FFF2-40B4-BE49-F238E27FC236}">
              <a16:creationId xmlns:a16="http://schemas.microsoft.com/office/drawing/2014/main" id="{00000000-0008-0000-0200-0000B7030000}"/>
            </a:ext>
          </a:extLst>
        </xdr:cNvPr>
        <xdr:cNvSpPr txBox="1"/>
      </xdr:nvSpPr>
      <xdr:spPr>
        <a:xfrm>
          <a:off x="1594243" y="8930887"/>
          <a:ext cx="240515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yes</a:t>
          </a:r>
        </a:p>
      </xdr:txBody>
    </xdr:sp>
    <xdr:clientData/>
  </xdr:oneCellAnchor>
  <xdr:oneCellAnchor>
    <xdr:from>
      <xdr:col>11</xdr:col>
      <xdr:colOff>23717</xdr:colOff>
      <xdr:row>45</xdr:row>
      <xdr:rowOff>7867</xdr:rowOff>
    </xdr:from>
    <xdr:ext cx="216726" cy="172227"/>
    <xdr:sp macro="" textlink="">
      <xdr:nvSpPr>
        <xdr:cNvPr id="952" name="LabelIndex7-2">
          <a:extLst>
            <a:ext uri="{FF2B5EF4-FFF2-40B4-BE49-F238E27FC236}">
              <a16:creationId xmlns:a16="http://schemas.microsoft.com/office/drawing/2014/main" id="{00000000-0008-0000-0200-0000B8030000}"/>
            </a:ext>
          </a:extLst>
        </xdr:cNvPr>
        <xdr:cNvSpPr txBox="1"/>
      </xdr:nvSpPr>
      <xdr:spPr>
        <a:xfrm>
          <a:off x="2622137" y="8359387"/>
          <a:ext cx="216726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No</a:t>
          </a:r>
        </a:p>
      </xdr:txBody>
    </xdr:sp>
    <xdr:clientData/>
  </xdr:oneCellAnchor>
  <xdr:oneCellAnchor>
    <xdr:from>
      <xdr:col>32</xdr:col>
      <xdr:colOff>131202</xdr:colOff>
      <xdr:row>35</xdr:row>
      <xdr:rowOff>122167</xdr:rowOff>
    </xdr:from>
    <xdr:ext cx="240515" cy="172227"/>
    <xdr:sp macro="" textlink="">
      <xdr:nvSpPr>
        <xdr:cNvPr id="953" name="LabelIndex13-1">
          <a:extLst>
            <a:ext uri="{FF2B5EF4-FFF2-40B4-BE49-F238E27FC236}">
              <a16:creationId xmlns:a16="http://schemas.microsoft.com/office/drawing/2014/main" id="{00000000-0008-0000-0200-0000B9030000}"/>
            </a:ext>
          </a:extLst>
        </xdr:cNvPr>
        <xdr:cNvSpPr txBox="1"/>
      </xdr:nvSpPr>
      <xdr:spPr>
        <a:xfrm>
          <a:off x="7690242" y="6644887"/>
          <a:ext cx="240515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yes</a:t>
          </a:r>
        </a:p>
      </xdr:txBody>
    </xdr:sp>
    <xdr:clientData/>
  </xdr:oneCellAnchor>
  <xdr:oneCellAnchor>
    <xdr:from>
      <xdr:col>36</xdr:col>
      <xdr:colOff>214217</xdr:colOff>
      <xdr:row>32</xdr:row>
      <xdr:rowOff>99307</xdr:rowOff>
    </xdr:from>
    <xdr:ext cx="216726" cy="172227"/>
    <xdr:sp macro="" textlink="">
      <xdr:nvSpPr>
        <xdr:cNvPr id="954" name="LabelIndex13-2">
          <a:extLst>
            <a:ext uri="{FF2B5EF4-FFF2-40B4-BE49-F238E27FC236}">
              <a16:creationId xmlns:a16="http://schemas.microsoft.com/office/drawing/2014/main" id="{00000000-0008-0000-0200-0000BA030000}"/>
            </a:ext>
          </a:extLst>
        </xdr:cNvPr>
        <xdr:cNvSpPr txBox="1"/>
      </xdr:nvSpPr>
      <xdr:spPr>
        <a:xfrm>
          <a:off x="8718137" y="6073387"/>
          <a:ext cx="216726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No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taTable" displayName="DataTable" ref="B6:H228" totalsRowShown="0" headerRowDxfId="8" dataDxfId="7">
  <tableColumns count="7">
    <tableColumn id="1" xr3:uid="{00000000-0010-0000-0000-000001000000}" name="ID" dataDxfId="6"/>
    <tableColumn id="2" xr3:uid="{00000000-0010-0000-0000-000002000000}" name="Desc" dataDxfId="5"/>
    <tableColumn id="3" xr3:uid="{00000000-0010-0000-0000-000003000000}" name="Next ID" dataDxfId="4"/>
    <tableColumn id="4" xr3:uid="{00000000-0010-0000-0000-000004000000}" name="Decision Labels" dataDxfId="3"/>
    <tableColumn id="5" xr3:uid="{00000000-0010-0000-0000-000005000000}" name="Shape Type" dataDxfId="2"/>
    <tableColumn id="6" xr3:uid="{00000000-0010-0000-0000-000006000000}" name="Next ID Position_x000a_(Optional)" dataDxfId="1"/>
    <tableColumn id="7" xr3:uid="{00000000-0010-0000-0000-000007000000}" name="Shape Color_x000a_(Optional)" dataDxfId="0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C2:CR1005"/>
  <sheetViews>
    <sheetView showGridLines="0" showRowColHeaders="0" zoomScale="85" zoomScaleNormal="85" workbookViewId="0">
      <pane ySplit="6" topLeftCell="A7" activePane="bottomLeft" state="frozen"/>
      <selection pane="bottomLeft" activeCell="G14" sqref="G14"/>
    </sheetView>
  </sheetViews>
  <sheetFormatPr defaultColWidth="9.109375" defaultRowHeight="14.4" x14ac:dyDescent="0.3"/>
  <cols>
    <col min="1" max="2" width="4.6640625" style="86" customWidth="1"/>
    <col min="3" max="3" width="13" style="85" customWidth="1"/>
    <col min="4" max="5" width="9.109375" style="85"/>
    <col min="6" max="6" width="29" style="86" customWidth="1"/>
    <col min="7" max="7" width="15" style="85" customWidth="1"/>
    <col min="8" max="11" width="18.6640625" style="86" customWidth="1"/>
    <col min="12" max="12" width="8.6640625" style="86" customWidth="1"/>
    <col min="13" max="18" width="5.6640625" style="85" customWidth="1"/>
    <col min="19" max="19" width="16.6640625" style="87" customWidth="1"/>
    <col min="20" max="20" width="16.6640625" style="85" customWidth="1"/>
    <col min="21" max="21" width="8.6640625" style="85" customWidth="1"/>
    <col min="22" max="24" width="12.88671875" style="85" customWidth="1"/>
    <col min="25" max="26" width="16.6640625" style="85" customWidth="1"/>
    <col min="27" max="27" width="8.6640625" style="86" customWidth="1"/>
    <col min="28" max="30" width="11.6640625" style="85" customWidth="1"/>
    <col min="31" max="31" width="20.33203125" style="85" customWidth="1"/>
    <col min="32" max="32" width="21.88671875" style="86" customWidth="1"/>
    <col min="33" max="35" width="7.44140625" style="86" customWidth="1"/>
    <col min="36" max="36" width="20.33203125" style="86" customWidth="1"/>
    <col min="37" max="39" width="8.33203125" style="85" customWidth="1"/>
    <col min="40" max="40" width="8.6640625" style="86" customWidth="1"/>
    <col min="41" max="43" width="10.6640625" style="85" customWidth="1"/>
    <col min="44" max="44" width="8.6640625" style="86" customWidth="1"/>
    <col min="45" max="45" width="22.44140625" style="86" customWidth="1"/>
    <col min="46" max="46" width="9.109375" style="86" customWidth="1"/>
    <col min="47" max="49" width="8.6640625" style="85" customWidth="1"/>
    <col min="50" max="53" width="7.6640625" style="86" customWidth="1"/>
    <col min="54" max="57" width="5.6640625" style="86" customWidth="1"/>
    <col min="58" max="61" width="13.5546875" style="85" customWidth="1"/>
    <col min="62" max="62" width="8.6640625" style="86" customWidth="1"/>
    <col min="63" max="67" width="12.109375" style="85" customWidth="1"/>
    <col min="68" max="68" width="28.6640625" style="85" customWidth="1"/>
    <col min="69" max="69" width="11.44140625" style="85" customWidth="1"/>
    <col min="70" max="70" width="2.5546875" style="85" customWidth="1"/>
    <col min="71" max="71" width="23.5546875" style="86" bestFit="1" customWidth="1"/>
    <col min="72" max="72" width="39.88671875" style="86" bestFit="1" customWidth="1"/>
    <col min="73" max="79" width="8.109375" style="86" customWidth="1"/>
    <col min="80" max="80" width="9.109375" style="86"/>
    <col min="81" max="85" width="15.88671875" style="86" customWidth="1"/>
    <col min="86" max="90" width="9.33203125" style="86" customWidth="1"/>
    <col min="91" max="91" width="3.88671875" style="86" customWidth="1"/>
    <col min="92" max="92" width="9.5546875" style="85" customWidth="1"/>
    <col min="93" max="93" width="58.44140625" style="86" customWidth="1"/>
    <col min="94" max="95" width="10.5546875" style="86" customWidth="1"/>
    <col min="96" max="16384" width="9.109375" style="86"/>
  </cols>
  <sheetData>
    <row r="2" spans="3:96" x14ac:dyDescent="0.3">
      <c r="G2" s="86"/>
      <c r="AR2" s="85"/>
      <c r="AX2" s="85"/>
      <c r="AY2" s="85"/>
      <c r="AZ2" s="85"/>
      <c r="BA2" s="85"/>
      <c r="BB2" s="85"/>
      <c r="BC2" s="85"/>
      <c r="BD2" s="85"/>
      <c r="BE2" s="85"/>
      <c r="BJ2" s="85"/>
    </row>
    <row r="3" spans="3:96" s="88" customFormat="1" ht="20.100000000000001" customHeight="1" x14ac:dyDescent="0.3">
      <c r="D3" s="87"/>
      <c r="E3" s="87"/>
      <c r="G3" s="89" t="s">
        <v>39</v>
      </c>
      <c r="M3" s="90" t="s">
        <v>40</v>
      </c>
      <c r="N3" s="91"/>
      <c r="O3" s="91"/>
      <c r="P3" s="91"/>
      <c r="Q3" s="91"/>
      <c r="R3" s="91"/>
      <c r="S3" s="91"/>
      <c r="T3" s="92"/>
      <c r="U3" s="87"/>
      <c r="V3" s="93" t="s">
        <v>41</v>
      </c>
      <c r="W3" s="94"/>
      <c r="X3" s="94"/>
      <c r="Y3" s="94"/>
      <c r="Z3" s="95"/>
      <c r="AB3" s="96" t="s">
        <v>42</v>
      </c>
      <c r="AC3" s="97"/>
      <c r="AD3" s="97"/>
      <c r="AE3" s="97"/>
      <c r="AF3" s="97"/>
      <c r="AG3" s="97"/>
      <c r="AH3" s="97"/>
      <c r="AI3" s="97"/>
      <c r="AJ3" s="97"/>
      <c r="AK3" s="97"/>
      <c r="AL3" s="97"/>
      <c r="AM3" s="97"/>
      <c r="AO3" s="98" t="s">
        <v>43</v>
      </c>
      <c r="AP3" s="99"/>
      <c r="AQ3" s="99"/>
      <c r="AR3" s="100"/>
      <c r="AS3" s="101" t="s">
        <v>44</v>
      </c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3"/>
      <c r="BJ3" s="87"/>
      <c r="BK3" s="104" t="s">
        <v>45</v>
      </c>
      <c r="BL3" s="105"/>
      <c r="BM3" s="105"/>
      <c r="BN3" s="105"/>
      <c r="BO3" s="105"/>
      <c r="BP3" s="105"/>
      <c r="BQ3" s="105"/>
      <c r="BR3" s="105"/>
      <c r="BS3" s="105"/>
      <c r="BT3" s="105"/>
      <c r="BU3" s="105"/>
      <c r="BV3" s="105"/>
      <c r="BW3" s="105"/>
      <c r="BX3" s="105"/>
      <c r="BY3" s="105"/>
      <c r="BZ3" s="105"/>
      <c r="CA3" s="106"/>
      <c r="CC3" s="107" t="s">
        <v>46</v>
      </c>
      <c r="CD3" s="108"/>
      <c r="CE3" s="108"/>
      <c r="CF3" s="108"/>
      <c r="CG3" s="108"/>
      <c r="CH3" s="108"/>
      <c r="CI3" s="108"/>
      <c r="CJ3" s="108"/>
      <c r="CK3" s="108"/>
      <c r="CL3" s="108"/>
      <c r="CM3" s="108"/>
      <c r="CN3" s="108"/>
      <c r="CO3" s="108"/>
      <c r="CP3" s="108"/>
      <c r="CQ3" s="108"/>
      <c r="CR3" s="109"/>
    </row>
    <row r="4" spans="3:96" x14ac:dyDescent="0.3">
      <c r="C4" s="110" t="s">
        <v>47</v>
      </c>
      <c r="G4" s="219" t="str">
        <f>IF(OR(D4="-",D4=""),"-",IF(LEN(INDEX(Dashboard!$D$6:$D$228,C4+1))=0,"", "x"&amp;SUBSTITUTE(SUBSTITUTE(INDEX(Dashboard!$D$6:$D$228,C4+1)," ",""),",","x,x")&amp;"x"))</f>
        <v>-</v>
      </c>
      <c r="V4" s="112" t="s">
        <v>48</v>
      </c>
      <c r="W4" s="112" t="s">
        <v>49</v>
      </c>
      <c r="Y4" s="113" t="s">
        <v>50</v>
      </c>
      <c r="Z4" s="112" t="s">
        <v>51</v>
      </c>
      <c r="BF4" s="114">
        <f t="array" ref="BF4">MAX(IF(ConnectionsNodeSectionRange&lt;&gt;"-",ROW(ConnectionsNodeSectionRange)-ROW($BF$6),0))</f>
        <v>36</v>
      </c>
      <c r="BK4" s="115" t="s">
        <v>52</v>
      </c>
      <c r="BL4" s="115" t="s">
        <v>53</v>
      </c>
      <c r="BM4" s="116" t="s">
        <v>54</v>
      </c>
      <c r="BN4" s="116" t="s">
        <v>55</v>
      </c>
      <c r="CC4" s="117">
        <f ca="1">SUM(CC7:CC206)</f>
        <v>0</v>
      </c>
      <c r="CD4" s="117">
        <f t="shared" ref="CD4:CL4" ca="1" si="0">SUM(CD7:CD206)</f>
        <v>0</v>
      </c>
      <c r="CE4" s="117">
        <f t="shared" ca="1" si="0"/>
        <v>0</v>
      </c>
      <c r="CF4" s="117">
        <f ca="1">IF(COUNTIF(ValidRange,"&lt;&gt;"&amp;"-")=0,1,0)</f>
        <v>0</v>
      </c>
      <c r="CG4" s="117">
        <f t="shared" ca="1" si="0"/>
        <v>0</v>
      </c>
      <c r="CH4" s="117">
        <f t="shared" si="0"/>
        <v>0</v>
      </c>
      <c r="CI4" s="117">
        <f t="shared" si="0"/>
        <v>0</v>
      </c>
      <c r="CJ4" s="117">
        <f t="shared" si="0"/>
        <v>0</v>
      </c>
      <c r="CK4" s="117">
        <f t="shared" si="0"/>
        <v>0</v>
      </c>
      <c r="CL4" s="117">
        <f t="shared" si="0"/>
        <v>0</v>
      </c>
    </row>
    <row r="5" spans="3:96" x14ac:dyDescent="0.3">
      <c r="C5" s="111">
        <f t="array" aca="1" ref="C5" ca="1">IF( MIN(IF(TotalPrecedentsRange=0,$C$7:$C$206,999)) &lt;&gt; 999,  MIN(IF(TotalPrecedentsRange=0,$C$7:$C$206,999)),  IF( MIN(IF($I$7:$I$206=$BS$7,$C$7:$C$206,999)) &lt;&gt; 999, MIN(IF($I$7:$I$206=$BS$7,$C$7:$C$206,999)), 1))</f>
        <v>1</v>
      </c>
      <c r="E5" s="118" t="s">
        <v>56</v>
      </c>
      <c r="F5" s="119"/>
      <c r="G5" s="119"/>
      <c r="H5" s="119"/>
      <c r="I5" s="120"/>
      <c r="J5" s="120"/>
      <c r="K5" s="120"/>
      <c r="M5" s="121" t="s">
        <v>57</v>
      </c>
      <c r="N5" s="122"/>
      <c r="O5" s="122"/>
      <c r="P5" s="123" t="s">
        <v>58</v>
      </c>
      <c r="Q5" s="122"/>
      <c r="R5" s="124"/>
      <c r="S5" s="86"/>
      <c r="T5" s="86"/>
      <c r="V5" s="125">
        <v>10</v>
      </c>
      <c r="W5" s="125">
        <v>10</v>
      </c>
      <c r="Y5" s="126">
        <f t="array" aca="1" ref="Y5" ca="1">MIN(IF((ValidRange="Yes") * (LEN(GridXRange)=0),$C$7:$C$206,99999))</f>
        <v>99999</v>
      </c>
      <c r="Z5" s="127">
        <f t="array" ref="Z5">MIN(IF(LEN(ProcessOrderRange)=0,$C$7:$C$206,999))</f>
        <v>17</v>
      </c>
      <c r="AB5" s="128" t="s">
        <v>59</v>
      </c>
      <c r="AC5" s="129"/>
      <c r="AD5" s="130"/>
      <c r="AK5" s="128" t="s">
        <v>60</v>
      </c>
      <c r="AL5" s="129"/>
      <c r="AM5" s="129"/>
      <c r="AN5" s="131"/>
      <c r="AS5" s="132" t="s">
        <v>61</v>
      </c>
      <c r="AT5" s="133"/>
      <c r="AU5" s="134" t="s">
        <v>62</v>
      </c>
      <c r="AV5" s="133"/>
      <c r="AW5" s="133"/>
      <c r="AX5" s="135" t="s">
        <v>63</v>
      </c>
      <c r="AY5" s="136"/>
      <c r="AZ5" s="136"/>
      <c r="BA5" s="136"/>
      <c r="BB5" s="135" t="s">
        <v>64</v>
      </c>
      <c r="BC5" s="136"/>
      <c r="BD5" s="136"/>
      <c r="BE5" s="137"/>
      <c r="BF5" s="133" t="s">
        <v>65</v>
      </c>
      <c r="BG5" s="133"/>
      <c r="BH5" s="138"/>
      <c r="BI5" s="138"/>
      <c r="BK5" s="139">
        <f>IF(MIN(GridXRange)&lt;StartGridX,(StartGridX-MIN(GridXRange))*(Dashboard!M15+GapXDiff),0) + 80</f>
        <v>80</v>
      </c>
      <c r="BL5" s="139">
        <f>IF(MIN(GridYRange)&lt;StartGridY,(StartGridY-MIN(GridYRange))*(Dashboard!M16+GapYDiff),0) + 100</f>
        <v>100</v>
      </c>
      <c r="BM5" s="140">
        <v>45</v>
      </c>
      <c r="BN5" s="140">
        <v>54</v>
      </c>
      <c r="BO5" s="86"/>
      <c r="BP5" s="86"/>
      <c r="BQ5" s="141"/>
      <c r="CC5" s="142" t="s">
        <v>66</v>
      </c>
      <c r="CD5" s="142" t="s">
        <v>67</v>
      </c>
      <c r="CE5" s="142" t="s">
        <v>68</v>
      </c>
      <c r="CF5" s="142" t="s">
        <v>69</v>
      </c>
      <c r="CG5" s="142" t="s">
        <v>70</v>
      </c>
      <c r="CH5" s="142" t="s">
        <v>71</v>
      </c>
      <c r="CI5" s="142" t="s">
        <v>72</v>
      </c>
      <c r="CJ5" s="142" t="s">
        <v>73</v>
      </c>
      <c r="CK5" s="142" t="s">
        <v>74</v>
      </c>
      <c r="CL5" s="142" t="s">
        <v>75</v>
      </c>
      <c r="CP5" s="143">
        <f ca="1">COUNTIF(CP7:CP16,"&gt;"&amp;0)</f>
        <v>0</v>
      </c>
    </row>
    <row r="6" spans="3:96" s="146" customFormat="1" ht="30" customHeight="1" thickBot="1" x14ac:dyDescent="0.35">
      <c r="C6" s="144" t="s">
        <v>76</v>
      </c>
      <c r="D6" s="144" t="s">
        <v>77</v>
      </c>
      <c r="E6" s="144" t="s">
        <v>4</v>
      </c>
      <c r="F6" s="145" t="s">
        <v>5</v>
      </c>
      <c r="G6" s="144" t="s">
        <v>6</v>
      </c>
      <c r="H6" s="144" t="s">
        <v>7</v>
      </c>
      <c r="I6" s="144" t="s">
        <v>8</v>
      </c>
      <c r="J6" s="144" t="s">
        <v>78</v>
      </c>
      <c r="K6" s="144" t="s">
        <v>79</v>
      </c>
      <c r="M6" s="147">
        <v>1</v>
      </c>
      <c r="N6" s="147">
        <v>2</v>
      </c>
      <c r="O6" s="147">
        <v>3</v>
      </c>
      <c r="P6" s="148">
        <v>1</v>
      </c>
      <c r="Q6" s="147">
        <v>2</v>
      </c>
      <c r="R6" s="147">
        <v>3</v>
      </c>
      <c r="S6" s="149" t="s">
        <v>80</v>
      </c>
      <c r="T6" s="149" t="s">
        <v>81</v>
      </c>
      <c r="U6" s="150"/>
      <c r="V6" s="151" t="s">
        <v>82</v>
      </c>
      <c r="W6" s="151" t="s">
        <v>83</v>
      </c>
      <c r="X6" s="152" t="s">
        <v>84</v>
      </c>
      <c r="Y6" s="153" t="s">
        <v>85</v>
      </c>
      <c r="Z6" s="151" t="s">
        <v>86</v>
      </c>
      <c r="AA6" s="86"/>
      <c r="AB6" s="154">
        <v>1</v>
      </c>
      <c r="AC6" s="154">
        <v>2</v>
      </c>
      <c r="AD6" s="154">
        <v>3</v>
      </c>
      <c r="AE6" s="155" t="s">
        <v>87</v>
      </c>
      <c r="AF6" s="156" t="s">
        <v>88</v>
      </c>
      <c r="AG6" s="129"/>
      <c r="AH6" s="129"/>
      <c r="AI6" s="130"/>
      <c r="AJ6" s="155" t="s">
        <v>89</v>
      </c>
      <c r="AK6" s="154">
        <v>1</v>
      </c>
      <c r="AL6" s="154">
        <v>2</v>
      </c>
      <c r="AM6" s="154">
        <v>3</v>
      </c>
      <c r="AO6" s="157">
        <v>1</v>
      </c>
      <c r="AP6" s="157">
        <v>2</v>
      </c>
      <c r="AQ6" s="157">
        <v>3</v>
      </c>
      <c r="AS6" s="158" t="s">
        <v>90</v>
      </c>
      <c r="AT6" s="159" t="s">
        <v>91</v>
      </c>
      <c r="AU6" s="160">
        <v>1</v>
      </c>
      <c r="AV6" s="161">
        <v>2</v>
      </c>
      <c r="AW6" s="161">
        <v>3</v>
      </c>
      <c r="AX6" s="162" t="s">
        <v>92</v>
      </c>
      <c r="AY6" s="163" t="s">
        <v>93</v>
      </c>
      <c r="AZ6" s="163" t="s">
        <v>94</v>
      </c>
      <c r="BA6" s="159" t="s">
        <v>95</v>
      </c>
      <c r="BB6" s="162">
        <v>1</v>
      </c>
      <c r="BC6" s="163">
        <v>2</v>
      </c>
      <c r="BD6" s="163">
        <v>3</v>
      </c>
      <c r="BE6" s="164">
        <v>4</v>
      </c>
      <c r="BF6" s="165" t="s">
        <v>96</v>
      </c>
      <c r="BG6" s="163" t="s">
        <v>97</v>
      </c>
      <c r="BH6" s="163" t="s">
        <v>98</v>
      </c>
      <c r="BI6" s="165" t="s">
        <v>99</v>
      </c>
      <c r="BK6" s="166" t="s">
        <v>100</v>
      </c>
      <c r="BL6" s="166" t="s">
        <v>101</v>
      </c>
      <c r="BM6" s="166" t="s">
        <v>102</v>
      </c>
      <c r="BN6" s="166" t="s">
        <v>103</v>
      </c>
      <c r="BO6" s="167" t="s">
        <v>104</v>
      </c>
      <c r="BP6" s="167" t="s">
        <v>105</v>
      </c>
      <c r="BQ6" s="166" t="s">
        <v>106</v>
      </c>
      <c r="BR6" s="150"/>
      <c r="BS6" s="168" t="s">
        <v>107</v>
      </c>
      <c r="BT6" s="168" t="s">
        <v>108</v>
      </c>
      <c r="BU6" s="167" t="s">
        <v>109</v>
      </c>
      <c r="BV6" s="167" t="s">
        <v>110</v>
      </c>
      <c r="BW6" s="167" t="s">
        <v>111</v>
      </c>
      <c r="BX6" s="167" t="s">
        <v>112</v>
      </c>
      <c r="BY6" s="167" t="s">
        <v>113</v>
      </c>
      <c r="BZ6" s="167" t="s">
        <v>114</v>
      </c>
      <c r="CA6" s="167" t="s">
        <v>115</v>
      </c>
      <c r="CC6" s="169" t="s">
        <v>116</v>
      </c>
      <c r="CD6" s="169" t="s">
        <v>117</v>
      </c>
      <c r="CE6" s="169" t="s">
        <v>118</v>
      </c>
      <c r="CF6" s="169" t="s">
        <v>119</v>
      </c>
      <c r="CG6" s="169" t="s">
        <v>120</v>
      </c>
      <c r="CH6" s="169"/>
      <c r="CI6" s="169"/>
      <c r="CJ6" s="169"/>
      <c r="CK6" s="169"/>
      <c r="CL6" s="169"/>
      <c r="CN6" s="169" t="s">
        <v>121</v>
      </c>
      <c r="CO6" s="169" t="s">
        <v>122</v>
      </c>
      <c r="CP6" s="169" t="s">
        <v>123</v>
      </c>
      <c r="CQ6" s="169" t="s">
        <v>124</v>
      </c>
    </row>
    <row r="7" spans="3:96" ht="15" thickTop="1" x14ac:dyDescent="0.3">
      <c r="C7" s="170">
        <v>1</v>
      </c>
      <c r="D7" s="111" t="str">
        <f ca="1">IF(COUNTA(OFFSET(Dashboard!$B$6,C7,0,1,COUNTA(Dashboard!$B$6:$H$6)))&gt;0,"Yes","-")</f>
        <v>Yes</v>
      </c>
      <c r="E7" s="170" t="str">
        <f ca="1">IF(D7="-","-",IF(LEN(INDEX(Dashboard!B$6:B$206,$C7+1))=0,"x"&amp;C7&amp;"x","x"&amp;INDEX(Dashboard!B$6:B$206,$C7+1)&amp;"x"))</f>
        <v>x1x</v>
      </c>
      <c r="F7" s="171" t="str">
        <f ca="1">IF(D7="-","-",IF(LEN(INDEX(Dashboard!$C$6:$C$206,C7+1))=0," ",INDEX(Dashboard!$C$6:$C$206,C7+1)))</f>
        <v>Start</v>
      </c>
      <c r="G7" s="219" t="str">
        <f ca="1">IF(OR(D7="-",D7=""),"-",IF(LEN(INDEX(Dashboard!$D$6:$D$228,C7+1))=0,"", "x"&amp;SUBSTITUTE(SUBSTITUTE(INDEX(Dashboard!$D$6:$D$228,C7+1)," ",""),",","x,x")&amp;"x"))</f>
        <v>x2x</v>
      </c>
      <c r="H7" s="111" t="str">
        <f ca="1">IF(D7="-","-",TRIM(INDEX(Dashboard!$E$6:$E$206,C7+1)))</f>
        <v/>
      </c>
      <c r="I7" s="111" t="str">
        <f ca="1">IF(D7="-","-",IF(LEN(INDEX(Dashboard!$F$6:$F$206,C7+1))=0,$BS$8,IF(ISERROR(MATCH(INDEX(Dashboard!$F$6:$F$206,C7+1),$BS$7:$BS$35,0)),$BS$8,INDEX(Dashboard!$F$6:$F$206,C7+1))))</f>
        <v>Process</v>
      </c>
      <c r="J7" s="111" t="str">
        <f ca="1">IF(D7="-","-",SUBSTITUTE(INDEX(Dashboard!$G$6:$G$206,C7+1)," ",""))</f>
        <v/>
      </c>
      <c r="K7" s="219" t="str">
        <f ca="1">IF(D7="-","-",IF(LEN(INDEX(Dashboard!$H$6:$H$228,C7+1))=0,"",INDEX(Dashboard!$H$6:$H$228,C7+1)))</f>
        <v>Green</v>
      </c>
      <c r="M7" s="172" t="str">
        <f t="shared" ref="M7:O26" ca="1" si="1">IF($D7="-","-",TRIM(MID(SUBSTITUTE($G7,",",REPT(" ",LEN($G7))),(M$6-1)*LEN($G7)+1,LEN($G7))))</f>
        <v>x2x</v>
      </c>
      <c r="N7" s="172" t="str">
        <f t="shared" ca="1" si="1"/>
        <v/>
      </c>
      <c r="O7" s="172" t="str">
        <f t="shared" ca="1" si="1"/>
        <v/>
      </c>
      <c r="P7" s="173">
        <f t="shared" ref="P7:R38" ca="1" si="2">IF($D7="-","-",IF(LEN(M7)=0,"",MATCH(M7,$E$7:$E$206,0)))</f>
        <v>2</v>
      </c>
      <c r="Q7" s="172" t="str">
        <f t="shared" ca="1" si="2"/>
        <v/>
      </c>
      <c r="R7" s="172" t="str">
        <f t="shared" ca="1" si="2"/>
        <v/>
      </c>
      <c r="S7" s="174">
        <f t="array" aca="1" ref="S7" ca="1">IF($D7="-","-",SUM(IF(LEN(M7:O7)&gt;0,1,0)))</f>
        <v>1</v>
      </c>
      <c r="T7" s="175">
        <f t="array" aca="1" ref="T7" ca="1">IF(D7="-","-",SUM(IF(ISERROR(SEARCH(E7,$G$7:$G$206)),0,1)))</f>
        <v>0</v>
      </c>
      <c r="V7" s="176">
        <v>10</v>
      </c>
      <c r="W7" s="127">
        <v>10</v>
      </c>
      <c r="X7" s="177" t="str">
        <f>IF(AND(LEN(V7)&gt;0,LEN(W7)&gt;0),V7&amp;"-"&amp;W7,"-")</f>
        <v>10-10</v>
      </c>
      <c r="Y7" s="178"/>
      <c r="Z7" s="127">
        <v>1</v>
      </c>
      <c r="AB7" s="179" t="str">
        <f t="shared" ref="AB7:AD38" ca="1" si="3">IF($D7="-","-",IF(LEN(M7)=0,"",TRIM(MID(SUBSTITUTE($J7,",",REPT(" ",LEN($J7))),(AB$6-1)*LEN($J7)+1,LEN($J7)))))</f>
        <v/>
      </c>
      <c r="AC7" s="179" t="str">
        <f t="shared" ca="1" si="3"/>
        <v/>
      </c>
      <c r="AD7" s="179" t="str">
        <f t="shared" ca="1" si="3"/>
        <v/>
      </c>
      <c r="AF7" s="180" t="s">
        <v>125</v>
      </c>
      <c r="AG7" s="181" t="str">
        <f t="shared" ref="AG7:AI7" si="4">IF(DirectionSelector="Vertical",AG23,AG33)</f>
        <v>Below</v>
      </c>
      <c r="AH7" s="181" t="str">
        <f t="shared" si="4"/>
        <v>Right</v>
      </c>
      <c r="AI7" s="181" t="str">
        <f t="shared" si="4"/>
        <v>Top</v>
      </c>
      <c r="AJ7" s="181" t="str">
        <f t="shared" ref="AJ7:AJ70" ca="1" si="5">IF(D7="-","-",IF(LEN(Y7)=0,"Right",INDEX($AK$7:$AM$206,$Y7,MATCH($C7,OFFSET($P$6,$Y7,0,1,COUNTA($P$6:$R$6)),0))))</f>
        <v>Right</v>
      </c>
      <c r="AK7" s="179" t="str">
        <f t="shared" ref="AK7:AM70" ca="1" si="6">IF($D7="-","-",IF(LEN(M7)=0,"",IF(AND(LEN(AB7)&lt;&gt;0,ISNUMBER(MATCH(AB7,$AF$7:$AF$17,0))),AB7,IF(AK$6=1,INDEX($AG$7:$AG$17,MATCH($AJ7,$AF$7:$AF$17,0)),IF(AK$6=2,INDEX($AH$7:$AH$17,MATCH($AJ7,$AF$7:$AF$17,0)),IF(AK$6=3,INDEX($AI$7:$AI$17,MATCH($AJ7,$AF$7:$AF$17,0)),INDEX($AG$7:$AG$17,MATCH($AJ7,$AF$7:$AF$17,0))))))))</f>
        <v>Below</v>
      </c>
      <c r="AL7" s="179" t="str">
        <f t="shared" ca="1" si="6"/>
        <v/>
      </c>
      <c r="AM7" s="179" t="str">
        <f t="shared" ca="1" si="6"/>
        <v/>
      </c>
      <c r="AO7" s="182" t="str">
        <f t="shared" ref="AO7:AQ38" ca="1" si="7">IF($D7="-","-",IF(LEN(M7)=0,"",TRIM(MID(SUBSTITUTE($H7,",",REPT(" ",LEN($H7))),(M$6-1)*LEN($H7)+1,LEN($H7)))))</f>
        <v/>
      </c>
      <c r="AP7" s="182" t="str">
        <f t="shared" ca="1" si="7"/>
        <v/>
      </c>
      <c r="AQ7" s="182" t="str">
        <f t="shared" ca="1" si="7"/>
        <v/>
      </c>
      <c r="AS7" s="183" t="s">
        <v>126</v>
      </c>
      <c r="AT7" s="184">
        <v>10</v>
      </c>
      <c r="AU7" s="185">
        <f t="shared" ref="AU7" ca="1" si="8">IF($D7="-","-",IF(LEN(M7)=0,"", INDEX($AT$7:$AT$15,MATCH(IF($V7-INDEX(GridXRange,P7)&lt;0,"Negative",IF($V7-INDEX(GridXRange,P7)&gt;0,"Positive","Zero")) &amp; " - " &amp;IF($W7-INDEX(GridYRange,P7)&lt;0,"Negative",IF($W7-INDEX(GridYRange,P7)&gt;0,"Positive","Zero")),$AS$7:$AS$15,0))))</f>
        <v>30</v>
      </c>
      <c r="AV7" s="186" t="str">
        <f t="shared" ref="AV7" ca="1" si="9">IF($D7="-","-",IF(LEN(N7)=0,"", INDEX($AT$7:$AT$15,MATCH(IF($V7-INDEX(GridXRange,Q7)&lt;0,"Negative",IF($V7-INDEX(GridXRange,Q7)&gt;0,"Positive","Zero")) &amp; " - " &amp;IF($W7-INDEX(GridYRange,Q7)&lt;0,"Negative",IF($W7-INDEX(GridYRange,Q7)&gt;0,"Positive","Zero")),$AS$7:$AS$15,0))))</f>
        <v/>
      </c>
      <c r="AW7" s="186" t="str">
        <f t="shared" ref="AW7" ca="1" si="10">IF($D7="-","-",IF(LEN(O7)=0,"", INDEX($AT$7:$AT$15,MATCH(IF($V7-INDEX(GridXRange,R7)&lt;0,"Negative",IF($V7-INDEX(GridXRange,R7)&gt;0,"Positive","Zero")) &amp; " - " &amp;IF($W7-INDEX(GridYRange,R7)&lt;0,"Negative",IF($W7-INDEX(GridYRange,R7)&gt;0,"Positive","Zero")),$AS$7:$AS$15,0))))</f>
        <v/>
      </c>
      <c r="AX7" s="187"/>
      <c r="AY7" s="188"/>
      <c r="AZ7" s="188" t="s">
        <v>13</v>
      </c>
      <c r="BA7" s="184"/>
      <c r="BB7" s="187">
        <f t="shared" ref="BB7:BE26" ca="1" si="11">IF($D7="-","-",INDEX($BX$7:$CA$35,MATCH($I7,$BS$7:$BS$35,0),BB$6))</f>
        <v>1</v>
      </c>
      <c r="BC7" s="188">
        <f t="shared" ca="1" si="11"/>
        <v>2</v>
      </c>
      <c r="BD7" s="188">
        <f t="shared" ca="1" si="11"/>
        <v>3</v>
      </c>
      <c r="BE7" s="189">
        <f t="shared" ca="1" si="11"/>
        <v>4</v>
      </c>
      <c r="BF7" s="190">
        <v>10</v>
      </c>
      <c r="BG7" s="191">
        <v>1</v>
      </c>
      <c r="BH7" s="191">
        <v>3</v>
      </c>
      <c r="BI7" s="190"/>
      <c r="BK7" s="192">
        <f t="shared" ref="BK7" ca="1" si="12">IF($D7="-","-",$BK$5 + (V7-StartGridX) * (GapXDiff + $BW$7))</f>
        <v>80</v>
      </c>
      <c r="BL7" s="192">
        <f t="shared" ref="BL7" ca="1" si="13">IF($D7="-","-",$BL$5 + (W7-StartGridY) * (GapYDiff + $BV$7))</f>
        <v>100</v>
      </c>
      <c r="BM7" s="192">
        <f t="shared" ref="BM7:BM70" ca="1" si="14">IF(D7="-","-",IFERROR(INDEX($BW$7:$BW$35,MATCH(I7,$BS$7:$BS$35,0)),$BW$7))</f>
        <v>110</v>
      </c>
      <c r="BN7" s="192">
        <f t="shared" ref="BN7:BN70" ca="1" si="15">IF(D7="-","-",IFERROR(INDEX($BV$7:$BV$35,MATCH(I7,$BS$7:$BS$35,0)),$BV$7))</f>
        <v>50</v>
      </c>
      <c r="BO7" s="192">
        <f t="shared" ref="BO7:BO70" ca="1" si="16">IF($D7="-","-",INDEX($BU$7:$BU$35,MATCH(I7,$BS$7:$BS$35,0)))</f>
        <v>61</v>
      </c>
      <c r="BP7" s="192" t="str">
        <f t="shared" ref="BP7:BP70" ca="1" si="17">F7</f>
        <v>Start</v>
      </c>
      <c r="BQ7" s="192">
        <f ca="1">IF($D7="-","-",IF(LEN(K7)=0,1,IFERROR(MATCH(K7,Dashboard!$L$25:$L$31,0),1)))</f>
        <v>3</v>
      </c>
      <c r="BS7" s="193" t="s">
        <v>12</v>
      </c>
      <c r="BT7" s="193" t="s">
        <v>127</v>
      </c>
      <c r="BU7" s="194">
        <v>69</v>
      </c>
      <c r="BV7" s="194">
        <f>Dashboard!$M$16</f>
        <v>50</v>
      </c>
      <c r="BW7" s="194">
        <f>Dashboard!$M$15</f>
        <v>110</v>
      </c>
      <c r="BX7" s="195">
        <v>1</v>
      </c>
      <c r="BY7" s="195">
        <v>2</v>
      </c>
      <c r="BZ7" s="195">
        <v>3</v>
      </c>
      <c r="CA7" s="195">
        <v>4</v>
      </c>
      <c r="CC7" s="143">
        <f t="shared" ref="CC7" ca="1" si="18">IF($D7="-","-",IF(COUNTIF(IDSourceRange,E7)&gt;1,1,0))</f>
        <v>0</v>
      </c>
      <c r="CD7" s="143">
        <f t="shared" ref="CD7" ca="1" si="19">IF($D7="-","-",  IF(LEN(M7)=0,0,IF(ISERROR(MATCH(M7,IDSourceRange,0)),1,0)) + IF(LEN(N7)=0,0,IF(ISERROR(MATCH(N7,IDSourceRange,0)),1,0)) + IF(LEN(O7)=0,0,IF(ISERROR(MATCH(O7,IDSourceRange,0)),1,0)) )</f>
        <v>0</v>
      </c>
      <c r="CE7" s="143">
        <f t="shared" ref="CE7:CE8" ca="1" si="20">IF($D7="-","-",IF(LEN(AB7)=0,0,IF(ISERROR(MATCH(AB7,$AF$7:$AF$17,0)),1,0)) + IF(LEN(AC7)=0,0,IF(ISERROR(MATCH(AC7,$AF$7:$AF$17,0)),1,0)) + IF(LEN(AD7)=0,0,IF(ISERROR(MATCH(AD7,$AF$7:$AF$17,0)),1,0)))</f>
        <v>0</v>
      </c>
      <c r="CF7" s="143" t="s">
        <v>128</v>
      </c>
      <c r="CG7" s="143">
        <f t="shared" ref="CG7" ca="1" si="21">IF($D7="-","-",IF(X7="-",0,IF(COUNTIF(GridCombinedRange,X7)&gt;1,1,0)))</f>
        <v>0</v>
      </c>
      <c r="CH7" s="143"/>
      <c r="CI7" s="143"/>
      <c r="CJ7" s="143"/>
      <c r="CK7" s="143"/>
      <c r="CL7" s="143"/>
      <c r="CN7" s="143">
        <v>1</v>
      </c>
      <c r="CO7" s="196" t="s">
        <v>129</v>
      </c>
      <c r="CP7" s="143">
        <f t="shared" ref="CP7:CP16" ca="1" si="22">INDEX($CC$4:$CL$4,CN7)</f>
        <v>0</v>
      </c>
      <c r="CQ7" s="143">
        <f>LEN(CO7)</f>
        <v>46</v>
      </c>
    </row>
    <row r="8" spans="3:96" x14ac:dyDescent="0.3">
      <c r="C8" s="170">
        <v>2</v>
      </c>
      <c r="D8" s="111" t="str">
        <f ca="1">IF(COUNTA(OFFSET(Dashboard!$B$6,C8,0,1,COUNTA(Dashboard!$B$6:$H$6)))&gt;0,"Yes","-")</f>
        <v>Yes</v>
      </c>
      <c r="E8" s="170" t="str">
        <f ca="1">IF(D8="-","-",IF(LEN(INDEX(Dashboard!B$6:B$206,$C8+1))=0,"x"&amp;C8&amp;"x","x"&amp;INDEX(Dashboard!B$6:B$206,$C8+1)&amp;"x"))</f>
        <v>x2x</v>
      </c>
      <c r="F8" s="171" t="str">
        <f ca="1">IF(D8="-","-",IF(LEN(INDEX(Dashboard!$C$6:$C$206,C8+1))=0," ",INDEX(Dashboard!$C$6:$C$206,C8+1)))</f>
        <v>Check &amp; set prod/Dev path</v>
      </c>
      <c r="G8" s="219" t="str">
        <f ca="1">IF(OR(D8="-",D8=""),"-",IF(LEN(INDEX(Dashboard!$D$6:$D$228,C8+1))=0,"", "x"&amp;SUBSTITUTE(SUBSTITUTE(INDEX(Dashboard!$D$6:$D$228,C8+1)," ",""),",","x,x")&amp;"x"))</f>
        <v>x3x</v>
      </c>
      <c r="H8" s="111" t="str">
        <f ca="1">IF(D8="-","-",TRIM(INDEX(Dashboard!$E$6:$E$206,C8+1)))</f>
        <v/>
      </c>
      <c r="I8" s="111" t="str">
        <f ca="1">IF(D8="-","-",IF(LEN(INDEX(Dashboard!$F$6:$F$206,C8+1))=0,$BS$8,IF(ISERROR(MATCH(INDEX(Dashboard!$F$6:$F$206,C8+1),$BS$7:$BS$35,0)),$BS$8,INDEX(Dashboard!$F$6:$F$206,C8+1))))</f>
        <v>process</v>
      </c>
      <c r="J8" s="111" t="str">
        <f ca="1">IF(D8="-","-",SUBSTITUTE(INDEX(Dashboard!$G$6:$G$206,C8+1)," ",""))</f>
        <v/>
      </c>
      <c r="K8" s="219" t="str">
        <f ca="1">IF(D8="-","-",IF(LEN(INDEX(Dashboard!$H$6:$H$228,C8+1))=0,"",INDEX(Dashboard!$H$6:$H$228,C8+1)))</f>
        <v>Green</v>
      </c>
      <c r="M8" s="172" t="str">
        <f t="shared" ca="1" si="1"/>
        <v>x3x</v>
      </c>
      <c r="N8" s="172" t="str">
        <f t="shared" ca="1" si="1"/>
        <v/>
      </c>
      <c r="O8" s="172" t="str">
        <f t="shared" ca="1" si="1"/>
        <v/>
      </c>
      <c r="P8" s="173">
        <f t="shared" ca="1" si="2"/>
        <v>3</v>
      </c>
      <c r="Q8" s="172" t="str">
        <f t="shared" ca="1" si="2"/>
        <v/>
      </c>
      <c r="R8" s="172" t="str">
        <f t="shared" ca="1" si="2"/>
        <v/>
      </c>
      <c r="S8" s="174">
        <f t="array" aca="1" ref="S8" ca="1">IF($D8="-","-",SUM(IF(LEN(M8:O8)&gt;0,1,0)))</f>
        <v>1</v>
      </c>
      <c r="T8" s="175">
        <f t="array" aca="1" ref="T8" ca="1">IF(D8="-","-",SUM(IF(ISERROR(SEARCH(E8,$G$7:$G$206)),0,1)))</f>
        <v>1</v>
      </c>
      <c r="V8" s="197">
        <v>10</v>
      </c>
      <c r="W8" s="127">
        <v>11</v>
      </c>
      <c r="X8" s="177" t="str">
        <f t="shared" ref="X8:X71" si="23">IF(AND(LEN(V8)&gt;0,LEN(W8)&gt;0),V8&amp;"-"&amp;W8,"-")</f>
        <v>10-11</v>
      </c>
      <c r="Y8" s="178">
        <v>1</v>
      </c>
      <c r="Z8" s="127">
        <v>2</v>
      </c>
      <c r="AB8" s="179" t="str">
        <f t="shared" ca="1" si="3"/>
        <v/>
      </c>
      <c r="AC8" s="179" t="str">
        <f t="shared" ca="1" si="3"/>
        <v/>
      </c>
      <c r="AD8" s="179" t="str">
        <f t="shared" ca="1" si="3"/>
        <v/>
      </c>
      <c r="AE8" s="198" t="s">
        <v>130</v>
      </c>
      <c r="AF8" s="180" t="s">
        <v>131</v>
      </c>
      <c r="AG8" s="181" t="str">
        <f t="shared" ref="AG8:AI8" si="24">IF(DirectionSelector="Vertical",AG24,AG34)</f>
        <v>Below</v>
      </c>
      <c r="AH8" s="181" t="str">
        <f t="shared" si="24"/>
        <v>Right</v>
      </c>
      <c r="AI8" s="181" t="str">
        <f t="shared" si="24"/>
        <v>Left</v>
      </c>
      <c r="AJ8" s="181" t="str">
        <f t="shared" ca="1" si="5"/>
        <v>Below</v>
      </c>
      <c r="AK8" s="179" t="str">
        <f t="shared" ca="1" si="6"/>
        <v>Below</v>
      </c>
      <c r="AL8" s="179" t="str">
        <f t="shared" ca="1" si="6"/>
        <v/>
      </c>
      <c r="AM8" s="179" t="str">
        <f t="shared" ca="1" si="6"/>
        <v/>
      </c>
      <c r="AO8" s="182" t="str">
        <f t="shared" ca="1" si="7"/>
        <v/>
      </c>
      <c r="AP8" s="182" t="str">
        <f t="shared" ca="1" si="7"/>
        <v/>
      </c>
      <c r="AQ8" s="182" t="str">
        <f t="shared" ca="1" si="7"/>
        <v/>
      </c>
      <c r="AS8" s="183" t="s">
        <v>132</v>
      </c>
      <c r="AT8" s="184">
        <v>30</v>
      </c>
      <c r="AU8" s="185">
        <f t="shared" ref="AU8" ca="1" si="25">IF($D8="-","-",IF(LEN(M8)=0,"", INDEX($AT$7:$AT$15,MATCH(IF($V8-INDEX(GridXRange,P8)&lt;0,"Negative",IF($V8-INDEX(GridXRange,P8)&gt;0,"Positive","Zero")) &amp; " - " &amp;IF($W8-INDEX(GridYRange,P8)&lt;0,"Negative",IF($W8-INDEX(GridYRange,P8)&gt;0,"Positive","Zero")),$AS$7:$AS$15,0))))</f>
        <v>30</v>
      </c>
      <c r="AV8" s="186" t="str">
        <f t="shared" ref="AV8" ca="1" si="26">IF($D8="-","-",IF(LEN(N8)=0,"", INDEX($AT$7:$AT$15,MATCH(IF($V8-INDEX(GridXRange,Q8)&lt;0,"Negative",IF($V8-INDEX(GridXRange,Q8)&gt;0,"Positive","Zero")) &amp; " - " &amp;IF($W8-INDEX(GridYRange,Q8)&lt;0,"Negative",IF($W8-INDEX(GridYRange,Q8)&gt;0,"Positive","Zero")),$AS$7:$AS$15,0))))</f>
        <v/>
      </c>
      <c r="AW8" s="186" t="str">
        <f t="shared" ref="AW8" ca="1" si="27">IF($D8="-","-",IF(LEN(O8)=0,"", INDEX($AT$7:$AT$15,MATCH(IF($V8-INDEX(GridXRange,R8)&lt;0,"Negative",IF($V8-INDEX(GridXRange,R8)&gt;0,"Positive","Zero")) &amp; " - " &amp;IF($W8-INDEX(GridYRange,R8)&lt;0,"Negative",IF($W8-INDEX(GridYRange,R8)&gt;0,"Positive","Zero")),$AS$7:$AS$15,0))))</f>
        <v/>
      </c>
      <c r="AX8" s="187" t="s">
        <v>13</v>
      </c>
      <c r="AY8" s="188"/>
      <c r="AZ8" s="188" t="s">
        <v>13</v>
      </c>
      <c r="BA8" s="184"/>
      <c r="BB8" s="187">
        <f t="shared" ca="1" si="11"/>
        <v>1</v>
      </c>
      <c r="BC8" s="188">
        <f t="shared" ca="1" si="11"/>
        <v>2</v>
      </c>
      <c r="BD8" s="188">
        <f t="shared" ca="1" si="11"/>
        <v>3</v>
      </c>
      <c r="BE8" s="189">
        <f t="shared" ca="1" si="11"/>
        <v>4</v>
      </c>
      <c r="BF8" s="199">
        <v>10</v>
      </c>
      <c r="BG8" s="200">
        <v>2</v>
      </c>
      <c r="BH8" s="200">
        <v>2</v>
      </c>
      <c r="BI8" s="199"/>
      <c r="BK8" s="192">
        <f t="shared" ref="BK8" ca="1" si="28">IF($D8="-","-",$BK$5 + (V8-StartGridX) * (GapXDiff + $BW$7))</f>
        <v>80</v>
      </c>
      <c r="BL8" s="192">
        <f t="shared" ref="BL8" ca="1" si="29">IF($D8="-","-",$BL$5 + (W8-StartGridY) * (GapYDiff + $BV$7))</f>
        <v>190</v>
      </c>
      <c r="BM8" s="192">
        <f t="shared" ca="1" si="14"/>
        <v>110</v>
      </c>
      <c r="BN8" s="192">
        <f t="shared" ca="1" si="15"/>
        <v>50</v>
      </c>
      <c r="BO8" s="192">
        <f t="shared" ca="1" si="16"/>
        <v>61</v>
      </c>
      <c r="BP8" s="192" t="str">
        <f t="shared" ca="1" si="17"/>
        <v>Check &amp; set prod/Dev path</v>
      </c>
      <c r="BQ8" s="192">
        <f ca="1">IF($D8="-","-",IF(LEN(K8)=0,1,IFERROR(MATCH(K8,Dashboard!$L$25:$L$31,0),1)))</f>
        <v>3</v>
      </c>
      <c r="BS8" s="193" t="s">
        <v>14</v>
      </c>
      <c r="BT8" s="193" t="s">
        <v>133</v>
      </c>
      <c r="BU8" s="194">
        <v>61</v>
      </c>
      <c r="BV8" s="194">
        <f>Dashboard!$M$16</f>
        <v>50</v>
      </c>
      <c r="BW8" s="194">
        <f>Dashboard!$M$15</f>
        <v>110</v>
      </c>
      <c r="BX8" s="195">
        <v>1</v>
      </c>
      <c r="BY8" s="195">
        <v>2</v>
      </c>
      <c r="BZ8" s="195">
        <v>3</v>
      </c>
      <c r="CA8" s="195">
        <v>4</v>
      </c>
      <c r="CC8" s="143">
        <f t="shared" ref="CC8" ca="1" si="30">IF($D8="-","-",IF(COUNTIF(IDSourceRange,E8)&gt;1,1,0))</f>
        <v>0</v>
      </c>
      <c r="CD8" s="143">
        <f t="shared" ref="CD8" ca="1" si="31">IF($D8="-","-",  IF(LEN(M8)=0,0,IF(ISERROR(MATCH(M8,IDSourceRange,0)),1,0)) + IF(LEN(N8)=0,0,IF(ISERROR(MATCH(N8,IDSourceRange,0)),1,0)) + IF(LEN(O8)=0,0,IF(ISERROR(MATCH(O8,IDSourceRange,0)),1,0)) )</f>
        <v>0</v>
      </c>
      <c r="CE8" s="143">
        <f t="shared" ca="1" si="20"/>
        <v>0</v>
      </c>
      <c r="CF8" s="143" t="s">
        <v>128</v>
      </c>
      <c r="CG8" s="143">
        <f t="shared" ref="CG8" ca="1" si="32">IF($D8="-","-",IF(X8="-",0,IF(COUNTIF(GridCombinedRange,X8)&gt;1,1,0)))</f>
        <v>0</v>
      </c>
      <c r="CH8" s="143"/>
      <c r="CI8" s="143"/>
      <c r="CJ8" s="143"/>
      <c r="CK8" s="143"/>
      <c r="CL8" s="143"/>
      <c r="CN8" s="143">
        <v>2</v>
      </c>
      <c r="CO8" s="196" t="s">
        <v>134</v>
      </c>
      <c r="CP8" s="143">
        <f t="shared" ca="1" si="22"/>
        <v>0</v>
      </c>
      <c r="CQ8" s="143">
        <f t="shared" ref="CQ8:CQ16" si="33">LEN(CO8)</f>
        <v>27</v>
      </c>
    </row>
    <row r="9" spans="3:96" x14ac:dyDescent="0.3">
      <c r="C9" s="170">
        <v>3</v>
      </c>
      <c r="D9" s="111" t="str">
        <f ca="1">IF(COUNTA(OFFSET(Dashboard!$B$6,C9,0,1,COUNTA(Dashboard!$B$6:$H$6)))&gt;0,"Yes","-")</f>
        <v>Yes</v>
      </c>
      <c r="E9" s="170" t="str">
        <f ca="1">IF(D9="-","-",IF(LEN(INDEX(Dashboard!B$6:B$206,$C9+1))=0,"x"&amp;C9&amp;"x","x"&amp;INDEX(Dashboard!B$6:B$206,$C9+1)&amp;"x"))</f>
        <v>x3x</v>
      </c>
      <c r="F9" s="171" t="str">
        <f ca="1">IF(D9="-","-",IF(LEN(INDEX(Dashboard!$C$6:$C$206,C9+1))=0," ",INDEX(Dashboard!$C$6:$C$206,C9+1)))</f>
        <v>For handshake path clear old end request</v>
      </c>
      <c r="G9" s="219" t="str">
        <f ca="1">IF(OR(D9="-",D9=""),"-",IF(LEN(INDEX(Dashboard!$D$6:$D$228,C9+1))=0,"", "x"&amp;SUBSTITUTE(SUBSTITUTE(INDEX(Dashboard!$D$6:$D$228,C9+1)," ",""),",","x,x")&amp;"x"))</f>
        <v>x4x</v>
      </c>
      <c r="H9" s="111" t="str">
        <f ca="1">IF(D9="-","-",TRIM(INDEX(Dashboard!$E$6:$E$206,C9+1)))</f>
        <v/>
      </c>
      <c r="I9" s="111" t="str">
        <f ca="1">IF(D9="-","-",IF(LEN(INDEX(Dashboard!$F$6:$F$206,C9+1))=0,$BS$8,IF(ISERROR(MATCH(INDEX(Dashboard!$F$6:$F$206,C9+1),$BS$7:$BS$35,0)),$BS$8,INDEX(Dashboard!$F$6:$F$206,C9+1))))</f>
        <v>process</v>
      </c>
      <c r="J9" s="111" t="str">
        <f ca="1">IF(D9="-","-",SUBSTITUTE(INDEX(Dashboard!$G$6:$G$206,C9+1)," ",""))</f>
        <v/>
      </c>
      <c r="K9" s="111" t="str">
        <f ca="1">IF(D9="-","-",IF(LEN(INDEX(Dashboard!$H$6:$H$206,C9+1))=0,"",INDEX(Dashboard!$H$6:$H$206,C9+1)))</f>
        <v>Green</v>
      </c>
      <c r="M9" s="172" t="str">
        <f t="shared" ca="1" si="1"/>
        <v>x4x</v>
      </c>
      <c r="N9" s="172" t="str">
        <f t="shared" ca="1" si="1"/>
        <v/>
      </c>
      <c r="O9" s="172" t="str">
        <f t="shared" ca="1" si="1"/>
        <v/>
      </c>
      <c r="P9" s="173">
        <f t="shared" ca="1" si="2"/>
        <v>4</v>
      </c>
      <c r="Q9" s="172" t="str">
        <f t="shared" ca="1" si="2"/>
        <v/>
      </c>
      <c r="R9" s="172" t="str">
        <f t="shared" ca="1" si="2"/>
        <v/>
      </c>
      <c r="S9" s="174">
        <f t="array" aca="1" ref="S9" ca="1">IF($D9="-","-",SUM(IF(LEN(M9:O9)&gt;0,1,0)))</f>
        <v>1</v>
      </c>
      <c r="T9" s="175">
        <f t="array" aca="1" ref="T9" ca="1">IF(D9="-","-",SUM(IF(ISERROR(SEARCH(E9,$G$7:$G$206)),0,1)))</f>
        <v>1</v>
      </c>
      <c r="V9" s="197">
        <v>10</v>
      </c>
      <c r="W9" s="127">
        <v>12</v>
      </c>
      <c r="X9" s="177" t="str">
        <f t="shared" si="23"/>
        <v>10-12</v>
      </c>
      <c r="Y9" s="178">
        <v>2</v>
      </c>
      <c r="Z9" s="127">
        <v>3</v>
      </c>
      <c r="AB9" s="179" t="str">
        <f t="shared" ca="1" si="3"/>
        <v/>
      </c>
      <c r="AC9" s="179" t="str">
        <f t="shared" ca="1" si="3"/>
        <v/>
      </c>
      <c r="AD9" s="179" t="str">
        <f t="shared" ca="1" si="3"/>
        <v/>
      </c>
      <c r="AE9" s="201" t="s">
        <v>125</v>
      </c>
      <c r="AF9" s="180" t="s">
        <v>135</v>
      </c>
      <c r="AG9" s="181" t="str">
        <f t="shared" ref="AG9:AI9" si="34">IF(DirectionSelector="Vertical",AG25,AG35)</f>
        <v>Below</v>
      </c>
      <c r="AH9" s="181" t="str">
        <f t="shared" si="34"/>
        <v>Right</v>
      </c>
      <c r="AI9" s="181" t="str">
        <f t="shared" si="34"/>
        <v>Left</v>
      </c>
      <c r="AJ9" s="181" t="str">
        <f t="shared" ca="1" si="5"/>
        <v>Below</v>
      </c>
      <c r="AK9" s="179" t="str">
        <f t="shared" ca="1" si="6"/>
        <v>Below</v>
      </c>
      <c r="AL9" s="179" t="str">
        <f t="shared" ca="1" si="6"/>
        <v/>
      </c>
      <c r="AM9" s="179" t="str">
        <f t="shared" ca="1" si="6"/>
        <v/>
      </c>
      <c r="AO9" s="182" t="str">
        <f t="shared" ca="1" si="7"/>
        <v/>
      </c>
      <c r="AP9" s="182" t="str">
        <f t="shared" ca="1" si="7"/>
        <v/>
      </c>
      <c r="AQ9" s="182" t="str">
        <f t="shared" ca="1" si="7"/>
        <v/>
      </c>
      <c r="AS9" s="183" t="s">
        <v>136</v>
      </c>
      <c r="AT9" s="184">
        <v>20</v>
      </c>
      <c r="AU9" s="185">
        <f t="shared" ref="AU9" ca="1" si="35">IF($D9="-","-",IF(LEN(M9)=0,"", INDEX($AT$7:$AT$15,MATCH(IF($V9-INDEX(GridXRange,P9)&lt;0,"Negative",IF($V9-INDEX(GridXRange,P9)&gt;0,"Positive","Zero")) &amp; " - " &amp;IF($W9-INDEX(GridYRange,P9)&lt;0,"Negative",IF($W9-INDEX(GridYRange,P9)&gt;0,"Positive","Zero")),$AS$7:$AS$15,0))))</f>
        <v>30</v>
      </c>
      <c r="AV9" s="186" t="str">
        <f t="shared" ref="AV9" ca="1" si="36">IF($D9="-","-",IF(LEN(N9)=0,"", INDEX($AT$7:$AT$15,MATCH(IF($V9-INDEX(GridXRange,Q9)&lt;0,"Negative",IF($V9-INDEX(GridXRange,Q9)&gt;0,"Positive","Zero")) &amp; " - " &amp;IF($W9-INDEX(GridYRange,Q9)&lt;0,"Negative",IF($W9-INDEX(GridYRange,Q9)&gt;0,"Positive","Zero")),$AS$7:$AS$15,0))))</f>
        <v/>
      </c>
      <c r="AW9" s="186" t="str">
        <f t="shared" ref="AW9" ca="1" si="37">IF($D9="-","-",IF(LEN(O9)=0,"", INDEX($AT$7:$AT$15,MATCH(IF($V9-INDEX(GridXRange,R9)&lt;0,"Negative",IF($V9-INDEX(GridXRange,R9)&gt;0,"Positive","Zero")) &amp; " - " &amp;IF($W9-INDEX(GridYRange,R9)&lt;0,"Negative",IF($W9-INDEX(GridYRange,R9)&gt;0,"Positive","Zero")),$AS$7:$AS$15,0))))</f>
        <v/>
      </c>
      <c r="AX9" s="187" t="s">
        <v>13</v>
      </c>
      <c r="AY9" s="188"/>
      <c r="AZ9" s="188" t="s">
        <v>13</v>
      </c>
      <c r="BA9" s="184"/>
      <c r="BB9" s="187">
        <f t="shared" ca="1" si="11"/>
        <v>1</v>
      </c>
      <c r="BC9" s="188">
        <f t="shared" ca="1" si="11"/>
        <v>2</v>
      </c>
      <c r="BD9" s="188">
        <f t="shared" ca="1" si="11"/>
        <v>3</v>
      </c>
      <c r="BE9" s="189">
        <f t="shared" ca="1" si="11"/>
        <v>4</v>
      </c>
      <c r="BF9" s="199">
        <v>10</v>
      </c>
      <c r="BG9" s="200">
        <v>4</v>
      </c>
      <c r="BH9" s="200">
        <v>4</v>
      </c>
      <c r="BI9" s="199"/>
      <c r="BK9" s="192">
        <f t="shared" ref="BK9" ca="1" si="38">IF($D9="-","-",$BK$5 + (V9-StartGridX) * (GapXDiff + $BW$7))</f>
        <v>80</v>
      </c>
      <c r="BL9" s="192">
        <f t="shared" ref="BL9" ca="1" si="39">IF($D9="-","-",$BL$5 + (W9-StartGridY) * (GapYDiff + $BV$7))</f>
        <v>280</v>
      </c>
      <c r="BM9" s="192">
        <f t="shared" ca="1" si="14"/>
        <v>110</v>
      </c>
      <c r="BN9" s="192">
        <f t="shared" ca="1" si="15"/>
        <v>50</v>
      </c>
      <c r="BO9" s="192">
        <f t="shared" ca="1" si="16"/>
        <v>61</v>
      </c>
      <c r="BP9" s="192" t="str">
        <f t="shared" ca="1" si="17"/>
        <v>For handshake path clear old end request</v>
      </c>
      <c r="BQ9" s="192">
        <f ca="1">IF($D9="-","-",IF(LEN(K9)=0,1,IFERROR(MATCH(K9,Dashboard!$L$25:$L$31,0),1)))</f>
        <v>3</v>
      </c>
      <c r="BS9" s="193" t="s">
        <v>15</v>
      </c>
      <c r="BT9" s="193" t="s">
        <v>137</v>
      </c>
      <c r="BU9" s="194">
        <v>63</v>
      </c>
      <c r="BV9" s="194">
        <f>Dashboard!$M$16</f>
        <v>50</v>
      </c>
      <c r="BW9" s="194">
        <f>Dashboard!$M$15</f>
        <v>110</v>
      </c>
      <c r="BX9" s="195">
        <v>1</v>
      </c>
      <c r="BY9" s="195">
        <v>2</v>
      </c>
      <c r="BZ9" s="195">
        <v>3</v>
      </c>
      <c r="CA9" s="195">
        <v>4</v>
      </c>
      <c r="CC9" s="143">
        <f t="shared" ref="CC9" ca="1" si="40">IF($D9="-","-",IF(COUNTIF(IDSourceRange,E9)&gt;1,1,0))</f>
        <v>0</v>
      </c>
      <c r="CD9" s="143">
        <f t="shared" ref="CD9" ca="1" si="41">IF($D9="-","-",  IF(LEN(M9)=0,0,IF(ISERROR(MATCH(M9,IDSourceRange,0)),1,0)) + IF(LEN(N9)=0,0,IF(ISERROR(MATCH(N9,IDSourceRange,0)),1,0)) + IF(LEN(O9)=0,0,IF(ISERROR(MATCH(O9,IDSourceRange,0)),1,0)) )</f>
        <v>0</v>
      </c>
      <c r="CE9" s="143">
        <f ca="1">IF($D9="-","-",IF(LEN(AB9)=0,0,IF(ISERROR(MATCH(AB9,$AF$7:$AF$17,0)),1,0)) + IF(LEN(AC9)=0,0,IF(ISERROR(MATCH(AC9,$AF$7:$AF$17,0)),1,0)) + IF(LEN(AD9)=0,0,IF(ISERROR(MATCH(AD9,$AF$7:$AF$17,0)),1,0)))</f>
        <v>0</v>
      </c>
      <c r="CF9" s="143" t="s">
        <v>128</v>
      </c>
      <c r="CG9" s="143">
        <f t="shared" ref="CG9" ca="1" si="42">IF($D9="-","-",IF(X9="-",0,IF(COUNTIF(GridCombinedRange,X9)&gt;1,1,0)))</f>
        <v>0</v>
      </c>
      <c r="CH9" s="143"/>
      <c r="CI9" s="143"/>
      <c r="CJ9" s="143"/>
      <c r="CK9" s="143"/>
      <c r="CL9" s="143"/>
      <c r="CN9" s="143">
        <v>3</v>
      </c>
      <c r="CO9" s="196" t="s">
        <v>138</v>
      </c>
      <c r="CP9" s="143">
        <f t="shared" ca="1" si="22"/>
        <v>0</v>
      </c>
      <c r="CQ9" s="143">
        <f t="shared" si="33"/>
        <v>47</v>
      </c>
    </row>
    <row r="10" spans="3:96" x14ac:dyDescent="0.3">
      <c r="C10" s="170">
        <v>4</v>
      </c>
      <c r="D10" s="111" t="str">
        <f ca="1">IF(COUNTA(OFFSET(Dashboard!$B$6,C10,0,1,COUNTA(Dashboard!$B$6:$H$6)))&gt;0,"Yes","-")</f>
        <v>Yes</v>
      </c>
      <c r="E10" s="170" t="str">
        <f ca="1">IF(D10="-","-",IF(LEN(INDEX(Dashboard!B$6:B$206,$C10+1))=0,"x"&amp;C10&amp;"x","x"&amp;INDEX(Dashboard!B$6:B$206,$C10+1)&amp;"x"))</f>
        <v>x4x</v>
      </c>
      <c r="F10" s="171" t="str">
        <f ca="1">IF(D10="-","-",IF(LEN(INDEX(Dashboard!$C$6:$C$206,C10+1))=0," ",INDEX(Dashboard!$C$6:$C$206,C10+1)))</f>
        <v>If PID exist</v>
      </c>
      <c r="G10" s="219" t="str">
        <f ca="1">IF(OR(D10="-",D10=""),"-",IF(LEN(INDEX(Dashboard!$D$6:$D$228,C10+1))=0,"", "x"&amp;SUBSTITUTE(SUBSTITUTE(INDEX(Dashboard!$D$6:$D$228,C10+1)," ",""),",","x,x")&amp;"x"))</f>
        <v>x5x,x10x</v>
      </c>
      <c r="H10" s="111" t="str">
        <f ca="1">IF(D10="-","-",TRIM(INDEX(Dashboard!$E$6:$E$206,C10+1)))</f>
        <v>yes,No</v>
      </c>
      <c r="I10" s="111" t="str">
        <f ca="1">IF(D10="-","-",IF(LEN(INDEX(Dashboard!$F$6:$F$206,C10+1))=0,$BS$8,IF(ISERROR(MATCH(INDEX(Dashboard!$F$6:$F$206,C10+1),$BS$7:$BS$35,0)),$BS$8,INDEX(Dashboard!$F$6:$F$206,C10+1))))</f>
        <v>decision</v>
      </c>
      <c r="J10" s="111" t="str">
        <f ca="1">IF(D10="-","-",SUBSTITUTE(INDEX(Dashboard!$G$6:$G$206,C10+1)," ",""))</f>
        <v/>
      </c>
      <c r="K10" s="111" t="str">
        <f ca="1">IF(D10="-","-",IF(LEN(INDEX(Dashboard!$H$6:$H$206,C10+1))=0,"",INDEX(Dashboard!$H$6:$H$206,C10+1)))</f>
        <v>Green</v>
      </c>
      <c r="M10" s="172" t="str">
        <f t="shared" ca="1" si="1"/>
        <v>x5x</v>
      </c>
      <c r="N10" s="172" t="str">
        <f t="shared" ca="1" si="1"/>
        <v>x10x</v>
      </c>
      <c r="O10" s="172" t="str">
        <f t="shared" ca="1" si="1"/>
        <v/>
      </c>
      <c r="P10" s="173">
        <f t="shared" ca="1" si="2"/>
        <v>5</v>
      </c>
      <c r="Q10" s="172">
        <f t="shared" ca="1" si="2"/>
        <v>10</v>
      </c>
      <c r="R10" s="172" t="str">
        <f t="shared" ca="1" si="2"/>
        <v/>
      </c>
      <c r="S10" s="174">
        <f t="array" aca="1" ref="S10" ca="1">IF($D10="-","-",SUM(IF(LEN(M10:O10)&gt;0,1,0)))</f>
        <v>2</v>
      </c>
      <c r="T10" s="175">
        <f t="array" aca="1" ref="T10" ca="1">IF(D10="-","-",SUM(IF(ISERROR(SEARCH(E10,$G$7:$G$206)),0,1)))</f>
        <v>1</v>
      </c>
      <c r="V10" s="197">
        <v>10</v>
      </c>
      <c r="W10" s="127">
        <v>13</v>
      </c>
      <c r="X10" s="177" t="str">
        <f t="shared" si="23"/>
        <v>10-13</v>
      </c>
      <c r="Y10" s="178">
        <v>3</v>
      </c>
      <c r="Z10" s="127">
        <v>4</v>
      </c>
      <c r="AB10" s="179" t="str">
        <f t="shared" ca="1" si="3"/>
        <v/>
      </c>
      <c r="AC10" s="179" t="str">
        <f t="shared" ca="1" si="3"/>
        <v/>
      </c>
      <c r="AD10" s="179" t="str">
        <f t="shared" ca="1" si="3"/>
        <v/>
      </c>
      <c r="AE10" s="201" t="s">
        <v>135</v>
      </c>
      <c r="AF10" s="180" t="s">
        <v>139</v>
      </c>
      <c r="AG10" s="181" t="str">
        <f t="shared" ref="AG10:AI10" si="43">IF(DirectionSelector="Vertical",AG26,AG36)</f>
        <v>Below</v>
      </c>
      <c r="AH10" s="181" t="str">
        <f t="shared" si="43"/>
        <v>Left</v>
      </c>
      <c r="AI10" s="181" t="str">
        <f t="shared" si="43"/>
        <v>Right</v>
      </c>
      <c r="AJ10" s="181" t="str">
        <f t="shared" ca="1" si="5"/>
        <v>Below</v>
      </c>
      <c r="AK10" s="179" t="str">
        <f t="shared" ca="1" si="6"/>
        <v>Below</v>
      </c>
      <c r="AL10" s="179" t="str">
        <f t="shared" ca="1" si="6"/>
        <v>Right</v>
      </c>
      <c r="AM10" s="179" t="str">
        <f t="shared" ca="1" si="6"/>
        <v/>
      </c>
      <c r="AO10" s="182" t="str">
        <f t="shared" ca="1" si="7"/>
        <v>yes</v>
      </c>
      <c r="AP10" s="182" t="str">
        <f t="shared" ca="1" si="7"/>
        <v>No</v>
      </c>
      <c r="AQ10" s="182" t="str">
        <f t="shared" ca="1" si="7"/>
        <v/>
      </c>
      <c r="AS10" s="183" t="s">
        <v>140</v>
      </c>
      <c r="AT10" s="184">
        <v>15</v>
      </c>
      <c r="AU10" s="185">
        <f t="shared" ref="AU10" ca="1" si="44">IF($D10="-","-",IF(LEN(M10)=0,"", INDEX($AT$7:$AT$15,MATCH(IF($V10-INDEX(GridXRange,P10)&lt;0,"Negative",IF($V10-INDEX(GridXRange,P10)&gt;0,"Positive","Zero")) &amp; " - " &amp;IF($W10-INDEX(GridYRange,P10)&lt;0,"Negative",IF($W10-INDEX(GridYRange,P10)&gt;0,"Positive","Zero")),$AS$7:$AS$15,0))))</f>
        <v>30</v>
      </c>
      <c r="AV10" s="186">
        <f t="shared" ref="AV10" ca="1" si="45">IF($D10="-","-",IF(LEN(N10)=0,"", INDEX($AT$7:$AT$15,MATCH(IF($V10-INDEX(GridXRange,Q10)&lt;0,"Negative",IF($V10-INDEX(GridXRange,Q10)&gt;0,"Positive","Zero")) &amp; " - " &amp;IF($W10-INDEX(GridYRange,Q10)&lt;0,"Negative",IF($W10-INDEX(GridYRange,Q10)&gt;0,"Positive","Zero")),$AS$7:$AS$15,0))))</f>
        <v>40</v>
      </c>
      <c r="AW10" s="186" t="str">
        <f t="shared" ref="AW10" ca="1" si="46">IF($D10="-","-",IF(LEN(O10)=0,"", INDEX($AT$7:$AT$15,MATCH(IF($V10-INDEX(GridXRange,R10)&lt;0,"Negative",IF($V10-INDEX(GridXRange,R10)&gt;0,"Positive","Zero")) &amp; " - " &amp;IF($W10-INDEX(GridYRange,R10)&lt;0,"Negative",IF($W10-INDEX(GridYRange,R10)&gt;0,"Positive","Zero")),$AS$7:$AS$15,0))))</f>
        <v/>
      </c>
      <c r="AX10" s="187" t="s">
        <v>13</v>
      </c>
      <c r="AY10" s="188"/>
      <c r="AZ10" s="188" t="s">
        <v>13</v>
      </c>
      <c r="BA10" s="184" t="s">
        <v>13</v>
      </c>
      <c r="BB10" s="187">
        <f t="shared" ca="1" si="11"/>
        <v>1</v>
      </c>
      <c r="BC10" s="188">
        <f t="shared" ca="1" si="11"/>
        <v>2</v>
      </c>
      <c r="BD10" s="188">
        <f t="shared" ca="1" si="11"/>
        <v>3</v>
      </c>
      <c r="BE10" s="189">
        <f t="shared" ca="1" si="11"/>
        <v>4</v>
      </c>
      <c r="BF10" s="202">
        <v>10</v>
      </c>
      <c r="BG10" s="203">
        <v>2</v>
      </c>
      <c r="BH10" s="203">
        <v>2</v>
      </c>
      <c r="BI10" s="202" t="s">
        <v>99</v>
      </c>
      <c r="BK10" s="192">
        <f t="shared" ref="BK10" ca="1" si="47">IF($D10="-","-",$BK$5 + (V10-StartGridX) * (GapXDiff + $BW$7))</f>
        <v>80</v>
      </c>
      <c r="BL10" s="192">
        <f t="shared" ref="BL10" ca="1" si="48">IF($D10="-","-",$BL$5 + (W10-StartGridY) * (GapYDiff + $BV$7))</f>
        <v>370</v>
      </c>
      <c r="BM10" s="192">
        <f t="shared" ca="1" si="14"/>
        <v>110</v>
      </c>
      <c r="BN10" s="192">
        <f t="shared" ca="1" si="15"/>
        <v>50</v>
      </c>
      <c r="BO10" s="192">
        <f t="shared" ca="1" si="16"/>
        <v>63</v>
      </c>
      <c r="BP10" s="192" t="str">
        <f t="shared" ca="1" si="17"/>
        <v>If PID exist</v>
      </c>
      <c r="BQ10" s="192">
        <f ca="1">IF($D10="-","-",IF(LEN(K10)=0,1,IFERROR(MATCH(K10,Dashboard!$L$25:$L$31,0),1)))</f>
        <v>3</v>
      </c>
      <c r="BS10" s="193" t="s">
        <v>141</v>
      </c>
      <c r="BT10" s="193" t="s">
        <v>142</v>
      </c>
      <c r="BU10" s="194">
        <v>62</v>
      </c>
      <c r="BV10" s="194">
        <f>Dashboard!$M$16</f>
        <v>50</v>
      </c>
      <c r="BW10" s="194">
        <f>Dashboard!$M$15</f>
        <v>110</v>
      </c>
      <c r="BX10" s="195">
        <v>1</v>
      </c>
      <c r="BY10" s="195">
        <v>2</v>
      </c>
      <c r="BZ10" s="195">
        <v>3</v>
      </c>
      <c r="CA10" s="195">
        <v>4</v>
      </c>
      <c r="CC10" s="143">
        <f t="shared" ref="CC10" ca="1" si="49">IF($D10="-","-",IF(COUNTIF(IDSourceRange,E10)&gt;1,1,0))</f>
        <v>0</v>
      </c>
      <c r="CD10" s="143">
        <f t="shared" ref="CD10" ca="1" si="50">IF($D10="-","-",  IF(LEN(M10)=0,0,IF(ISERROR(MATCH(M10,IDSourceRange,0)),1,0)) + IF(LEN(N10)=0,0,IF(ISERROR(MATCH(N10,IDSourceRange,0)),1,0)) + IF(LEN(O10)=0,0,IF(ISERROR(MATCH(O10,IDSourceRange,0)),1,0)) )</f>
        <v>0</v>
      </c>
      <c r="CE10" s="143">
        <f t="shared" ref="CE10:CE73" ca="1" si="51">IF($D10="-","-",IF(LEN(AB10)=0,0,IF(ISERROR(MATCH(AB10,$AF$7:$AF$17,0)),1,0)) + IF(LEN(AC10)=0,0,IF(ISERROR(MATCH(AC10,$AF$7:$AF$17,0)),1,0)) + IF(LEN(AD10)=0,0,IF(ISERROR(MATCH(AD10,$AF$7:$AF$17,0)),1,0)))</f>
        <v>0</v>
      </c>
      <c r="CF10" s="143" t="s">
        <v>128</v>
      </c>
      <c r="CG10" s="143">
        <f t="shared" ref="CG10" ca="1" si="52">IF($D10="-","-",IF(X10="-",0,IF(COUNTIF(GridCombinedRange,X10)&gt;1,1,0)))</f>
        <v>0</v>
      </c>
      <c r="CH10" s="143"/>
      <c r="CI10" s="143"/>
      <c r="CJ10" s="143"/>
      <c r="CK10" s="143"/>
      <c r="CL10" s="143"/>
      <c r="CN10" s="143">
        <v>4</v>
      </c>
      <c r="CO10" s="196" t="s">
        <v>143</v>
      </c>
      <c r="CP10" s="143">
        <f t="shared" ca="1" si="22"/>
        <v>0</v>
      </c>
      <c r="CQ10" s="143">
        <f t="shared" si="33"/>
        <v>31</v>
      </c>
    </row>
    <row r="11" spans="3:96" x14ac:dyDescent="0.3">
      <c r="C11" s="170">
        <v>5</v>
      </c>
      <c r="D11" s="111" t="str">
        <f ca="1">IF(COUNTA(OFFSET(Dashboard!$B$6,C11,0,1,COUNTA(Dashboard!$B$6:$H$6)))&gt;0,"Yes","-")</f>
        <v>Yes</v>
      </c>
      <c r="E11" s="170" t="str">
        <f ca="1">IF(D11="-","-",IF(LEN(INDEX(Dashboard!B$6:B$206,$C11+1))=0,"x"&amp;C11&amp;"x","x"&amp;INDEX(Dashboard!B$6:B$206,$C11+1)&amp;"x"))</f>
        <v>x5x</v>
      </c>
      <c r="F11" s="171" t="str">
        <f ca="1">IF(D11="-","-",IF(LEN(INDEX(Dashboard!$C$6:$C$206,C11+1))=0," ",INDEX(Dashboard!$C$6:$C$206,C11+1)))</f>
        <v>Crete Terminal request</v>
      </c>
      <c r="G11" s="219" t="str">
        <f ca="1">IF(OR(D11="-",D11=""),"-",IF(LEN(INDEX(Dashboard!$D$6:$D$228,C11+1))=0,"", "x"&amp;SUBSTITUTE(SUBSTITUTE(INDEX(Dashboard!$D$6:$D$228,C11+1)," ",""),",","x,x")&amp;"x"))</f>
        <v>x6x</v>
      </c>
      <c r="H11" s="111" t="str">
        <f ca="1">IF(D11="-","-",TRIM(INDEX(Dashboard!$E$6:$E$206,C11+1)))</f>
        <v/>
      </c>
      <c r="I11" s="111" t="str">
        <f ca="1">IF(D11="-","-",IF(LEN(INDEX(Dashboard!$F$6:$F$206,C11+1))=0,$BS$8,IF(ISERROR(MATCH(INDEX(Dashboard!$F$6:$F$206,C11+1),$BS$7:$BS$35,0)),$BS$8,INDEX(Dashboard!$F$6:$F$206,C11+1))))</f>
        <v>process</v>
      </c>
      <c r="J11" s="111" t="str">
        <f ca="1">IF(D11="-","-",SUBSTITUTE(INDEX(Dashboard!$G$6:$G$206,C11+1)," ",""))</f>
        <v/>
      </c>
      <c r="K11" s="219" t="str">
        <f ca="1">IF(D11="-","-",IF(LEN(INDEX(Dashboard!$H$6:$H$228,C11+1))=0,"",INDEX(Dashboard!$H$6:$H$228,C11+1)))</f>
        <v>Green</v>
      </c>
      <c r="M11" s="172" t="str">
        <f t="shared" ca="1" si="1"/>
        <v>x6x</v>
      </c>
      <c r="N11" s="172" t="str">
        <f t="shared" ca="1" si="1"/>
        <v/>
      </c>
      <c r="O11" s="172" t="str">
        <f t="shared" ca="1" si="1"/>
        <v/>
      </c>
      <c r="P11" s="173">
        <f t="shared" ca="1" si="2"/>
        <v>6</v>
      </c>
      <c r="Q11" s="172" t="str">
        <f t="shared" ca="1" si="2"/>
        <v/>
      </c>
      <c r="R11" s="172" t="str">
        <f t="shared" ca="1" si="2"/>
        <v/>
      </c>
      <c r="S11" s="174">
        <f t="array" aca="1" ref="S11" ca="1">IF($D11="-","-",SUM(IF(LEN(M11:O11)&gt;0,1,0)))</f>
        <v>1</v>
      </c>
      <c r="T11" s="175">
        <f t="array" aca="1" ref="T11" ca="1">IF(D11="-","-",SUM(IF(ISERROR(SEARCH(E11,$G$7:$G$206)),0,1)))</f>
        <v>1</v>
      </c>
      <c r="V11" s="197">
        <v>10</v>
      </c>
      <c r="W11" s="127">
        <v>14</v>
      </c>
      <c r="X11" s="177" t="str">
        <f t="shared" si="23"/>
        <v>10-14</v>
      </c>
      <c r="Y11" s="178">
        <v>4</v>
      </c>
      <c r="Z11" s="127">
        <v>5</v>
      </c>
      <c r="AB11" s="179" t="str">
        <f t="shared" ca="1" si="3"/>
        <v/>
      </c>
      <c r="AC11" s="179" t="str">
        <f t="shared" ca="1" si="3"/>
        <v/>
      </c>
      <c r="AD11" s="179" t="str">
        <f t="shared" ca="1" si="3"/>
        <v/>
      </c>
      <c r="AE11" s="201" t="s">
        <v>144</v>
      </c>
      <c r="AF11" s="180" t="s">
        <v>144</v>
      </c>
      <c r="AG11" s="181" t="str">
        <f t="shared" ref="AG11:AI11" si="53">IF(DirectionSelector="Vertical",AG27,AG37)</f>
        <v>Below</v>
      </c>
      <c r="AH11" s="181" t="str">
        <f t="shared" si="53"/>
        <v>Left</v>
      </c>
      <c r="AI11" s="181" t="str">
        <f t="shared" si="53"/>
        <v>Top</v>
      </c>
      <c r="AJ11" s="181" t="str">
        <f t="shared" ca="1" si="5"/>
        <v>Below</v>
      </c>
      <c r="AK11" s="179" t="str">
        <f t="shared" ca="1" si="6"/>
        <v>Below</v>
      </c>
      <c r="AL11" s="179" t="str">
        <f ca="1">IF($D11="-","-",IF(LEN(N11)=0,"",IF(AND(LEN(AC11)&lt;&gt;0,ISNUMBER(MATCH(AC11,$AF$7:$AF$17,0))),AC11,IF(AL$6=1,INDEX($AG$7:$AG$17,MATCH($AJ11,$AF$7:$AF$17,0)),IF(AL$6=2,INDEX($AH$7:$AH$17,MATCH($AJ11,$AF$7:$AF$17,0)),IF(AL$6=3,INDEX($AI$7:$AI$17,MATCH($AJ11,$AF$7:$AF$17,0)),INDEX($AG$7:$AG$17,MATCH($AJ11,$AF$7:$AF$17,0))))))))</f>
        <v/>
      </c>
      <c r="AM11" s="179" t="str">
        <f t="shared" ca="1" si="6"/>
        <v/>
      </c>
      <c r="AO11" s="182" t="str">
        <f t="shared" ca="1" si="7"/>
        <v/>
      </c>
      <c r="AP11" s="182" t="str">
        <f t="shared" ca="1" si="7"/>
        <v/>
      </c>
      <c r="AQ11" s="182" t="str">
        <f t="shared" ca="1" si="7"/>
        <v/>
      </c>
      <c r="AS11" s="183" t="s">
        <v>145</v>
      </c>
      <c r="AT11" s="184">
        <v>25</v>
      </c>
      <c r="AU11" s="185">
        <f t="shared" ref="AU11" ca="1" si="54">IF($D11="-","-",IF(LEN(M11)=0,"", INDEX($AT$7:$AT$15,MATCH(IF($V11-INDEX(GridXRange,P11)&lt;0,"Negative",IF($V11-INDEX(GridXRange,P11)&gt;0,"Positive","Zero")) &amp; " - " &amp;IF($W11-INDEX(GridYRange,P11)&lt;0,"Negative",IF($W11-INDEX(GridYRange,P11)&gt;0,"Positive","Zero")),$AS$7:$AS$15,0))))</f>
        <v>30</v>
      </c>
      <c r="AV11" s="186" t="str">
        <f t="shared" ref="AV11" ca="1" si="55">IF($D11="-","-",IF(LEN(N11)=0,"", INDEX($AT$7:$AT$15,MATCH(IF($V11-INDEX(GridXRange,Q11)&lt;0,"Negative",IF($V11-INDEX(GridXRange,Q11)&gt;0,"Positive","Zero")) &amp; " - " &amp;IF($W11-INDEX(GridYRange,Q11)&lt;0,"Negative",IF($W11-INDEX(GridYRange,Q11)&gt;0,"Positive","Zero")),$AS$7:$AS$15,0))))</f>
        <v/>
      </c>
      <c r="AW11" s="186" t="str">
        <f t="shared" ref="AW11" ca="1" si="56">IF($D11="-","-",IF(LEN(O11)=0,"", INDEX($AT$7:$AT$15,MATCH(IF($V11-INDEX(GridXRange,R11)&lt;0,"Negative",IF($V11-INDEX(GridXRange,R11)&gt;0,"Positive","Zero")) &amp; " - " &amp;IF($W11-INDEX(GridYRange,R11)&lt;0,"Negative",IF($W11-INDEX(GridYRange,R11)&gt;0,"Positive","Zero")),$AS$7:$AS$15,0))))</f>
        <v/>
      </c>
      <c r="AX11" s="187" t="s">
        <v>13</v>
      </c>
      <c r="AY11" s="188"/>
      <c r="AZ11" s="188" t="s">
        <v>13</v>
      </c>
      <c r="BA11" s="184"/>
      <c r="BB11" s="187">
        <f t="shared" ca="1" si="11"/>
        <v>1</v>
      </c>
      <c r="BC11" s="188">
        <f t="shared" ca="1" si="11"/>
        <v>2</v>
      </c>
      <c r="BD11" s="188">
        <f t="shared" ca="1" si="11"/>
        <v>3</v>
      </c>
      <c r="BE11" s="189">
        <f t="shared" ca="1" si="11"/>
        <v>4</v>
      </c>
      <c r="BF11" s="190">
        <v>15</v>
      </c>
      <c r="BG11" s="191">
        <v>2</v>
      </c>
      <c r="BH11" s="191">
        <v>4</v>
      </c>
      <c r="BI11" s="190"/>
      <c r="BK11" s="192">
        <f t="shared" ref="BK11" ca="1" si="57">IF($D11="-","-",$BK$5 + (V11-StartGridX) * (GapXDiff + $BW$7))</f>
        <v>80</v>
      </c>
      <c r="BL11" s="192">
        <f t="shared" ref="BL11" ca="1" si="58">IF($D11="-","-",$BL$5 + (W11-StartGridY) * (GapYDiff + $BV$7))</f>
        <v>460</v>
      </c>
      <c r="BM11" s="192">
        <f t="shared" ca="1" si="14"/>
        <v>110</v>
      </c>
      <c r="BN11" s="192">
        <f t="shared" ca="1" si="15"/>
        <v>50</v>
      </c>
      <c r="BO11" s="192">
        <f t="shared" ca="1" si="16"/>
        <v>61</v>
      </c>
      <c r="BP11" s="192" t="str">
        <f t="shared" ca="1" si="17"/>
        <v>Crete Terminal request</v>
      </c>
      <c r="BQ11" s="192">
        <f ca="1">IF($D11="-","-",IF(LEN(K11)=0,1,IFERROR(MATCH(K11,Dashboard!$L$25:$L$31,0),1)))</f>
        <v>3</v>
      </c>
      <c r="BS11" s="193" t="s">
        <v>146</v>
      </c>
      <c r="BT11" s="193" t="s">
        <v>147</v>
      </c>
      <c r="BU11" s="194">
        <v>75</v>
      </c>
      <c r="BV11" s="194">
        <f>Dashboard!$M$16</f>
        <v>50</v>
      </c>
      <c r="BW11" s="194">
        <f>Dashboard!$M$15</f>
        <v>110</v>
      </c>
      <c r="BX11" s="195">
        <v>1</v>
      </c>
      <c r="BY11" s="195">
        <v>2</v>
      </c>
      <c r="BZ11" s="195">
        <v>3</v>
      </c>
      <c r="CA11" s="195">
        <v>4</v>
      </c>
      <c r="CC11" s="143">
        <f t="shared" ref="CC11" ca="1" si="59">IF($D11="-","-",IF(COUNTIF(IDSourceRange,E11)&gt;1,1,0))</f>
        <v>0</v>
      </c>
      <c r="CD11" s="143">
        <f t="shared" ref="CD11" ca="1" si="60">IF($D11="-","-",  IF(LEN(M11)=0,0,IF(ISERROR(MATCH(M11,IDSourceRange,0)),1,0)) + IF(LEN(N11)=0,0,IF(ISERROR(MATCH(N11,IDSourceRange,0)),1,0)) + IF(LEN(O11)=0,0,IF(ISERROR(MATCH(O11,IDSourceRange,0)),1,0)) )</f>
        <v>0</v>
      </c>
      <c r="CE11" s="143">
        <f t="shared" ca="1" si="51"/>
        <v>0</v>
      </c>
      <c r="CF11" s="143" t="s">
        <v>128</v>
      </c>
      <c r="CG11" s="143">
        <f t="shared" ref="CG11" ca="1" si="61">IF($D11="-","-",IF(X11="-",0,IF(COUNTIF(GridCombinedRange,X11)&gt;1,1,0)))</f>
        <v>0</v>
      </c>
      <c r="CH11" s="143"/>
      <c r="CI11" s="143"/>
      <c r="CJ11" s="143"/>
      <c r="CK11" s="143"/>
      <c r="CL11" s="143"/>
      <c r="CN11" s="143">
        <v>5</v>
      </c>
      <c r="CO11" s="196" t="s">
        <v>148</v>
      </c>
      <c r="CP11" s="143">
        <f t="shared" ca="1" si="22"/>
        <v>0</v>
      </c>
      <c r="CQ11" s="143">
        <f t="shared" si="33"/>
        <v>48</v>
      </c>
    </row>
    <row r="12" spans="3:96" x14ac:dyDescent="0.3">
      <c r="C12" s="170">
        <v>6</v>
      </c>
      <c r="D12" s="111" t="str">
        <f ca="1">IF(COUNTA(OFFSET(Dashboard!$B$6,C12,0,1,COUNTA(Dashboard!$B$6:$H$6)))&gt;0,"Yes","-")</f>
        <v>Yes</v>
      </c>
      <c r="E12" s="170" t="str">
        <f ca="1">IF(D12="-","-",IF(LEN(INDEX(Dashboard!B$6:B$206,$C12+1))=0,"x"&amp;C12&amp;"x","x"&amp;INDEX(Dashboard!B$6:B$206,$C12+1)&amp;"x"))</f>
        <v>x6x</v>
      </c>
      <c r="F12" s="171" t="str">
        <f ca="1">IF(D12="-","-",IF(LEN(INDEX(Dashboard!$C$6:$C$206,C12+1))=0," ",INDEX(Dashboard!$C$6:$C$206,C12+1)))</f>
        <v>wait till Timeout for clearing Terminal</v>
      </c>
      <c r="G12" s="219" t="str">
        <f ca="1">IF(OR(D12="-",D12=""),"-",IF(LEN(INDEX(Dashboard!$D$6:$D$228,C12+1))=0,"", "x"&amp;SUBSTITUTE(SUBSTITUTE(INDEX(Dashboard!$D$6:$D$228,C12+1)," ",""),",","x,x")&amp;"x"))</f>
        <v>x7x</v>
      </c>
      <c r="H12" s="111" t="str">
        <f ca="1">IF(D12="-","-",TRIM(INDEX(Dashboard!$E$6:$E$206,C12+1)))</f>
        <v/>
      </c>
      <c r="I12" s="111" t="str">
        <f ca="1">IF(D12="-","-",IF(LEN(INDEX(Dashboard!$F$6:$F$206,C12+1))=0,$BS$8,IF(ISERROR(MATCH(INDEX(Dashboard!$F$6:$F$206,C12+1),$BS$7:$BS$35,0)),$BS$8,INDEX(Dashboard!$F$6:$F$206,C12+1))))</f>
        <v>process</v>
      </c>
      <c r="J12" s="111" t="str">
        <f ca="1">IF(D12="-","-",SUBSTITUTE(INDEX(Dashboard!$G$6:$G$206,C12+1)," ",""))</f>
        <v/>
      </c>
      <c r="K12" s="219" t="str">
        <f ca="1">IF(D12="-","-",IF(LEN(INDEX(Dashboard!$H$6:$H$228,C12+1))=0,"",INDEX(Dashboard!$H$6:$H$228,C12+1)))</f>
        <v>Green</v>
      </c>
      <c r="M12" s="172" t="str">
        <f t="shared" ca="1" si="1"/>
        <v>x7x</v>
      </c>
      <c r="N12" s="172" t="str">
        <f t="shared" ca="1" si="1"/>
        <v/>
      </c>
      <c r="O12" s="172" t="str">
        <f t="shared" ca="1" si="1"/>
        <v/>
      </c>
      <c r="P12" s="173">
        <f t="shared" ca="1" si="2"/>
        <v>7</v>
      </c>
      <c r="Q12" s="172" t="str">
        <f t="shared" ca="1" si="2"/>
        <v/>
      </c>
      <c r="R12" s="172" t="str">
        <f t="shared" ca="1" si="2"/>
        <v/>
      </c>
      <c r="S12" s="174">
        <f t="array" aca="1" ref="S12" ca="1">IF($D12="-","-",SUM(IF(LEN(M12:O12)&gt;0,1,0)))</f>
        <v>1</v>
      </c>
      <c r="T12" s="175">
        <f t="array" aca="1" ref="T12" ca="1">IF(D12="-","-",SUM(IF(ISERROR(SEARCH(E12,$G$7:$G$206)),0,1)))</f>
        <v>1</v>
      </c>
      <c r="V12" s="204">
        <v>10</v>
      </c>
      <c r="W12" s="127">
        <v>15</v>
      </c>
      <c r="X12" s="177" t="str">
        <f t="shared" si="23"/>
        <v>10-15</v>
      </c>
      <c r="Y12" s="178">
        <v>5</v>
      </c>
      <c r="Z12" s="127">
        <v>10</v>
      </c>
      <c r="AB12" s="179" t="str">
        <f t="shared" ca="1" si="3"/>
        <v/>
      </c>
      <c r="AC12" s="179" t="str">
        <f t="shared" ca="1" si="3"/>
        <v/>
      </c>
      <c r="AD12" s="179" t="str">
        <f t="shared" ca="1" si="3"/>
        <v/>
      </c>
      <c r="AE12" s="201" t="s">
        <v>17</v>
      </c>
      <c r="AF12" s="180" t="s">
        <v>149</v>
      </c>
      <c r="AG12" s="181" t="str">
        <f t="shared" ref="AG12:AI12" si="62">IF(DirectionSelector="Vertical",AG28,AG38)</f>
        <v>Below</v>
      </c>
      <c r="AH12" s="181" t="str">
        <f t="shared" si="62"/>
        <v>Left</v>
      </c>
      <c r="AI12" s="181" t="str">
        <f t="shared" si="62"/>
        <v>Right</v>
      </c>
      <c r="AJ12" s="181" t="str">
        <f t="shared" ca="1" si="5"/>
        <v>Below</v>
      </c>
      <c r="AK12" s="179" t="str">
        <f t="shared" ca="1" si="6"/>
        <v>Below</v>
      </c>
      <c r="AL12" s="179" t="str">
        <f t="shared" ca="1" si="6"/>
        <v/>
      </c>
      <c r="AM12" s="179" t="str">
        <f t="shared" ca="1" si="6"/>
        <v/>
      </c>
      <c r="AO12" s="182" t="str">
        <f t="shared" ca="1" si="7"/>
        <v/>
      </c>
      <c r="AP12" s="182" t="str">
        <f t="shared" ca="1" si="7"/>
        <v/>
      </c>
      <c r="AQ12" s="182" t="str">
        <f t="shared" ca="1" si="7"/>
        <v/>
      </c>
      <c r="AS12" s="183" t="s">
        <v>150</v>
      </c>
      <c r="AT12" s="184">
        <v>40</v>
      </c>
      <c r="AU12" s="185">
        <f t="shared" ref="AU12" ca="1" si="63">IF($D12="-","-",IF(LEN(M12)=0,"", INDEX($AT$7:$AT$15,MATCH(IF($V12-INDEX(GridXRange,P12)&lt;0,"Negative",IF($V12-INDEX(GridXRange,P12)&gt;0,"Positive","Zero")) &amp; " - " &amp;IF($W12-INDEX(GridYRange,P12)&lt;0,"Negative",IF($W12-INDEX(GridYRange,P12)&gt;0,"Positive","Zero")),$AS$7:$AS$15,0))))</f>
        <v>30</v>
      </c>
      <c r="AV12" s="186" t="str">
        <f t="shared" ref="AV12" ca="1" si="64">IF($D12="-","-",IF(LEN(N12)=0,"", INDEX($AT$7:$AT$15,MATCH(IF($V12-INDEX(GridXRange,Q12)&lt;0,"Negative",IF($V12-INDEX(GridXRange,Q12)&gt;0,"Positive","Zero")) &amp; " - " &amp;IF($W12-INDEX(GridYRange,Q12)&lt;0,"Negative",IF($W12-INDEX(GridYRange,Q12)&gt;0,"Positive","Zero")),$AS$7:$AS$15,0))))</f>
        <v/>
      </c>
      <c r="AW12" s="186" t="str">
        <f t="shared" ref="AW12" ca="1" si="65">IF($D12="-","-",IF(LEN(O12)=0,"", INDEX($AT$7:$AT$15,MATCH(IF($V12-INDEX(GridXRange,R12)&lt;0,"Negative",IF($V12-INDEX(GridXRange,R12)&gt;0,"Positive","Zero")) &amp; " - " &amp;IF($W12-INDEX(GridYRange,R12)&lt;0,"Negative",IF($W12-INDEX(GridYRange,R12)&gt;0,"Positive","Zero")),$AS$7:$AS$15,0))))</f>
        <v/>
      </c>
      <c r="AX12" s="187" t="s">
        <v>13</v>
      </c>
      <c r="AY12" s="188"/>
      <c r="AZ12" s="188" t="s">
        <v>13</v>
      </c>
      <c r="BA12" s="184"/>
      <c r="BB12" s="187">
        <f t="shared" ca="1" si="11"/>
        <v>1</v>
      </c>
      <c r="BC12" s="188">
        <f t="shared" ca="1" si="11"/>
        <v>2</v>
      </c>
      <c r="BD12" s="188">
        <f t="shared" ca="1" si="11"/>
        <v>3</v>
      </c>
      <c r="BE12" s="189">
        <f t="shared" ca="1" si="11"/>
        <v>4</v>
      </c>
      <c r="BF12" s="199">
        <v>15</v>
      </c>
      <c r="BG12" s="200">
        <v>1</v>
      </c>
      <c r="BH12" s="200">
        <v>3</v>
      </c>
      <c r="BI12" s="199"/>
      <c r="BK12" s="192">
        <f t="shared" ref="BK12" ca="1" si="66">IF($D12="-","-",$BK$5 + (V12-StartGridX) * (GapXDiff + $BW$7))</f>
        <v>80</v>
      </c>
      <c r="BL12" s="192">
        <f t="shared" ref="BL12" ca="1" si="67">IF($D12="-","-",$BL$5 + (W12-StartGridY) * (GapYDiff + $BV$7))</f>
        <v>550</v>
      </c>
      <c r="BM12" s="192">
        <f t="shared" ca="1" si="14"/>
        <v>110</v>
      </c>
      <c r="BN12" s="192">
        <f t="shared" ca="1" si="15"/>
        <v>50</v>
      </c>
      <c r="BO12" s="192">
        <f t="shared" ca="1" si="16"/>
        <v>61</v>
      </c>
      <c r="BP12" s="192" t="str">
        <f t="shared" ca="1" si="17"/>
        <v>wait till Timeout for clearing Terminal</v>
      </c>
      <c r="BQ12" s="192">
        <f ca="1">IF($D12="-","-",IF(LEN(K12)=0,1,IFERROR(MATCH(K12,Dashboard!$L$25:$L$31,0),1)))</f>
        <v>3</v>
      </c>
      <c r="BS12" s="193" t="s">
        <v>151</v>
      </c>
      <c r="BT12" s="193" t="s">
        <v>152</v>
      </c>
      <c r="BU12" s="194">
        <v>79</v>
      </c>
      <c r="BV12" s="194">
        <f>Dashboard!$M$16</f>
        <v>50</v>
      </c>
      <c r="BW12" s="194">
        <f>Dashboard!$M$15</f>
        <v>110</v>
      </c>
      <c r="BX12" s="195">
        <v>1</v>
      </c>
      <c r="BY12" s="195">
        <v>2</v>
      </c>
      <c r="BZ12" s="195">
        <v>3</v>
      </c>
      <c r="CA12" s="195">
        <v>2</v>
      </c>
      <c r="CC12" s="143">
        <f t="shared" ref="CC12" ca="1" si="68">IF($D12="-","-",IF(COUNTIF(IDSourceRange,E12)&gt;1,1,0))</f>
        <v>0</v>
      </c>
      <c r="CD12" s="143">
        <f t="shared" ref="CD12" ca="1" si="69">IF($D12="-","-",  IF(LEN(M12)=0,0,IF(ISERROR(MATCH(M12,IDSourceRange,0)),1,0)) + IF(LEN(N12)=0,0,IF(ISERROR(MATCH(N12,IDSourceRange,0)),1,0)) + IF(LEN(O12)=0,0,IF(ISERROR(MATCH(O12,IDSourceRange,0)),1,0)) )</f>
        <v>0</v>
      </c>
      <c r="CE12" s="143">
        <f t="shared" ca="1" si="51"/>
        <v>0</v>
      </c>
      <c r="CF12" s="143" t="s">
        <v>128</v>
      </c>
      <c r="CG12" s="143">
        <f t="shared" ref="CG12" ca="1" si="70">IF($D12="-","-",IF(X12="-",0,IF(COUNTIF(GridCombinedRange,X12)&gt;1,1,0)))</f>
        <v>0</v>
      </c>
      <c r="CH12" s="143"/>
      <c r="CI12" s="143"/>
      <c r="CJ12" s="143"/>
      <c r="CK12" s="143"/>
      <c r="CL12" s="143"/>
      <c r="CN12" s="143">
        <v>6</v>
      </c>
      <c r="CO12" s="196"/>
      <c r="CP12" s="143">
        <f t="shared" si="22"/>
        <v>0</v>
      </c>
      <c r="CQ12" s="143">
        <f t="shared" si="33"/>
        <v>0</v>
      </c>
    </row>
    <row r="13" spans="3:96" x14ac:dyDescent="0.3">
      <c r="C13" s="170">
        <v>7</v>
      </c>
      <c r="D13" s="111" t="str">
        <f ca="1">IF(COUNTA(OFFSET(Dashboard!$B$6,C13,0,1,COUNTA(Dashboard!$B$6:$H$6)))&gt;0,"Yes","-")</f>
        <v>Yes</v>
      </c>
      <c r="E13" s="170" t="str">
        <f ca="1">IF(D13="-","-",IF(LEN(INDEX(Dashboard!B$6:B$206,$C13+1))=0,"x"&amp;C13&amp;"x","x"&amp;INDEX(Dashboard!B$6:B$206,$C13+1)&amp;"x"))</f>
        <v>x7x</v>
      </c>
      <c r="F13" s="171" t="str">
        <f ca="1">IF(D13="-","-",IF(LEN(INDEX(Dashboard!$C$6:$C$206,C13+1))=0," ",INDEX(Dashboard!$C$6:$C$206,C13+1)))</f>
        <v>If timeout is True</v>
      </c>
      <c r="G13" s="219" t="str">
        <f ca="1">IF(OR(D13="-",D13=""),"-",IF(LEN(INDEX(Dashboard!$D$6:$D$228,C13+1))=0,"", "x"&amp;SUBSTITUTE(SUBSTITUTE(INDEX(Dashboard!$D$6:$D$228,C13+1)," ",""),",","x,x")&amp;"x"))</f>
        <v>x8x,x9x</v>
      </c>
      <c r="H13" s="111" t="str">
        <f ca="1">IF(D13="-","-",TRIM(INDEX(Dashboard!$E$6:$E$206,C13+1)))</f>
        <v>yes,No</v>
      </c>
      <c r="I13" s="111" t="str">
        <f ca="1">IF(D13="-","-",IF(LEN(INDEX(Dashboard!$F$6:$F$206,C13+1))=0,$BS$8,IF(ISERROR(MATCH(INDEX(Dashboard!$F$6:$F$206,C13+1),$BS$7:$BS$35,0)),$BS$8,INDEX(Dashboard!$F$6:$F$206,C13+1))))</f>
        <v>decision</v>
      </c>
      <c r="J13" s="111" t="str">
        <f ca="1">IF(D13="-","-",SUBSTITUTE(INDEX(Dashboard!$G$6:$G$206,C13+1)," ",""))</f>
        <v/>
      </c>
      <c r="K13" s="111" t="str">
        <f ca="1">IF(D13="-","-",IF(LEN(INDEX(Dashboard!$H$6:$H$206,C13+1))=0,"",INDEX(Dashboard!$H$6:$H$206,C13+1)))</f>
        <v>Green</v>
      </c>
      <c r="M13" s="172" t="str">
        <f t="shared" ca="1" si="1"/>
        <v>x8x</v>
      </c>
      <c r="N13" s="172" t="str">
        <f t="shared" ca="1" si="1"/>
        <v>x9x</v>
      </c>
      <c r="O13" s="172" t="str">
        <f t="shared" ca="1" si="1"/>
        <v/>
      </c>
      <c r="P13" s="173">
        <f t="shared" ca="1" si="2"/>
        <v>8</v>
      </c>
      <c r="Q13" s="172">
        <f t="shared" ca="1" si="2"/>
        <v>9</v>
      </c>
      <c r="R13" s="172" t="str">
        <f t="shared" ca="1" si="2"/>
        <v/>
      </c>
      <c r="S13" s="174">
        <f t="array" aca="1" ref="S13" ca="1">IF($D13="-","-",SUM(IF(LEN(M13:O13)&gt;0,1,0)))</f>
        <v>2</v>
      </c>
      <c r="T13" s="175">
        <f t="array" aca="1" ref="T13" ca="1">IF(D13="-","-",SUM(IF(ISERROR(SEARCH(E13,$G$7:$G$206)),0,1)))</f>
        <v>1</v>
      </c>
      <c r="V13" s="204">
        <v>10</v>
      </c>
      <c r="W13" s="127">
        <v>16</v>
      </c>
      <c r="X13" s="177" t="str">
        <f t="shared" si="23"/>
        <v>10-16</v>
      </c>
      <c r="Y13" s="178">
        <v>6</v>
      </c>
      <c r="Z13" s="127">
        <v>6</v>
      </c>
      <c r="AB13" s="179" t="str">
        <f t="shared" ca="1" si="3"/>
        <v/>
      </c>
      <c r="AC13" s="179" t="str">
        <f t="shared" ca="1" si="3"/>
        <v/>
      </c>
      <c r="AD13" s="179" t="str">
        <f t="shared" ca="1" si="3"/>
        <v/>
      </c>
      <c r="AE13" s="201" t="s">
        <v>131</v>
      </c>
      <c r="AF13" s="180" t="s">
        <v>17</v>
      </c>
      <c r="AG13" s="181" t="str">
        <f t="shared" ref="AG13:AI13" si="71">IF(DirectionSelector="Vertical",AG29,AG39)</f>
        <v>Top</v>
      </c>
      <c r="AH13" s="181" t="str">
        <f t="shared" si="71"/>
        <v>Right</v>
      </c>
      <c r="AI13" s="181" t="str">
        <f t="shared" si="71"/>
        <v>Left</v>
      </c>
      <c r="AJ13" s="181" t="str">
        <f t="shared" ca="1" si="5"/>
        <v>Below</v>
      </c>
      <c r="AK13" s="179" t="str">
        <f t="shared" ca="1" si="6"/>
        <v>Below</v>
      </c>
      <c r="AL13" s="179" t="str">
        <f t="shared" ca="1" si="6"/>
        <v>Right</v>
      </c>
      <c r="AM13" s="179" t="str">
        <f t="shared" ca="1" si="6"/>
        <v/>
      </c>
      <c r="AO13" s="182" t="str">
        <f t="shared" ca="1" si="7"/>
        <v>yes</v>
      </c>
      <c r="AP13" s="182" t="str">
        <f t="shared" ca="1" si="7"/>
        <v>No</v>
      </c>
      <c r="AQ13" s="182" t="str">
        <f t="shared" ca="1" si="7"/>
        <v/>
      </c>
      <c r="AS13" s="183" t="s">
        <v>153</v>
      </c>
      <c r="AT13" s="184">
        <v>45</v>
      </c>
      <c r="AU13" s="185">
        <f t="shared" ref="AU13" ca="1" si="72">IF($D13="-","-",IF(LEN(M13)=0,"", INDEX($AT$7:$AT$15,MATCH(IF($V13-INDEX(GridXRange,P13)&lt;0,"Negative",IF($V13-INDEX(GridXRange,P13)&gt;0,"Positive","Zero")) &amp; " - " &amp;IF($W13-INDEX(GridYRange,P13)&lt;0,"Negative",IF($W13-INDEX(GridYRange,P13)&gt;0,"Positive","Zero")),$AS$7:$AS$15,0))))</f>
        <v>30</v>
      </c>
      <c r="AV13" s="186">
        <f t="shared" ref="AV13" ca="1" si="73">IF($D13="-","-",IF(LEN(N13)=0,"", INDEX($AT$7:$AT$15,MATCH(IF($V13-INDEX(GridXRange,Q13)&lt;0,"Negative",IF($V13-INDEX(GridXRange,Q13)&gt;0,"Positive","Zero")) &amp; " - " &amp;IF($W13-INDEX(GridYRange,Q13)&lt;0,"Negative",IF($W13-INDEX(GridYRange,Q13)&gt;0,"Positive","Zero")),$AS$7:$AS$15,0))))</f>
        <v>40</v>
      </c>
      <c r="AW13" s="186" t="str">
        <f t="shared" ref="AW13" ca="1" si="74">IF($D13="-","-",IF(LEN(O13)=0,"", INDEX($AT$7:$AT$15,MATCH(IF($V13-INDEX(GridXRange,R13)&lt;0,"Negative",IF($V13-INDEX(GridXRange,R13)&gt;0,"Positive","Zero")) &amp; " - " &amp;IF($W13-INDEX(GridYRange,R13)&lt;0,"Negative",IF($W13-INDEX(GridYRange,R13)&gt;0,"Positive","Zero")),$AS$7:$AS$15,0))))</f>
        <v/>
      </c>
      <c r="AX13" s="187" t="s">
        <v>13</v>
      </c>
      <c r="AY13" s="188"/>
      <c r="AZ13" s="188" t="s">
        <v>13</v>
      </c>
      <c r="BA13" s="184" t="s">
        <v>13</v>
      </c>
      <c r="BB13" s="187">
        <f t="shared" ca="1" si="11"/>
        <v>1</v>
      </c>
      <c r="BC13" s="188">
        <f t="shared" ca="1" si="11"/>
        <v>2</v>
      </c>
      <c r="BD13" s="188">
        <f t="shared" ca="1" si="11"/>
        <v>3</v>
      </c>
      <c r="BE13" s="189">
        <f t="shared" ca="1" si="11"/>
        <v>4</v>
      </c>
      <c r="BF13" s="199">
        <v>15</v>
      </c>
      <c r="BG13" s="200">
        <v>2</v>
      </c>
      <c r="BH13" s="200">
        <v>3</v>
      </c>
      <c r="BI13" s="199"/>
      <c r="BK13" s="192">
        <f t="shared" ref="BK13" ca="1" si="75">IF($D13="-","-",$BK$5 + (V13-StartGridX) * (GapXDiff + $BW$7))</f>
        <v>80</v>
      </c>
      <c r="BL13" s="192">
        <f t="shared" ref="BL13" ca="1" si="76">IF($D13="-","-",$BL$5 + (W13-StartGridY) * (GapYDiff + $BV$7))</f>
        <v>640</v>
      </c>
      <c r="BM13" s="192">
        <f t="shared" ca="1" si="14"/>
        <v>110</v>
      </c>
      <c r="BN13" s="192">
        <f t="shared" ca="1" si="15"/>
        <v>50</v>
      </c>
      <c r="BO13" s="192">
        <f t="shared" ca="1" si="16"/>
        <v>63</v>
      </c>
      <c r="BP13" s="192" t="str">
        <f t="shared" ca="1" si="17"/>
        <v>If timeout is True</v>
      </c>
      <c r="BQ13" s="192">
        <f ca="1">IF($D13="-","-",IF(LEN(K13)=0,1,IFERROR(MATCH(K13,Dashboard!$L$25:$L$31,0),1)))</f>
        <v>3</v>
      </c>
      <c r="BS13" s="193" t="s">
        <v>154</v>
      </c>
      <c r="BT13" s="193" t="s">
        <v>155</v>
      </c>
      <c r="BU13" s="194">
        <v>73</v>
      </c>
      <c r="BV13" s="194">
        <f>Dashboard!$M$16</f>
        <v>50</v>
      </c>
      <c r="BW13" s="194">
        <f>Dashboard!$M$15</f>
        <v>110</v>
      </c>
      <c r="BX13" s="195">
        <v>1</v>
      </c>
      <c r="BY13" s="195">
        <v>3</v>
      </c>
      <c r="BZ13" s="195">
        <v>5</v>
      </c>
      <c r="CA13" s="195">
        <v>7</v>
      </c>
      <c r="CC13" s="143">
        <f t="shared" ref="CC13" ca="1" si="77">IF($D13="-","-",IF(COUNTIF(IDSourceRange,E13)&gt;1,1,0))</f>
        <v>0</v>
      </c>
      <c r="CD13" s="143">
        <f t="shared" ref="CD13" ca="1" si="78">IF($D13="-","-",  IF(LEN(M13)=0,0,IF(ISERROR(MATCH(M13,IDSourceRange,0)),1,0)) + IF(LEN(N13)=0,0,IF(ISERROR(MATCH(N13,IDSourceRange,0)),1,0)) + IF(LEN(O13)=0,0,IF(ISERROR(MATCH(O13,IDSourceRange,0)),1,0)) )</f>
        <v>0</v>
      </c>
      <c r="CE13" s="143">
        <f t="shared" ca="1" si="51"/>
        <v>0</v>
      </c>
      <c r="CF13" s="143" t="s">
        <v>128</v>
      </c>
      <c r="CG13" s="143">
        <f t="shared" ref="CG13" ca="1" si="79">IF($D13="-","-",IF(X13="-",0,IF(COUNTIF(GridCombinedRange,X13)&gt;1,1,0)))</f>
        <v>0</v>
      </c>
      <c r="CH13" s="143"/>
      <c r="CI13" s="143"/>
      <c r="CJ13" s="143"/>
      <c r="CK13" s="143"/>
      <c r="CL13" s="143"/>
      <c r="CN13" s="143">
        <v>7</v>
      </c>
      <c r="CO13" s="196"/>
      <c r="CP13" s="143">
        <f t="shared" si="22"/>
        <v>0</v>
      </c>
      <c r="CQ13" s="143">
        <f t="shared" si="33"/>
        <v>0</v>
      </c>
    </row>
    <row r="14" spans="3:96" x14ac:dyDescent="0.3">
      <c r="C14" s="170">
        <v>8</v>
      </c>
      <c r="D14" s="111" t="str">
        <f ca="1">IF(COUNTA(OFFSET(Dashboard!$B$6,C14,0,1,COUNTA(Dashboard!$B$6:$H$6)))&gt;0,"Yes","-")</f>
        <v>Yes</v>
      </c>
      <c r="E14" s="170" t="str">
        <f ca="1">IF(D14="-","-",IF(LEN(INDEX(Dashboard!B$6:B$206,$C14+1))=0,"x"&amp;C14&amp;"x","x"&amp;INDEX(Dashboard!B$6:B$206,$C14+1)&amp;"x"))</f>
        <v>x8x</v>
      </c>
      <c r="F14" s="171" t="str">
        <f ca="1">IF(D14="-","-",IF(LEN(INDEX(Dashboard!$C$6:$C$206,C14+1))=0," ",INDEX(Dashboard!$C$6:$C$206,C14+1)))</f>
        <v>Kill PID process</v>
      </c>
      <c r="G14" s="219" t="str">
        <f ca="1">IF(OR(D14="-",D14=""),"-",IF(LEN(INDEX(Dashboard!$D$6:$D$228,C14+1))=0,"", "x"&amp;SUBSTITUTE(SUBSTITUTE(INDEX(Dashboard!$D$6:$D$228,C14+1)," ",""),",","x,x")&amp;"x"))</f>
        <v>x9x</v>
      </c>
      <c r="H14" s="111" t="str">
        <f ca="1">IF(D14="-","-",TRIM(INDEX(Dashboard!$E$6:$E$206,C14+1)))</f>
        <v/>
      </c>
      <c r="I14" s="111" t="str">
        <f ca="1">IF(D14="-","-",IF(LEN(INDEX(Dashboard!$F$6:$F$206,C14+1))=0,$BS$8,IF(ISERROR(MATCH(INDEX(Dashboard!$F$6:$F$206,C14+1),$BS$7:$BS$35,0)),$BS$8,INDEX(Dashboard!$F$6:$F$206,C14+1))))</f>
        <v>process</v>
      </c>
      <c r="J14" s="111" t="str">
        <f ca="1">IF(D14="-","-",SUBSTITUTE(INDEX(Dashboard!$G$6:$G$206,C14+1)," ",""))</f>
        <v/>
      </c>
      <c r="K14" s="111" t="str">
        <f ca="1">IF(D14="-","-",IF(LEN(INDEX(Dashboard!$H$6:$H$206,C14+1))=0,"",INDEX(Dashboard!$H$6:$H$206,C14+1)))</f>
        <v>Green</v>
      </c>
      <c r="M14" s="172" t="str">
        <f t="shared" ca="1" si="1"/>
        <v>x9x</v>
      </c>
      <c r="N14" s="172" t="str">
        <f t="shared" ca="1" si="1"/>
        <v/>
      </c>
      <c r="O14" s="172" t="str">
        <f t="shared" ca="1" si="1"/>
        <v/>
      </c>
      <c r="P14" s="173">
        <f t="shared" ca="1" si="2"/>
        <v>9</v>
      </c>
      <c r="Q14" s="172" t="str">
        <f t="shared" ca="1" si="2"/>
        <v/>
      </c>
      <c r="R14" s="172" t="str">
        <f t="shared" ca="1" si="2"/>
        <v/>
      </c>
      <c r="S14" s="174">
        <f t="array" aca="1" ref="S14" ca="1">IF($D14="-","-",SUM(IF(LEN(M14:O14)&gt;0,1,0)))</f>
        <v>1</v>
      </c>
      <c r="T14" s="175">
        <f t="array" aca="1" ref="T14" ca="1">IF(D14="-","-",SUM(IF(ISERROR(SEARCH(E14,$G$7:$G$206)),0,1)))</f>
        <v>1</v>
      </c>
      <c r="V14" s="204">
        <v>10</v>
      </c>
      <c r="W14" s="127">
        <v>17</v>
      </c>
      <c r="X14" s="177" t="str">
        <f t="shared" si="23"/>
        <v>10-17</v>
      </c>
      <c r="Y14" s="178">
        <v>7</v>
      </c>
      <c r="Z14" s="127">
        <v>11</v>
      </c>
      <c r="AB14" s="179" t="str">
        <f t="shared" ca="1" si="3"/>
        <v/>
      </c>
      <c r="AC14" s="179" t="str">
        <f t="shared" ca="1" si="3"/>
        <v/>
      </c>
      <c r="AD14" s="179" t="str">
        <f t="shared" ca="1" si="3"/>
        <v/>
      </c>
      <c r="AE14" s="201" t="s">
        <v>139</v>
      </c>
      <c r="AF14" s="180" t="s">
        <v>21</v>
      </c>
      <c r="AG14" s="181" t="str">
        <f t="shared" ref="AG14:AI14" si="80">IF(DirectionSelector="Vertical",AG30,AG40)</f>
        <v>Below</v>
      </c>
      <c r="AH14" s="181" t="str">
        <f t="shared" si="80"/>
        <v>Right</v>
      </c>
      <c r="AI14" s="181" t="str">
        <f t="shared" si="80"/>
        <v>Left</v>
      </c>
      <c r="AJ14" s="181" t="str">
        <f t="shared" ca="1" si="5"/>
        <v>Below</v>
      </c>
      <c r="AK14" s="179" t="str">
        <f t="shared" ca="1" si="6"/>
        <v>Below</v>
      </c>
      <c r="AL14" s="179" t="str">
        <f t="shared" ca="1" si="6"/>
        <v/>
      </c>
      <c r="AM14" s="179" t="str">
        <f t="shared" ca="1" si="6"/>
        <v/>
      </c>
      <c r="AO14" s="182" t="str">
        <f t="shared" ca="1" si="7"/>
        <v/>
      </c>
      <c r="AP14" s="182" t="str">
        <f t="shared" ca="1" si="7"/>
        <v/>
      </c>
      <c r="AQ14" s="182" t="str">
        <f t="shared" ca="1" si="7"/>
        <v/>
      </c>
      <c r="AS14" s="183" t="s">
        <v>156</v>
      </c>
      <c r="AT14" s="184">
        <v>35</v>
      </c>
      <c r="AU14" s="185">
        <f t="shared" ref="AU14" ca="1" si="81">IF($D14="-","-",IF(LEN(M14)=0,"", INDEX($AT$7:$AT$15,MATCH(IF($V14-INDEX(GridXRange,P14)&lt;0,"Negative",IF($V14-INDEX(GridXRange,P14)&gt;0,"Positive","Zero")) &amp; " - " &amp;IF($W14-INDEX(GridYRange,P14)&lt;0,"Negative",IF($W14-INDEX(GridYRange,P14)&gt;0,"Positive","Zero")),$AS$7:$AS$15,0))))</f>
        <v>45</v>
      </c>
      <c r="AV14" s="186" t="str">
        <f t="shared" ref="AV14" ca="1" si="82">IF($D14="-","-",IF(LEN(N14)=0,"", INDEX($AT$7:$AT$15,MATCH(IF($V14-INDEX(GridXRange,Q14)&lt;0,"Negative",IF($V14-INDEX(GridXRange,Q14)&gt;0,"Positive","Zero")) &amp; " - " &amp;IF($W14-INDEX(GridYRange,Q14)&lt;0,"Negative",IF($W14-INDEX(GridYRange,Q14)&gt;0,"Positive","Zero")),$AS$7:$AS$15,0))))</f>
        <v/>
      </c>
      <c r="AW14" s="186" t="str">
        <f t="shared" ref="AW14" ca="1" si="83">IF($D14="-","-",IF(LEN(O14)=0,"", INDEX($AT$7:$AT$15,MATCH(IF($V14-INDEX(GridXRange,R14)&lt;0,"Negative",IF($V14-INDEX(GridXRange,R14)&gt;0,"Positive","Zero")) &amp; " - " &amp;IF($W14-INDEX(GridYRange,R14)&lt;0,"Negative",IF($W14-INDEX(GridYRange,R14)&gt;0,"Positive","Zero")),$AS$7:$AS$15,0))))</f>
        <v/>
      </c>
      <c r="AX14" s="187" t="s">
        <v>13</v>
      </c>
      <c r="AY14" s="188"/>
      <c r="AZ14" s="188"/>
      <c r="BA14" s="184" t="s">
        <v>13</v>
      </c>
      <c r="BB14" s="187">
        <f t="shared" ca="1" si="11"/>
        <v>1</v>
      </c>
      <c r="BC14" s="188">
        <f t="shared" ca="1" si="11"/>
        <v>2</v>
      </c>
      <c r="BD14" s="188">
        <f t="shared" ca="1" si="11"/>
        <v>3</v>
      </c>
      <c r="BE14" s="189">
        <f t="shared" ca="1" si="11"/>
        <v>4</v>
      </c>
      <c r="BF14" s="199">
        <v>15</v>
      </c>
      <c r="BG14" s="200">
        <v>1</v>
      </c>
      <c r="BH14" s="200">
        <v>4</v>
      </c>
      <c r="BI14" s="199"/>
      <c r="BK14" s="192">
        <f t="shared" ref="BK14" ca="1" si="84">IF($D14="-","-",$BK$5 + (V14-StartGridX) * (GapXDiff + $BW$7))</f>
        <v>80</v>
      </c>
      <c r="BL14" s="192">
        <f t="shared" ref="BL14" ca="1" si="85">IF($D14="-","-",$BL$5 + (W14-StartGridY) * (GapYDiff + $BV$7))</f>
        <v>730</v>
      </c>
      <c r="BM14" s="192">
        <f t="shared" ca="1" si="14"/>
        <v>110</v>
      </c>
      <c r="BN14" s="192">
        <f t="shared" ca="1" si="15"/>
        <v>50</v>
      </c>
      <c r="BO14" s="192">
        <f t="shared" ca="1" si="16"/>
        <v>61</v>
      </c>
      <c r="BP14" s="192" t="str">
        <f t="shared" ca="1" si="17"/>
        <v>Kill PID process</v>
      </c>
      <c r="BQ14" s="192">
        <f ca="1">IF($D14="-","-",IF(LEN(K14)=0,1,IFERROR(MATCH(K14,Dashboard!$L$25:$L$31,0),1)))</f>
        <v>3</v>
      </c>
      <c r="BS14" s="193" t="s">
        <v>157</v>
      </c>
      <c r="BT14" s="193" t="s">
        <v>158</v>
      </c>
      <c r="BU14" s="194">
        <v>86</v>
      </c>
      <c r="BV14" s="194">
        <f>Dashboard!$M$16</f>
        <v>50</v>
      </c>
      <c r="BW14" s="194">
        <f>Dashboard!$M$15</f>
        <v>110</v>
      </c>
      <c r="BX14" s="195">
        <v>2</v>
      </c>
      <c r="BY14" s="195">
        <v>3</v>
      </c>
      <c r="BZ14" s="195">
        <v>4</v>
      </c>
      <c r="CA14" s="195">
        <v>5</v>
      </c>
      <c r="CC14" s="143">
        <f t="shared" ref="CC14" ca="1" si="86">IF($D14="-","-",IF(COUNTIF(IDSourceRange,E14)&gt;1,1,0))</f>
        <v>0</v>
      </c>
      <c r="CD14" s="143">
        <f t="shared" ref="CD14" ca="1" si="87">IF($D14="-","-",  IF(LEN(M14)=0,0,IF(ISERROR(MATCH(M14,IDSourceRange,0)),1,0)) + IF(LEN(N14)=0,0,IF(ISERROR(MATCH(N14,IDSourceRange,0)),1,0)) + IF(LEN(O14)=0,0,IF(ISERROR(MATCH(O14,IDSourceRange,0)),1,0)) )</f>
        <v>0</v>
      </c>
      <c r="CE14" s="143">
        <f t="shared" ca="1" si="51"/>
        <v>0</v>
      </c>
      <c r="CF14" s="143" t="s">
        <v>128</v>
      </c>
      <c r="CG14" s="143">
        <f t="shared" ref="CG14" ca="1" si="88">IF($D14="-","-",IF(X14="-",0,IF(COUNTIF(GridCombinedRange,X14)&gt;1,1,0)))</f>
        <v>0</v>
      </c>
      <c r="CH14" s="143"/>
      <c r="CI14" s="143"/>
      <c r="CJ14" s="143"/>
      <c r="CK14" s="143"/>
      <c r="CL14" s="143"/>
      <c r="CN14" s="143">
        <v>8</v>
      </c>
      <c r="CO14" s="196"/>
      <c r="CP14" s="143">
        <f t="shared" si="22"/>
        <v>0</v>
      </c>
      <c r="CQ14" s="143">
        <f t="shared" si="33"/>
        <v>0</v>
      </c>
    </row>
    <row r="15" spans="3:96" x14ac:dyDescent="0.3">
      <c r="C15" s="170">
        <v>9</v>
      </c>
      <c r="D15" s="111" t="str">
        <f ca="1">IF(COUNTA(OFFSET(Dashboard!$B$6,C15,0,1,COUNTA(Dashboard!$B$6:$H$6)))&gt;0,"Yes","-")</f>
        <v>Yes</v>
      </c>
      <c r="E15" s="170" t="str">
        <f ca="1">IF(D15="-","-",IF(LEN(INDEX(Dashboard!B$6:B$206,$C15+1))=0,"x"&amp;C15&amp;"x","x"&amp;INDEX(Dashboard!B$6:B$206,$C15+1)&amp;"x"))</f>
        <v>x9x</v>
      </c>
      <c r="F15" s="171" t="str">
        <f ca="1">IF(D15="-","-",IF(LEN(INDEX(Dashboard!$C$6:$C$206,C15+1))=0," ",INDEX(Dashboard!$C$6:$C$206,C15+1)))</f>
        <v>Delete PID file</v>
      </c>
      <c r="G15" s="219" t="str">
        <f ca="1">IF(OR(D15="-",D15=""),"-",IF(LEN(INDEX(Dashboard!$D$6:$D$228,C15+1))=0,"", "x"&amp;SUBSTITUTE(SUBSTITUTE(INDEX(Dashboard!$D$6:$D$228,C15+1)," ",""),",","x,x")&amp;"x"))</f>
        <v/>
      </c>
      <c r="H15" s="111" t="str">
        <f ca="1">IF(D15="-","-",TRIM(INDEX(Dashboard!$E$6:$E$206,C15+1)))</f>
        <v/>
      </c>
      <c r="I15" s="111" t="str">
        <f ca="1">IF(D15="-","-",IF(LEN(INDEX(Dashboard!$F$6:$F$206,C15+1))=0,$BS$8,IF(ISERROR(MATCH(INDEX(Dashboard!$F$6:$F$206,C15+1),$BS$7:$BS$35,0)),$BS$8,INDEX(Dashboard!$F$6:$F$206,C15+1))))</f>
        <v>process</v>
      </c>
      <c r="J15" s="111" t="str">
        <f ca="1">IF(D15="-","-",SUBSTITUTE(INDEX(Dashboard!$G$6:$G$206,C15+1)," ",""))</f>
        <v/>
      </c>
      <c r="K15" s="219" t="str">
        <f ca="1">IF(D15="-","-",IF(LEN(INDEX(Dashboard!$H$6:$H$228,C15+1))=0,"",INDEX(Dashboard!$H$6:$H$228,C15+1)))</f>
        <v>Green</v>
      </c>
      <c r="M15" s="172" t="str">
        <f t="shared" ca="1" si="1"/>
        <v/>
      </c>
      <c r="N15" s="172" t="str">
        <f t="shared" ca="1" si="1"/>
        <v/>
      </c>
      <c r="O15" s="172" t="str">
        <f t="shared" ca="1" si="1"/>
        <v/>
      </c>
      <c r="P15" s="173" t="str">
        <f t="shared" ca="1" si="2"/>
        <v/>
      </c>
      <c r="Q15" s="172" t="str">
        <f t="shared" ca="1" si="2"/>
        <v/>
      </c>
      <c r="R15" s="172" t="str">
        <f t="shared" ca="1" si="2"/>
        <v/>
      </c>
      <c r="S15" s="174">
        <f t="array" aca="1" ref="S15" ca="1">IF($D15="-","-",SUM(IF(LEN(M15:O15)&gt;0,1,0)))</f>
        <v>0</v>
      </c>
      <c r="T15" s="175">
        <f t="array" aca="1" ref="T15" ca="1">IF(D15="-","-",SUM(IF(ISERROR(SEARCH(E15,$G$7:$G$206)),0,1)))</f>
        <v>2</v>
      </c>
      <c r="V15" s="204">
        <v>11</v>
      </c>
      <c r="W15" s="127">
        <v>16</v>
      </c>
      <c r="X15" s="177" t="str">
        <f t="shared" si="23"/>
        <v>11-16</v>
      </c>
      <c r="Y15" s="178">
        <v>7</v>
      </c>
      <c r="Z15" s="127">
        <v>7</v>
      </c>
      <c r="AB15" s="179" t="str">
        <f t="shared" ca="1" si="3"/>
        <v/>
      </c>
      <c r="AC15" s="179" t="str">
        <f t="shared" ca="1" si="3"/>
        <v/>
      </c>
      <c r="AD15" s="179" t="str">
        <f t="shared" ca="1" si="3"/>
        <v/>
      </c>
      <c r="AE15" s="201" t="s">
        <v>21</v>
      </c>
      <c r="AF15" s="205" t="s">
        <v>159</v>
      </c>
      <c r="AG15" s="206" t="str">
        <f>AG7</f>
        <v>Below</v>
      </c>
      <c r="AH15" s="206" t="str">
        <f t="shared" ref="AH15:AI16" si="89">AH7</f>
        <v>Right</v>
      </c>
      <c r="AI15" s="206" t="str">
        <f t="shared" si="89"/>
        <v>Top</v>
      </c>
      <c r="AJ15" s="181" t="str">
        <f t="shared" ca="1" si="5"/>
        <v>Right</v>
      </c>
      <c r="AK15" s="179" t="str">
        <f t="shared" ca="1" si="6"/>
        <v/>
      </c>
      <c r="AL15" s="179" t="str">
        <f t="shared" ca="1" si="6"/>
        <v/>
      </c>
      <c r="AM15" s="179" t="str">
        <f t="shared" ca="1" si="6"/>
        <v/>
      </c>
      <c r="AO15" s="182" t="str">
        <f t="shared" ca="1" si="7"/>
        <v/>
      </c>
      <c r="AP15" s="182" t="str">
        <f t="shared" ca="1" si="7"/>
        <v/>
      </c>
      <c r="AQ15" s="182" t="str">
        <f t="shared" ca="1" si="7"/>
        <v/>
      </c>
      <c r="AS15" s="183" t="s">
        <v>160</v>
      </c>
      <c r="AT15" s="184">
        <v>35</v>
      </c>
      <c r="AU15" s="185" t="str">
        <f t="shared" ref="AU15" ca="1" si="90">IF($D15="-","-",IF(LEN(M15)=0,"", INDEX($AT$7:$AT$15,MATCH(IF($V15-INDEX(GridXRange,P15)&lt;0,"Negative",IF($V15-INDEX(GridXRange,P15)&gt;0,"Positive","Zero")) &amp; " - " &amp;IF($W15-INDEX(GridYRange,P15)&lt;0,"Negative",IF($W15-INDEX(GridYRange,P15)&gt;0,"Positive","Zero")),$AS$7:$AS$15,0))))</f>
        <v/>
      </c>
      <c r="AV15" s="186" t="str">
        <f t="shared" ref="AV15" ca="1" si="91">IF($D15="-","-",IF(LEN(N15)=0,"", INDEX($AT$7:$AT$15,MATCH(IF($V15-INDEX(GridXRange,Q15)&lt;0,"Negative",IF($V15-INDEX(GridXRange,Q15)&gt;0,"Positive","Zero")) &amp; " - " &amp;IF($W15-INDEX(GridYRange,Q15)&lt;0,"Negative",IF($W15-INDEX(GridYRange,Q15)&gt;0,"Positive","Zero")),$AS$7:$AS$15,0))))</f>
        <v/>
      </c>
      <c r="AW15" s="186" t="str">
        <f t="shared" ref="AW15" ca="1" si="92">IF($D15="-","-",IF(LEN(O15)=0,"", INDEX($AT$7:$AT$15,MATCH(IF($V15-INDEX(GridXRange,R15)&lt;0,"Negative",IF($V15-INDEX(GridXRange,R15)&gt;0,"Positive","Zero")) &amp; " - " &amp;IF($W15-INDEX(GridYRange,R15)&lt;0,"Negative",IF($W15-INDEX(GridYRange,R15)&gt;0,"Positive","Zero")),$AS$7:$AS$15,0))))</f>
        <v/>
      </c>
      <c r="AX15" s="187"/>
      <c r="AY15" s="188" t="s">
        <v>13</v>
      </c>
      <c r="AZ15" s="188" t="s">
        <v>13</v>
      </c>
      <c r="BA15" s="184"/>
      <c r="BB15" s="187">
        <f t="shared" ca="1" si="11"/>
        <v>1</v>
      </c>
      <c r="BC15" s="188">
        <f t="shared" ca="1" si="11"/>
        <v>2</v>
      </c>
      <c r="BD15" s="188">
        <f t="shared" ca="1" si="11"/>
        <v>3</v>
      </c>
      <c r="BE15" s="189">
        <f t="shared" ca="1" si="11"/>
        <v>4</v>
      </c>
      <c r="BF15" s="202">
        <v>15</v>
      </c>
      <c r="BG15" s="203">
        <v>2</v>
      </c>
      <c r="BH15" s="203">
        <v>4</v>
      </c>
      <c r="BI15" s="202" t="s">
        <v>99</v>
      </c>
      <c r="BK15" s="192">
        <f t="shared" ref="BK15" ca="1" si="93">IF($D15="-","-",$BK$5 + (V15-StartGridX) * (GapXDiff + $BW$7))</f>
        <v>240</v>
      </c>
      <c r="BL15" s="192">
        <f t="shared" ref="BL15" ca="1" si="94">IF($D15="-","-",$BL$5 + (W15-StartGridY) * (GapYDiff + $BV$7))</f>
        <v>640</v>
      </c>
      <c r="BM15" s="192">
        <f t="shared" ca="1" si="14"/>
        <v>110</v>
      </c>
      <c r="BN15" s="192">
        <f t="shared" ca="1" si="15"/>
        <v>50</v>
      </c>
      <c r="BO15" s="192">
        <f t="shared" ca="1" si="16"/>
        <v>61</v>
      </c>
      <c r="BP15" s="192" t="str">
        <f t="shared" ca="1" si="17"/>
        <v>Delete PID file</v>
      </c>
      <c r="BQ15" s="192">
        <f ca="1">IF($D15="-","-",IF(LEN(K15)=0,1,IFERROR(MATCH(K15,Dashboard!$L$25:$L$31,0),1)))</f>
        <v>3</v>
      </c>
      <c r="BS15" s="193" t="s">
        <v>161</v>
      </c>
      <c r="BT15" s="193" t="s">
        <v>162</v>
      </c>
      <c r="BU15" s="194">
        <v>84</v>
      </c>
      <c r="BV15" s="194">
        <f>Dashboard!$M$16</f>
        <v>50</v>
      </c>
      <c r="BW15" s="194">
        <f>Dashboard!$M$15</f>
        <v>110</v>
      </c>
      <c r="BX15" s="195">
        <v>1</v>
      </c>
      <c r="BY15" s="195">
        <v>2</v>
      </c>
      <c r="BZ15" s="195">
        <v>3</v>
      </c>
      <c r="CA15" s="195">
        <v>4</v>
      </c>
      <c r="CC15" s="143">
        <f t="shared" ref="CC15" ca="1" si="95">IF($D15="-","-",IF(COUNTIF(IDSourceRange,E15)&gt;1,1,0))</f>
        <v>0</v>
      </c>
      <c r="CD15" s="143">
        <f t="shared" ref="CD15" ca="1" si="96">IF($D15="-","-",  IF(LEN(M15)=0,0,IF(ISERROR(MATCH(M15,IDSourceRange,0)),1,0)) + IF(LEN(N15)=0,0,IF(ISERROR(MATCH(N15,IDSourceRange,0)),1,0)) + IF(LEN(O15)=0,0,IF(ISERROR(MATCH(O15,IDSourceRange,0)),1,0)) )</f>
        <v>0</v>
      </c>
      <c r="CE15" s="143">
        <f t="shared" ca="1" si="51"/>
        <v>0</v>
      </c>
      <c r="CF15" s="143" t="s">
        <v>128</v>
      </c>
      <c r="CG15" s="143">
        <f t="shared" ref="CG15" ca="1" si="97">IF($D15="-","-",IF(X15="-",0,IF(COUNTIF(GridCombinedRange,X15)&gt;1,1,0)))</f>
        <v>0</v>
      </c>
      <c r="CH15" s="143"/>
      <c r="CI15" s="143"/>
      <c r="CJ15" s="143"/>
      <c r="CK15" s="143"/>
      <c r="CL15" s="143"/>
      <c r="CN15" s="143">
        <v>9</v>
      </c>
      <c r="CO15" s="196"/>
      <c r="CP15" s="143">
        <f t="shared" si="22"/>
        <v>0</v>
      </c>
      <c r="CQ15" s="143">
        <f t="shared" si="33"/>
        <v>0</v>
      </c>
    </row>
    <row r="16" spans="3:96" x14ac:dyDescent="0.3">
      <c r="C16" s="170">
        <v>10</v>
      </c>
      <c r="D16" s="111" t="str">
        <f ca="1">IF(COUNTA(OFFSET(Dashboard!$B$6,C16,0,1,COUNTA(Dashboard!$B$6:$H$6)))&gt;0,"Yes","-")</f>
        <v>Yes</v>
      </c>
      <c r="E16" s="170" t="str">
        <f ca="1">IF(D16="-","-",IF(LEN(INDEX(Dashboard!B$6:B$206,$C16+1))=0,"x"&amp;C16&amp;"x","x"&amp;INDEX(Dashboard!B$6:B$206,$C16+1)&amp;"x"))</f>
        <v>x10x</v>
      </c>
      <c r="F16" s="171" t="str">
        <f ca="1">IF(D16="-","-",IF(LEN(INDEX(Dashboard!$C$6:$C$206,C16+1))=0," ",INDEX(Dashboard!$C$6:$C$206,C16+1)))</f>
        <v>Start RFL</v>
      </c>
      <c r="G16" s="219" t="str">
        <f ca="1">IF(OR(D16="-",D16=""),"-",IF(LEN(INDEX(Dashboard!$D$6:$D$228,C16+1))=0,"", "x"&amp;SUBSTITUTE(SUBSTITUTE(INDEX(Dashboard!$D$6:$D$228,C16+1)," ",""),",","x,x")&amp;"x"))</f>
        <v>x11x</v>
      </c>
      <c r="H16" s="111" t="str">
        <f ca="1">IF(D16="-","-",TRIM(INDEX(Dashboard!$E$6:$E$206,C16+1)))</f>
        <v/>
      </c>
      <c r="I16" s="111" t="str">
        <f ca="1">IF(D16="-","-",IF(LEN(INDEX(Dashboard!$F$6:$F$206,C16+1))=0,$BS$8,IF(ISERROR(MATCH(INDEX(Dashboard!$F$6:$F$206,C16+1),$BS$7:$BS$35,0)),$BS$8,INDEX(Dashboard!$F$6:$F$206,C16+1))))</f>
        <v>process</v>
      </c>
      <c r="J16" s="111" t="str">
        <f ca="1">IF(D16="-","-",SUBSTITUTE(INDEX(Dashboard!$G$6:$G$206,C16+1)," ",""))</f>
        <v>Right</v>
      </c>
      <c r="K16" s="219" t="str">
        <f ca="1">IF(D16="-","-",IF(LEN(INDEX(Dashboard!$H$6:$H$228,C16+1))=0,"",INDEX(Dashboard!$H$6:$H$228,C16+1)))</f>
        <v>Green</v>
      </c>
      <c r="M16" s="172" t="str">
        <f t="shared" ca="1" si="1"/>
        <v>x11x</v>
      </c>
      <c r="N16" s="172" t="str">
        <f t="shared" ca="1" si="1"/>
        <v/>
      </c>
      <c r="O16" s="172" t="str">
        <f t="shared" ca="1" si="1"/>
        <v/>
      </c>
      <c r="P16" s="173">
        <f t="shared" ca="1" si="2"/>
        <v>11</v>
      </c>
      <c r="Q16" s="172" t="str">
        <f t="shared" ca="1" si="2"/>
        <v/>
      </c>
      <c r="R16" s="172" t="str">
        <f t="shared" ca="1" si="2"/>
        <v/>
      </c>
      <c r="S16" s="174">
        <f t="array" aca="1" ref="S16" ca="1">IF($D16="-","-",SUM(IF(LEN(M16:O16)&gt;0,1,0)))</f>
        <v>1</v>
      </c>
      <c r="T16" s="175">
        <f t="array" aca="1" ref="T16" ca="1">IF(D16="-","-",SUM(IF(ISERROR(SEARCH(E16,$G$7:$G$206)),0,1)))</f>
        <v>1</v>
      </c>
      <c r="V16" s="204">
        <v>11</v>
      </c>
      <c r="W16" s="127">
        <v>13</v>
      </c>
      <c r="X16" s="177" t="str">
        <f t="shared" si="23"/>
        <v>11-13</v>
      </c>
      <c r="Y16" s="178">
        <v>4</v>
      </c>
      <c r="Z16" s="127">
        <v>12</v>
      </c>
      <c r="AB16" s="179" t="str">
        <f t="shared" ca="1" si="3"/>
        <v>Right</v>
      </c>
      <c r="AC16" s="179" t="str">
        <f t="shared" ca="1" si="3"/>
        <v/>
      </c>
      <c r="AD16" s="179" t="str">
        <f t="shared" ca="1" si="3"/>
        <v/>
      </c>
      <c r="AE16" s="207" t="s">
        <v>149</v>
      </c>
      <c r="AF16" s="205" t="s">
        <v>163</v>
      </c>
      <c r="AG16" s="206" t="str">
        <f>AG8</f>
        <v>Below</v>
      </c>
      <c r="AH16" s="206" t="str">
        <f t="shared" si="89"/>
        <v>Right</v>
      </c>
      <c r="AI16" s="206" t="str">
        <f t="shared" si="89"/>
        <v>Left</v>
      </c>
      <c r="AJ16" s="181" t="str">
        <f t="shared" ca="1" si="5"/>
        <v>Right</v>
      </c>
      <c r="AK16" s="179" t="str">
        <f t="shared" ca="1" si="6"/>
        <v>Right</v>
      </c>
      <c r="AL16" s="179" t="str">
        <f t="shared" ca="1" si="6"/>
        <v/>
      </c>
      <c r="AM16" s="179" t="str">
        <f t="shared" ca="1" si="6"/>
        <v/>
      </c>
      <c r="AO16" s="182" t="str">
        <f t="shared" ca="1" si="7"/>
        <v/>
      </c>
      <c r="AP16" s="182" t="str">
        <f t="shared" ca="1" si="7"/>
        <v/>
      </c>
      <c r="AQ16" s="182" t="str">
        <f t="shared" ca="1" si="7"/>
        <v/>
      </c>
      <c r="AU16" s="185">
        <f t="shared" ref="AU16" ca="1" si="98">IF($D16="-","-",IF(LEN(M16)=0,"", INDEX($AT$7:$AT$15,MATCH(IF($V16-INDEX(GridXRange,P16)&lt;0,"Negative",IF($V16-INDEX(GridXRange,P16)&gt;0,"Positive","Zero")) &amp; " - " &amp;IF($W16-INDEX(GridYRange,P16)&lt;0,"Negative",IF($W16-INDEX(GridYRange,P16)&gt;0,"Positive","Zero")),$AS$7:$AS$15,0))))</f>
        <v>40</v>
      </c>
      <c r="AV16" s="186" t="str">
        <f t="shared" ref="AV16" ca="1" si="99">IF($D16="-","-",IF(LEN(N16)=0,"", INDEX($AT$7:$AT$15,MATCH(IF($V16-INDEX(GridXRange,Q16)&lt;0,"Negative",IF($V16-INDEX(GridXRange,Q16)&gt;0,"Positive","Zero")) &amp; " - " &amp;IF($W16-INDEX(GridYRange,Q16)&lt;0,"Negative",IF($W16-INDEX(GridYRange,Q16)&gt;0,"Positive","Zero")),$AS$7:$AS$15,0))))</f>
        <v/>
      </c>
      <c r="AW16" s="186" t="str">
        <f t="shared" ref="AW16" ca="1" si="100">IF($D16="-","-",IF(LEN(O16)=0,"", INDEX($AT$7:$AT$15,MATCH(IF($V16-INDEX(GridXRange,R16)&lt;0,"Negative",IF($V16-INDEX(GridXRange,R16)&gt;0,"Positive","Zero")) &amp; " - " &amp;IF($W16-INDEX(GridYRange,R16)&lt;0,"Negative",IF($W16-INDEX(GridYRange,R16)&gt;0,"Positive","Zero")),$AS$7:$AS$15,0))))</f>
        <v/>
      </c>
      <c r="AX16" s="187"/>
      <c r="AY16" s="188" t="s">
        <v>13</v>
      </c>
      <c r="AZ16" s="188"/>
      <c r="BA16" s="184" t="s">
        <v>13</v>
      </c>
      <c r="BB16" s="187">
        <f t="shared" ca="1" si="11"/>
        <v>1</v>
      </c>
      <c r="BC16" s="188">
        <f t="shared" ca="1" si="11"/>
        <v>2</v>
      </c>
      <c r="BD16" s="188">
        <f t="shared" ca="1" si="11"/>
        <v>3</v>
      </c>
      <c r="BE16" s="189">
        <f t="shared" ca="1" si="11"/>
        <v>4</v>
      </c>
      <c r="BF16" s="190">
        <v>20</v>
      </c>
      <c r="BG16" s="191">
        <v>2</v>
      </c>
      <c r="BH16" s="191">
        <v>4</v>
      </c>
      <c r="BI16" s="190"/>
      <c r="BK16" s="192">
        <f t="shared" ref="BK16" ca="1" si="101">IF($D16="-","-",$BK$5 + (V16-StartGridX) * (GapXDiff + $BW$7))</f>
        <v>240</v>
      </c>
      <c r="BL16" s="192">
        <f t="shared" ref="BL16" ca="1" si="102">IF($D16="-","-",$BL$5 + (W16-StartGridY) * (GapYDiff + $BV$7))</f>
        <v>370</v>
      </c>
      <c r="BM16" s="192">
        <f t="shared" ca="1" si="14"/>
        <v>110</v>
      </c>
      <c r="BN16" s="192">
        <f t="shared" ca="1" si="15"/>
        <v>50</v>
      </c>
      <c r="BO16" s="192">
        <f t="shared" ca="1" si="16"/>
        <v>61</v>
      </c>
      <c r="BP16" s="192" t="str">
        <f t="shared" ca="1" si="17"/>
        <v>Start RFL</v>
      </c>
      <c r="BQ16" s="192">
        <f ca="1">IF($D16="-","-",IF(LEN(K16)=0,1,IFERROR(MATCH(K16,Dashboard!$L$25:$L$31,0),1)))</f>
        <v>3</v>
      </c>
      <c r="BS16" s="193" t="s">
        <v>164</v>
      </c>
      <c r="BT16" s="193" t="s">
        <v>165</v>
      </c>
      <c r="BU16" s="194">
        <v>87</v>
      </c>
      <c r="BV16" s="194">
        <f>Dashboard!$M$16</f>
        <v>50</v>
      </c>
      <c r="BW16" s="194">
        <f>Dashboard!$M$15</f>
        <v>110</v>
      </c>
      <c r="BX16" s="195">
        <v>1</v>
      </c>
      <c r="BY16" s="195">
        <v>2</v>
      </c>
      <c r="BZ16" s="195">
        <v>3</v>
      </c>
      <c r="CA16" s="195">
        <v>5</v>
      </c>
      <c r="CC16" s="143">
        <f t="shared" ref="CC16" ca="1" si="103">IF($D16="-","-",IF(COUNTIF(IDSourceRange,E16)&gt;1,1,0))</f>
        <v>0</v>
      </c>
      <c r="CD16" s="143">
        <f t="shared" ref="CD16" ca="1" si="104">IF($D16="-","-",  IF(LEN(M16)=0,0,IF(ISERROR(MATCH(M16,IDSourceRange,0)),1,0)) + IF(LEN(N16)=0,0,IF(ISERROR(MATCH(N16,IDSourceRange,0)),1,0)) + IF(LEN(O16)=0,0,IF(ISERROR(MATCH(O16,IDSourceRange,0)),1,0)) )</f>
        <v>0</v>
      </c>
      <c r="CE16" s="143">
        <f t="shared" ca="1" si="51"/>
        <v>0</v>
      </c>
      <c r="CF16" s="143" t="s">
        <v>128</v>
      </c>
      <c r="CG16" s="143">
        <f t="shared" ref="CG16" ca="1" si="105">IF($D16="-","-",IF(X16="-",0,IF(COUNTIF(GridCombinedRange,X16)&gt;1,1,0)))</f>
        <v>0</v>
      </c>
      <c r="CH16" s="143"/>
      <c r="CI16" s="143"/>
      <c r="CJ16" s="143"/>
      <c r="CK16" s="143"/>
      <c r="CL16" s="143"/>
      <c r="CN16" s="143">
        <v>10</v>
      </c>
      <c r="CO16" s="196"/>
      <c r="CP16" s="143">
        <f t="shared" si="22"/>
        <v>0</v>
      </c>
      <c r="CQ16" s="143">
        <f t="shared" si="33"/>
        <v>0</v>
      </c>
    </row>
    <row r="17" spans="3:93" x14ac:dyDescent="0.3">
      <c r="C17" s="170">
        <v>11</v>
      </c>
      <c r="D17" s="111" t="str">
        <f ca="1">IF(COUNTA(OFFSET(Dashboard!$B$6,C17,0,1,COUNTA(Dashboard!$B$6:$H$6)))&gt;0,"Yes","-")</f>
        <v>Yes</v>
      </c>
      <c r="E17" s="170" t="str">
        <f ca="1">IF(D17="-","-",IF(LEN(INDEX(Dashboard!B$6:B$206,$C17+1))=0,"x"&amp;C17&amp;"x","x"&amp;INDEX(Dashboard!B$6:B$206,$C17+1)&amp;"x"))</f>
        <v>x11x</v>
      </c>
      <c r="F17" s="171" t="str">
        <f ca="1">IF(D17="-","-",IF(LEN(INDEX(Dashboard!$C$6:$C$206,C17+1))=0," ",INDEX(Dashboard!$C$6:$C$206,C17+1)))</f>
        <v>Get RFL PID</v>
      </c>
      <c r="G17" s="219" t="str">
        <f ca="1">IF(OR(D17="-",D17=""),"-",IF(LEN(INDEX(Dashboard!$D$6:$D$228,C17+1))=0,"", "x"&amp;SUBSTITUTE(SUBSTITUTE(INDEX(Dashboard!$D$6:$D$228,C17+1)," ",""),",","x,x")&amp;"x"))</f>
        <v>x12x</v>
      </c>
      <c r="H17" s="111" t="str">
        <f ca="1">IF(D17="-","-",TRIM(INDEX(Dashboard!$E$6:$E$206,C17+1)))</f>
        <v/>
      </c>
      <c r="I17" s="111" t="str">
        <f ca="1">IF(D17="-","-",IF(LEN(INDEX(Dashboard!$F$6:$F$206,C17+1))=0,$BS$8,IF(ISERROR(MATCH(INDEX(Dashboard!$F$6:$F$206,C17+1),$BS$7:$BS$35,0)),$BS$8,INDEX(Dashboard!$F$6:$F$206,C17+1))))</f>
        <v>process</v>
      </c>
      <c r="J17" s="111" t="str">
        <f ca="1">IF(D17="-","-",SUBSTITUTE(INDEX(Dashboard!$G$6:$G$206,C17+1)," ",""))</f>
        <v>Right</v>
      </c>
      <c r="K17" s="111" t="str">
        <f ca="1">IF(D17="-","-",IF(LEN(INDEX(Dashboard!$H$6:$H$206,C17+1))=0,"",INDEX(Dashboard!$H$6:$H$206,C17+1)))</f>
        <v>Green</v>
      </c>
      <c r="M17" s="172" t="str">
        <f t="shared" ca="1" si="1"/>
        <v>x12x</v>
      </c>
      <c r="N17" s="172" t="str">
        <f t="shared" ca="1" si="1"/>
        <v/>
      </c>
      <c r="O17" s="172" t="str">
        <f t="shared" ca="1" si="1"/>
        <v/>
      </c>
      <c r="P17" s="173">
        <f t="shared" ca="1" si="2"/>
        <v>12</v>
      </c>
      <c r="Q17" s="172" t="str">
        <f t="shared" ca="1" si="2"/>
        <v/>
      </c>
      <c r="R17" s="172" t="str">
        <f t="shared" ca="1" si="2"/>
        <v/>
      </c>
      <c r="S17" s="174">
        <f t="array" aca="1" ref="S17" ca="1">IF($D17="-","-",SUM(IF(LEN(M17:O17)&gt;0,1,0)))</f>
        <v>1</v>
      </c>
      <c r="T17" s="175">
        <f t="array" aca="1" ref="T17" ca="1">IF(D17="-","-",SUM(IF(ISERROR(SEARCH(E17,$G$7:$G$206)),0,1)))</f>
        <v>1</v>
      </c>
      <c r="V17" s="204">
        <v>12</v>
      </c>
      <c r="W17" s="127">
        <v>13</v>
      </c>
      <c r="X17" s="177" t="str">
        <f t="shared" si="23"/>
        <v>12-13</v>
      </c>
      <c r="Y17" s="178">
        <v>10</v>
      </c>
      <c r="Z17" s="127">
        <v>8</v>
      </c>
      <c r="AB17" s="179" t="str">
        <f t="shared" ca="1" si="3"/>
        <v>Right</v>
      </c>
      <c r="AC17" s="179" t="str">
        <f t="shared" ca="1" si="3"/>
        <v/>
      </c>
      <c r="AD17" s="179" t="str">
        <f t="shared" ca="1" si="3"/>
        <v/>
      </c>
      <c r="AF17" s="205" t="s">
        <v>166</v>
      </c>
      <c r="AG17" s="206" t="str">
        <f>AG14</f>
        <v>Below</v>
      </c>
      <c r="AH17" s="206" t="str">
        <f t="shared" ref="AH17:AI17" si="106">AH14</f>
        <v>Right</v>
      </c>
      <c r="AI17" s="206" t="str">
        <f t="shared" si="106"/>
        <v>Left</v>
      </c>
      <c r="AJ17" s="181" t="str">
        <f t="shared" ca="1" si="5"/>
        <v>Right</v>
      </c>
      <c r="AK17" s="179" t="str">
        <f t="shared" ca="1" si="6"/>
        <v>Right</v>
      </c>
      <c r="AL17" s="179" t="str">
        <f t="shared" ca="1" si="6"/>
        <v/>
      </c>
      <c r="AM17" s="179" t="str">
        <f t="shared" ca="1" si="6"/>
        <v/>
      </c>
      <c r="AO17" s="182" t="str">
        <f t="shared" ca="1" si="7"/>
        <v/>
      </c>
      <c r="AP17" s="182" t="str">
        <f t="shared" ca="1" si="7"/>
        <v/>
      </c>
      <c r="AQ17" s="182" t="str">
        <f t="shared" ca="1" si="7"/>
        <v/>
      </c>
      <c r="AU17" s="185">
        <f t="shared" ref="AU17" ca="1" si="107">IF($D17="-","-",IF(LEN(M17)=0,"", INDEX($AT$7:$AT$15,MATCH(IF($V17-INDEX(GridXRange,P17)&lt;0,"Negative",IF($V17-INDEX(GridXRange,P17)&gt;0,"Positive","Zero")) &amp; " - " &amp;IF($W17-INDEX(GridYRange,P17)&lt;0,"Negative",IF($W17-INDEX(GridYRange,P17)&gt;0,"Positive","Zero")),$AS$7:$AS$15,0))))</f>
        <v>40</v>
      </c>
      <c r="AV17" s="186" t="str">
        <f t="shared" ref="AV17" ca="1" si="108">IF($D17="-","-",IF(LEN(N17)=0,"", INDEX($AT$7:$AT$15,MATCH(IF($V17-INDEX(GridXRange,Q17)&lt;0,"Negative",IF($V17-INDEX(GridXRange,Q17)&gt;0,"Positive","Zero")) &amp; " - " &amp;IF($W17-INDEX(GridYRange,Q17)&lt;0,"Negative",IF($W17-INDEX(GridYRange,Q17)&gt;0,"Positive","Zero")),$AS$7:$AS$15,0))))</f>
        <v/>
      </c>
      <c r="AW17" s="186" t="str">
        <f t="shared" ref="AW17" ca="1" si="109">IF($D17="-","-",IF(LEN(O17)=0,"", INDEX($AT$7:$AT$15,MATCH(IF($V17-INDEX(GridXRange,R17)&lt;0,"Negative",IF($V17-INDEX(GridXRange,R17)&gt;0,"Positive","Zero")) &amp; " - " &amp;IF($W17-INDEX(GridYRange,R17)&lt;0,"Negative",IF($W17-INDEX(GridYRange,R17)&gt;0,"Positive","Zero")),$AS$7:$AS$15,0))))</f>
        <v/>
      </c>
      <c r="AX17" s="187"/>
      <c r="AY17" s="188" t="s">
        <v>13</v>
      </c>
      <c r="AZ17" s="188"/>
      <c r="BA17" s="184" t="s">
        <v>13</v>
      </c>
      <c r="BB17" s="187">
        <f t="shared" ca="1" si="11"/>
        <v>1</v>
      </c>
      <c r="BC17" s="188">
        <f t="shared" ca="1" si="11"/>
        <v>2</v>
      </c>
      <c r="BD17" s="188">
        <f t="shared" ca="1" si="11"/>
        <v>3</v>
      </c>
      <c r="BE17" s="189">
        <f t="shared" ca="1" si="11"/>
        <v>4</v>
      </c>
      <c r="BF17" s="199">
        <v>20</v>
      </c>
      <c r="BG17" s="200">
        <v>3</v>
      </c>
      <c r="BH17" s="200">
        <v>3</v>
      </c>
      <c r="BI17" s="199"/>
      <c r="BK17" s="192">
        <f t="shared" ref="BK17" ca="1" si="110">IF($D17="-","-",$BK$5 + (V17-StartGridX) * (GapXDiff + $BW$7))</f>
        <v>400</v>
      </c>
      <c r="BL17" s="192">
        <f t="shared" ref="BL17" ca="1" si="111">IF($D17="-","-",$BL$5 + (W17-StartGridY) * (GapYDiff + $BV$7))</f>
        <v>370</v>
      </c>
      <c r="BM17" s="192">
        <f t="shared" ca="1" si="14"/>
        <v>110</v>
      </c>
      <c r="BN17" s="192">
        <f t="shared" ca="1" si="15"/>
        <v>50</v>
      </c>
      <c r="BO17" s="192">
        <f t="shared" ca="1" si="16"/>
        <v>61</v>
      </c>
      <c r="BP17" s="192" t="str">
        <f t="shared" ca="1" si="17"/>
        <v>Get RFL PID</v>
      </c>
      <c r="BQ17" s="192">
        <f ca="1">IF($D17="-","-",IF(LEN(K17)=0,1,IFERROR(MATCH(K17,Dashboard!$L$25:$L$31,0),1)))</f>
        <v>3</v>
      </c>
      <c r="BS17" s="193" t="s">
        <v>167</v>
      </c>
      <c r="BT17" s="193" t="s">
        <v>168</v>
      </c>
      <c r="BU17" s="194">
        <v>88</v>
      </c>
      <c r="BV17" s="194">
        <f>Dashboard!$M$16</f>
        <v>50</v>
      </c>
      <c r="BW17" s="194">
        <f>Dashboard!$M$15</f>
        <v>110</v>
      </c>
      <c r="BX17" s="195">
        <v>1</v>
      </c>
      <c r="BY17" s="195">
        <v>2</v>
      </c>
      <c r="BZ17" s="195">
        <v>3</v>
      </c>
      <c r="CA17" s="195">
        <v>4</v>
      </c>
      <c r="CC17" s="143">
        <f t="shared" ref="CC17" ca="1" si="112">IF($D17="-","-",IF(COUNTIF(IDSourceRange,E17)&gt;1,1,0))</f>
        <v>0</v>
      </c>
      <c r="CD17" s="143">
        <f t="shared" ref="CD17" ca="1" si="113">IF($D17="-","-",  IF(LEN(M17)=0,0,IF(ISERROR(MATCH(M17,IDSourceRange,0)),1,0)) + IF(LEN(N17)=0,0,IF(ISERROR(MATCH(N17,IDSourceRange,0)),1,0)) + IF(LEN(O17)=0,0,IF(ISERROR(MATCH(O17,IDSourceRange,0)),1,0)) )</f>
        <v>0</v>
      </c>
      <c r="CE17" s="143">
        <f t="shared" ca="1" si="51"/>
        <v>0</v>
      </c>
      <c r="CF17" s="143" t="s">
        <v>128</v>
      </c>
      <c r="CG17" s="143">
        <f t="shared" ref="CG17" ca="1" si="114">IF($D17="-","-",IF(X17="-",0,IF(COUNTIF(GridCombinedRange,X17)&gt;1,1,0)))</f>
        <v>0</v>
      </c>
      <c r="CH17" s="143"/>
      <c r="CI17" s="143"/>
      <c r="CJ17" s="143"/>
      <c r="CK17" s="143"/>
      <c r="CL17" s="143"/>
    </row>
    <row r="18" spans="3:93" x14ac:dyDescent="0.3">
      <c r="C18" s="170">
        <v>12</v>
      </c>
      <c r="D18" s="111" t="str">
        <f ca="1">IF(COUNTA(OFFSET(Dashboard!$B$6,C18,0,1,COUNTA(Dashboard!$B$6:$H$6)))&gt;0,"Yes","-")</f>
        <v>Yes</v>
      </c>
      <c r="E18" s="170" t="str">
        <f ca="1">IF(D18="-","-",IF(LEN(INDEX(Dashboard!B$6:B$206,$C18+1))=0,"x"&amp;C18&amp;"x","x"&amp;INDEX(Dashboard!B$6:B$206,$C18+1)&amp;"x"))</f>
        <v>x12x</v>
      </c>
      <c r="F18" s="171" t="str">
        <f ca="1">IF(D18="-","-",IF(LEN(INDEX(Dashboard!$C$6:$C$206,C18+1))=0," ",INDEX(Dashboard!$C$6:$C$206,C18+1)))</f>
        <v>wait till Timeout for RFL PID to progress</v>
      </c>
      <c r="G18" s="219" t="str">
        <f ca="1">IF(OR(D18="-",D18=""),"-",IF(LEN(INDEX(Dashboard!$D$6:$D$228,C18+1))=0,"", "x"&amp;SUBSTITUTE(SUBSTITUTE(INDEX(Dashboard!$D$6:$D$228,C18+1)," ",""),",","x,x")&amp;"x"))</f>
        <v>x13x</v>
      </c>
      <c r="H18" s="111" t="str">
        <f ca="1">IF(D18="-","-",TRIM(INDEX(Dashboard!$E$6:$E$206,C18+1)))</f>
        <v/>
      </c>
      <c r="I18" s="111" t="str">
        <f ca="1">IF(D18="-","-",IF(LEN(INDEX(Dashboard!$F$6:$F$206,C18+1))=0,$BS$8,IF(ISERROR(MATCH(INDEX(Dashboard!$F$6:$F$206,C18+1),$BS$7:$BS$35,0)),$BS$8,INDEX(Dashboard!$F$6:$F$206,C18+1))))</f>
        <v>process</v>
      </c>
      <c r="J18" s="111" t="str">
        <f ca="1">IF(D18="-","-",SUBSTITUTE(INDEX(Dashboard!$G$6:$G$206,C18+1)," ",""))</f>
        <v/>
      </c>
      <c r="K18" s="111" t="str">
        <f ca="1">IF(D18="-","-",IF(LEN(INDEX(Dashboard!$H$6:$H$206,C18+1))=0,"",INDEX(Dashboard!$H$6:$H$206,C18+1)))</f>
        <v>Green</v>
      </c>
      <c r="M18" s="172" t="str">
        <f t="shared" ca="1" si="1"/>
        <v>x13x</v>
      </c>
      <c r="N18" s="172" t="str">
        <f t="shared" ca="1" si="1"/>
        <v/>
      </c>
      <c r="O18" s="172" t="str">
        <f t="shared" ca="1" si="1"/>
        <v/>
      </c>
      <c r="P18" s="173">
        <f t="shared" ca="1" si="2"/>
        <v>13</v>
      </c>
      <c r="Q18" s="172" t="str">
        <f t="shared" ca="1" si="2"/>
        <v/>
      </c>
      <c r="R18" s="172" t="str">
        <f t="shared" ca="1" si="2"/>
        <v/>
      </c>
      <c r="S18" s="174">
        <f t="array" aca="1" ref="S18" ca="1">IF($D18="-","-",SUM(IF(LEN(M18:O18)&gt;0,1,0)))</f>
        <v>1</v>
      </c>
      <c r="T18" s="175">
        <f t="array" aca="1" ref="T18" ca="1">IF(D18="-","-",SUM(IF(ISERROR(SEARCH(E18,$G$7:$G$206)),0,1)))</f>
        <v>1</v>
      </c>
      <c r="V18" s="204">
        <v>13</v>
      </c>
      <c r="W18" s="127">
        <v>13</v>
      </c>
      <c r="X18" s="177" t="str">
        <f t="shared" si="23"/>
        <v>13-13</v>
      </c>
      <c r="Y18" s="178">
        <v>11</v>
      </c>
      <c r="Z18" s="127">
        <v>9</v>
      </c>
      <c r="AB18" s="179" t="str">
        <f t="shared" ca="1" si="3"/>
        <v/>
      </c>
      <c r="AC18" s="179" t="str">
        <f t="shared" ca="1" si="3"/>
        <v/>
      </c>
      <c r="AD18" s="179" t="str">
        <f t="shared" ca="1" si="3"/>
        <v/>
      </c>
      <c r="AE18" s="198" t="s">
        <v>169</v>
      </c>
      <c r="AG18" s="85"/>
      <c r="AH18" s="85"/>
      <c r="AJ18" s="181" t="str">
        <f t="shared" ca="1" si="5"/>
        <v>Right</v>
      </c>
      <c r="AK18" s="179" t="str">
        <f t="shared" ca="1" si="6"/>
        <v>Below</v>
      </c>
      <c r="AL18" s="179" t="str">
        <f t="shared" ca="1" si="6"/>
        <v/>
      </c>
      <c r="AM18" s="179" t="str">
        <f t="shared" ca="1" si="6"/>
        <v/>
      </c>
      <c r="AO18" s="182" t="str">
        <f t="shared" ca="1" si="7"/>
        <v/>
      </c>
      <c r="AP18" s="182" t="str">
        <f t="shared" ca="1" si="7"/>
        <v/>
      </c>
      <c r="AQ18" s="182" t="str">
        <f t="shared" ca="1" si="7"/>
        <v/>
      </c>
      <c r="AU18" s="185">
        <f t="shared" ref="AU18" ca="1" si="115">IF($D18="-","-",IF(LEN(M18)=0,"", INDEX($AT$7:$AT$15,MATCH(IF($V18-INDEX(GridXRange,P18)&lt;0,"Negative",IF($V18-INDEX(GridXRange,P18)&gt;0,"Positive","Zero")) &amp; " - " &amp;IF($W18-INDEX(GridYRange,P18)&lt;0,"Negative",IF($W18-INDEX(GridYRange,P18)&gt;0,"Positive","Zero")),$AS$7:$AS$15,0))))</f>
        <v>30</v>
      </c>
      <c r="AV18" s="186" t="str">
        <f t="shared" ref="AV18" ca="1" si="116">IF($D18="-","-",IF(LEN(N18)=0,"", INDEX($AT$7:$AT$15,MATCH(IF($V18-INDEX(GridXRange,Q18)&lt;0,"Negative",IF($V18-INDEX(GridXRange,Q18)&gt;0,"Positive","Zero")) &amp; " - " &amp;IF($W18-INDEX(GridYRange,Q18)&lt;0,"Negative",IF($W18-INDEX(GridYRange,Q18)&gt;0,"Positive","Zero")),$AS$7:$AS$15,0))))</f>
        <v/>
      </c>
      <c r="AW18" s="186" t="str">
        <f t="shared" ref="AW18" ca="1" si="117">IF($D18="-","-",IF(LEN(O18)=0,"", INDEX($AT$7:$AT$15,MATCH(IF($V18-INDEX(GridXRange,R18)&lt;0,"Negative",IF($V18-INDEX(GridXRange,R18)&gt;0,"Positive","Zero")) &amp; " - " &amp;IF($W18-INDEX(GridYRange,R18)&lt;0,"Negative",IF($W18-INDEX(GridYRange,R18)&gt;0,"Positive","Zero")),$AS$7:$AS$15,0))))</f>
        <v/>
      </c>
      <c r="AX18" s="187"/>
      <c r="AY18" s="188" t="s">
        <v>13</v>
      </c>
      <c r="AZ18" s="188" t="s">
        <v>13</v>
      </c>
      <c r="BA18" s="184"/>
      <c r="BB18" s="187">
        <f t="shared" ca="1" si="11"/>
        <v>1</v>
      </c>
      <c r="BC18" s="188">
        <f t="shared" ca="1" si="11"/>
        <v>2</v>
      </c>
      <c r="BD18" s="188">
        <f t="shared" ca="1" si="11"/>
        <v>3</v>
      </c>
      <c r="BE18" s="189">
        <f t="shared" ca="1" si="11"/>
        <v>4</v>
      </c>
      <c r="BF18" s="199">
        <v>20</v>
      </c>
      <c r="BG18" s="200">
        <v>1</v>
      </c>
      <c r="BH18" s="200">
        <v>1</v>
      </c>
      <c r="BI18" s="199"/>
      <c r="BK18" s="192">
        <f t="shared" ref="BK18" ca="1" si="118">IF($D18="-","-",$BK$5 + (V18-StartGridX) * (GapXDiff + $BW$7))</f>
        <v>560</v>
      </c>
      <c r="BL18" s="192">
        <f t="shared" ref="BL18" ca="1" si="119">IF($D18="-","-",$BL$5 + (W18-StartGridY) * (GapYDiff + $BV$7))</f>
        <v>370</v>
      </c>
      <c r="BM18" s="192">
        <f t="shared" ca="1" si="14"/>
        <v>110</v>
      </c>
      <c r="BN18" s="192">
        <f t="shared" ca="1" si="15"/>
        <v>50</v>
      </c>
      <c r="BO18" s="192">
        <f t="shared" ca="1" si="16"/>
        <v>61</v>
      </c>
      <c r="BP18" s="192" t="str">
        <f t="shared" ca="1" si="17"/>
        <v>wait till Timeout for RFL PID to progress</v>
      </c>
      <c r="BQ18" s="192">
        <f ca="1">IF($D18="-","-",IF(LEN(K18)=0,1,IFERROR(MATCH(K18,Dashboard!$L$25:$L$31,0),1)))</f>
        <v>3</v>
      </c>
      <c r="BS18" s="193" t="s">
        <v>170</v>
      </c>
      <c r="BT18" s="193" t="s">
        <v>171</v>
      </c>
      <c r="BU18" s="194">
        <v>67</v>
      </c>
      <c r="BV18" s="194">
        <f>Dashboard!$M$16</f>
        <v>50</v>
      </c>
      <c r="BW18" s="194">
        <f>Dashboard!$M$15</f>
        <v>110</v>
      </c>
      <c r="BX18" s="195">
        <v>1</v>
      </c>
      <c r="BY18" s="195">
        <v>2</v>
      </c>
      <c r="BZ18" s="195">
        <v>3</v>
      </c>
      <c r="CA18" s="195">
        <v>4</v>
      </c>
      <c r="CC18" s="143">
        <f t="shared" ref="CC18" ca="1" si="120">IF($D18="-","-",IF(COUNTIF(IDSourceRange,E18)&gt;1,1,0))</f>
        <v>0</v>
      </c>
      <c r="CD18" s="143">
        <f t="shared" ref="CD18" ca="1" si="121">IF($D18="-","-",  IF(LEN(M18)=0,0,IF(ISERROR(MATCH(M18,IDSourceRange,0)),1,0)) + IF(LEN(N18)=0,0,IF(ISERROR(MATCH(N18,IDSourceRange,0)),1,0)) + IF(LEN(O18)=0,0,IF(ISERROR(MATCH(O18,IDSourceRange,0)),1,0)) )</f>
        <v>0</v>
      </c>
      <c r="CE18" s="143">
        <f t="shared" ca="1" si="51"/>
        <v>0</v>
      </c>
      <c r="CF18" s="143" t="s">
        <v>128</v>
      </c>
      <c r="CG18" s="143">
        <f t="shared" ref="CG18" ca="1" si="122">IF($D18="-","-",IF(X18="-",0,IF(COUNTIF(GridCombinedRange,X18)&gt;1,1,0)))</f>
        <v>0</v>
      </c>
      <c r="CH18" s="143"/>
      <c r="CI18" s="143"/>
      <c r="CJ18" s="143"/>
      <c r="CK18" s="143"/>
      <c r="CL18" s="143"/>
      <c r="CO18" s="169" t="s">
        <v>172</v>
      </c>
    </row>
    <row r="19" spans="3:93" x14ac:dyDescent="0.3">
      <c r="C19" s="170">
        <v>13</v>
      </c>
      <c r="D19" s="111" t="str">
        <f ca="1">IF(COUNTA(OFFSET(Dashboard!$B$6,C19,0,1,COUNTA(Dashboard!$B$6:$H$6)))&gt;0,"Yes","-")</f>
        <v>Yes</v>
      </c>
      <c r="E19" s="170" t="str">
        <f ca="1">IF(D19="-","-",IF(LEN(INDEX(Dashboard!B$6:B$206,$C19+1))=0,"x"&amp;C19&amp;"x","x"&amp;INDEX(Dashboard!B$6:B$206,$C19+1)&amp;"x"))</f>
        <v>x13x</v>
      </c>
      <c r="F19" s="171" t="str">
        <f ca="1">IF(D19="-","-",IF(LEN(INDEX(Dashboard!$C$6:$C$206,C19+1))=0," ",INDEX(Dashboard!$C$6:$C$206,C19+1)))</f>
        <v>If timeout is True</v>
      </c>
      <c r="G19" s="219" t="str">
        <f ca="1">IF(OR(D19="-",D19=""),"-",IF(LEN(INDEX(Dashboard!$D$6:$D$228,C19+1))=0,"", "x"&amp;SUBSTITUTE(SUBSTITUTE(INDEX(Dashboard!$D$6:$D$228,C19+1)," ",""),",","x,x")&amp;"x"))</f>
        <v>x14x,x15x</v>
      </c>
      <c r="H19" s="111" t="str">
        <f ca="1">IF(D19="-","-",TRIM(INDEX(Dashboard!$E$6:$E$206,C19+1)))</f>
        <v>yes,No</v>
      </c>
      <c r="I19" s="111" t="str">
        <f ca="1">IF(D19="-","-",IF(LEN(INDEX(Dashboard!$F$6:$F$206,C19+1))=0,$BS$8,IF(ISERROR(MATCH(INDEX(Dashboard!$F$6:$F$206,C19+1),$BS$7:$BS$35,0)),$BS$8,INDEX(Dashboard!$F$6:$F$206,C19+1))))</f>
        <v>decision</v>
      </c>
      <c r="J19" s="111" t="str">
        <f ca="1">IF(D19="-","-",SUBSTITUTE(INDEX(Dashboard!$G$6:$G$206,C19+1)," ",""))</f>
        <v/>
      </c>
      <c r="K19" s="219" t="str">
        <f ca="1">IF(D19="-","-",IF(LEN(INDEX(Dashboard!$H$6:$H$228,C19+1))=0,"",INDEX(Dashboard!$H$6:$H$228,C19+1)))</f>
        <v>Green</v>
      </c>
      <c r="M19" s="172" t="str">
        <f t="shared" ca="1" si="1"/>
        <v>x14x</v>
      </c>
      <c r="N19" s="172" t="str">
        <f t="shared" ca="1" si="1"/>
        <v>x15x</v>
      </c>
      <c r="O19" s="172" t="str">
        <f t="shared" ca="1" si="1"/>
        <v/>
      </c>
      <c r="P19" s="173">
        <f t="shared" ca="1" si="2"/>
        <v>14</v>
      </c>
      <c r="Q19" s="172">
        <f t="shared" ca="1" si="2"/>
        <v>15</v>
      </c>
      <c r="R19" s="172" t="str">
        <f t="shared" ca="1" si="2"/>
        <v/>
      </c>
      <c r="S19" s="174">
        <f t="array" aca="1" ref="S19" ca="1">IF($D19="-","-",SUM(IF(LEN(M19:O19)&gt;0,1,0)))</f>
        <v>2</v>
      </c>
      <c r="T19" s="175">
        <f t="array" aca="1" ref="T19" ca="1">IF(D19="-","-",SUM(IF(ISERROR(SEARCH(E19,$G$7:$G$206)),0,1)))</f>
        <v>1</v>
      </c>
      <c r="V19" s="204">
        <v>13</v>
      </c>
      <c r="W19" s="127">
        <v>14</v>
      </c>
      <c r="X19" s="177" t="str">
        <f t="shared" si="23"/>
        <v>13-14</v>
      </c>
      <c r="Y19" s="178">
        <v>12</v>
      </c>
      <c r="Z19" s="127">
        <v>13</v>
      </c>
      <c r="AB19" s="179" t="str">
        <f t="shared" ca="1" si="3"/>
        <v/>
      </c>
      <c r="AC19" s="179" t="str">
        <f t="shared" ca="1" si="3"/>
        <v/>
      </c>
      <c r="AD19" s="179" t="str">
        <f t="shared" ca="1" si="3"/>
        <v/>
      </c>
      <c r="AE19" s="201" t="s">
        <v>173</v>
      </c>
      <c r="AG19" s="85"/>
      <c r="AH19" s="85"/>
      <c r="AJ19" s="181" t="str">
        <f t="shared" ca="1" si="5"/>
        <v>Below</v>
      </c>
      <c r="AK19" s="179" t="str">
        <f t="shared" ca="1" si="6"/>
        <v>Below</v>
      </c>
      <c r="AL19" s="179" t="str">
        <f t="shared" ca="1" si="6"/>
        <v>Right</v>
      </c>
      <c r="AM19" s="179" t="str">
        <f t="shared" ca="1" si="6"/>
        <v/>
      </c>
      <c r="AO19" s="182" t="str">
        <f t="shared" ca="1" si="7"/>
        <v>yes</v>
      </c>
      <c r="AP19" s="182" t="str">
        <f t="shared" ca="1" si="7"/>
        <v>No</v>
      </c>
      <c r="AQ19" s="182" t="str">
        <f t="shared" ca="1" si="7"/>
        <v/>
      </c>
      <c r="AU19" s="185">
        <f t="shared" ref="AU19" ca="1" si="123">IF($D19="-","-",IF(LEN(M19)=0,"", INDEX($AT$7:$AT$15,MATCH(IF($V19-INDEX(GridXRange,P19)&lt;0,"Negative",IF($V19-INDEX(GridXRange,P19)&gt;0,"Positive","Zero")) &amp; " - " &amp;IF($W19-INDEX(GridYRange,P19)&lt;0,"Negative",IF($W19-INDEX(GridYRange,P19)&gt;0,"Positive","Zero")),$AS$7:$AS$15,0))))</f>
        <v>30</v>
      </c>
      <c r="AV19" s="186">
        <f t="shared" ref="AV19" ca="1" si="124">IF($D19="-","-",IF(LEN(N19)=0,"", INDEX($AT$7:$AT$15,MATCH(IF($V19-INDEX(GridXRange,Q19)&lt;0,"Negative",IF($V19-INDEX(GridXRange,Q19)&gt;0,"Positive","Zero")) &amp; " - " &amp;IF($W19-INDEX(GridYRange,Q19)&lt;0,"Negative",IF($W19-INDEX(GridYRange,Q19)&gt;0,"Positive","Zero")),$AS$7:$AS$15,0))))</f>
        <v>40</v>
      </c>
      <c r="AW19" s="186" t="str">
        <f t="shared" ref="AW19" ca="1" si="125">IF($D19="-","-",IF(LEN(O19)=0,"", INDEX($AT$7:$AT$15,MATCH(IF($V19-INDEX(GridXRange,R19)&lt;0,"Negative",IF($V19-INDEX(GridXRange,R19)&gt;0,"Positive","Zero")) &amp; " - " &amp;IF($W19-INDEX(GridYRange,R19)&lt;0,"Negative",IF($W19-INDEX(GridYRange,R19)&gt;0,"Positive","Zero")),$AS$7:$AS$15,0))))</f>
        <v/>
      </c>
      <c r="AX19" s="187" t="s">
        <v>13</v>
      </c>
      <c r="AY19" s="188"/>
      <c r="AZ19" s="188" t="s">
        <v>13</v>
      </c>
      <c r="BA19" s="184" t="s">
        <v>13</v>
      </c>
      <c r="BB19" s="187">
        <f t="shared" ca="1" si="11"/>
        <v>1</v>
      </c>
      <c r="BC19" s="188">
        <f t="shared" ca="1" si="11"/>
        <v>2</v>
      </c>
      <c r="BD19" s="188">
        <f t="shared" ca="1" si="11"/>
        <v>3</v>
      </c>
      <c r="BE19" s="189">
        <f t="shared" ca="1" si="11"/>
        <v>4</v>
      </c>
      <c r="BF19" s="202">
        <v>20</v>
      </c>
      <c r="BG19" s="203">
        <v>3</v>
      </c>
      <c r="BH19" s="203">
        <v>3</v>
      </c>
      <c r="BI19" s="202" t="s">
        <v>99</v>
      </c>
      <c r="BK19" s="192">
        <f t="shared" ref="BK19" ca="1" si="126">IF($D19="-","-",$BK$5 + (V19-StartGridX) * (GapXDiff + $BW$7))</f>
        <v>560</v>
      </c>
      <c r="BL19" s="192">
        <f t="shared" ref="BL19" ca="1" si="127">IF($D19="-","-",$BL$5 + (W19-StartGridY) * (GapYDiff + $BV$7))</f>
        <v>460</v>
      </c>
      <c r="BM19" s="192">
        <f t="shared" ca="1" si="14"/>
        <v>110</v>
      </c>
      <c r="BN19" s="192">
        <f t="shared" ca="1" si="15"/>
        <v>50</v>
      </c>
      <c r="BO19" s="192">
        <f t="shared" ca="1" si="16"/>
        <v>63</v>
      </c>
      <c r="BP19" s="192" t="str">
        <f t="shared" ca="1" si="17"/>
        <v>If timeout is True</v>
      </c>
      <c r="BQ19" s="192">
        <f ca="1">IF($D19="-","-",IF(LEN(K19)=0,1,IFERROR(MATCH(K19,Dashboard!$L$25:$L$31,0),1)))</f>
        <v>3</v>
      </c>
      <c r="BS19" s="193" t="s">
        <v>174</v>
      </c>
      <c r="BT19" s="193" t="s">
        <v>175</v>
      </c>
      <c r="BU19" s="194">
        <v>81</v>
      </c>
      <c r="BV19" s="194">
        <f>Dashboard!$M$16</f>
        <v>50</v>
      </c>
      <c r="BW19" s="194">
        <f>Dashboard!$M$15</f>
        <v>110</v>
      </c>
      <c r="BX19" s="195">
        <v>1</v>
      </c>
      <c r="BY19" s="195">
        <v>2</v>
      </c>
      <c r="BZ19" s="195">
        <v>3</v>
      </c>
      <c r="CA19" s="195">
        <v>4</v>
      </c>
      <c r="CC19" s="143">
        <f t="shared" ref="CC19" ca="1" si="128">IF($D19="-","-",IF(COUNTIF(IDSourceRange,E19)&gt;1,1,0))</f>
        <v>0</v>
      </c>
      <c r="CD19" s="143">
        <f t="shared" ref="CD19" ca="1" si="129">IF($D19="-","-",  IF(LEN(M19)=0,0,IF(ISERROR(MATCH(M19,IDSourceRange,0)),1,0)) + IF(LEN(N19)=0,0,IF(ISERROR(MATCH(N19,IDSourceRange,0)),1,0)) + IF(LEN(O19)=0,0,IF(ISERROR(MATCH(O19,IDSourceRange,0)),1,0)) )</f>
        <v>0</v>
      </c>
      <c r="CE19" s="143">
        <f t="shared" ca="1" si="51"/>
        <v>0</v>
      </c>
      <c r="CF19" s="143" t="s">
        <v>128</v>
      </c>
      <c r="CG19" s="143">
        <f t="shared" ref="CG19" ca="1" si="130">IF($D19="-","-",IF(X19="-",0,IF(COUNTIF(GridCombinedRange,X19)&gt;1,1,0)))</f>
        <v>0</v>
      </c>
      <c r="CH19" s="143"/>
      <c r="CI19" s="143"/>
      <c r="CJ19" s="143"/>
      <c r="CK19" s="143"/>
      <c r="CL19" s="143"/>
      <c r="CO19" s="208" t="str">
        <f t="array" aca="1" ref="CO19" ca="1">IF(CP5&lt;2,"",IFERROR(INDEX($CO$7:$CO$16,SMALL(IF($CP$7:$CP$16&gt;0,$CN$7:$CN$16,999),1)),""))</f>
        <v/>
      </c>
    </row>
    <row r="20" spans="3:93" x14ac:dyDescent="0.3">
      <c r="C20" s="170">
        <v>14</v>
      </c>
      <c r="D20" s="111" t="str">
        <f ca="1">IF(COUNTA(OFFSET(Dashboard!$B$6,C20,0,1,COUNTA(Dashboard!$B$6:$H$6)))&gt;0,"Yes","-")</f>
        <v>Yes</v>
      </c>
      <c r="E20" s="170" t="str">
        <f ca="1">IF(D20="-","-",IF(LEN(INDEX(Dashboard!B$6:B$206,$C20+1))=0,"x"&amp;C20&amp;"x","x"&amp;INDEX(Dashboard!B$6:B$206,$C20+1)&amp;"x"))</f>
        <v>x14x</v>
      </c>
      <c r="F20" s="171" t="str">
        <f ca="1">IF(D20="-","-",IF(LEN(INDEX(Dashboard!$C$6:$C$206,C20+1))=0," ",INDEX(Dashboard!$C$6:$C$206,C20+1)))</f>
        <v>Email process not started</v>
      </c>
      <c r="G20" s="219" t="str">
        <f ca="1">IF(OR(D20="-",D20=""),"-",IF(LEN(INDEX(Dashboard!$D$6:$D$228,C20+1))=0,"", "x"&amp;SUBSTITUTE(SUBSTITUTE(INDEX(Dashboard!$D$6:$D$228,C20+1)," ",""),",","x,x")&amp;"x"))</f>
        <v>x16x</v>
      </c>
      <c r="H20" s="111" t="str">
        <f ca="1">IF(D20="-","-",TRIM(INDEX(Dashboard!$E$6:$E$206,C20+1)))</f>
        <v/>
      </c>
      <c r="I20" s="111" t="str">
        <f ca="1">IF(D20="-","-",IF(LEN(INDEX(Dashboard!$F$6:$F$206,C20+1))=0,$BS$8,IF(ISERROR(MATCH(INDEX(Dashboard!$F$6:$F$206,C20+1),$BS$7:$BS$35,0)),$BS$8,INDEX(Dashboard!$F$6:$F$206,C20+1))))</f>
        <v>process</v>
      </c>
      <c r="J20" s="111" t="str">
        <f ca="1">IF(D20="-","-",SUBSTITUTE(INDEX(Dashboard!$G$6:$G$206,C20+1)," ",""))</f>
        <v/>
      </c>
      <c r="K20" s="219" t="str">
        <f ca="1">IF(D20="-","-",IF(LEN(INDEX(Dashboard!$H$6:$H$228,C20+1))=0,"",INDEX(Dashboard!$H$6:$H$228,C20+1)))</f>
        <v>Green</v>
      </c>
      <c r="M20" s="172" t="str">
        <f t="shared" ca="1" si="1"/>
        <v>x16x</v>
      </c>
      <c r="N20" s="172" t="str">
        <f t="shared" ca="1" si="1"/>
        <v/>
      </c>
      <c r="O20" s="172" t="str">
        <f t="shared" ca="1" si="1"/>
        <v/>
      </c>
      <c r="P20" s="173">
        <f t="shared" ca="1" si="2"/>
        <v>16</v>
      </c>
      <c r="Q20" s="172" t="str">
        <f t="shared" ca="1" si="2"/>
        <v/>
      </c>
      <c r="R20" s="172" t="str">
        <f t="shared" ca="1" si="2"/>
        <v/>
      </c>
      <c r="S20" s="174">
        <f t="array" aca="1" ref="S20" ca="1">IF($D20="-","-",SUM(IF(LEN(M20:O20)&gt;0,1,0)))</f>
        <v>1</v>
      </c>
      <c r="T20" s="175">
        <f t="array" aca="1" ref="T20" ca="1">IF(D20="-","-",SUM(IF(ISERROR(SEARCH(E20,$G$7:$G$206)),0,1)))</f>
        <v>1</v>
      </c>
      <c r="V20" s="204">
        <v>13</v>
      </c>
      <c r="W20" s="127">
        <v>15</v>
      </c>
      <c r="X20" s="177" t="str">
        <f t="shared" si="23"/>
        <v>13-15</v>
      </c>
      <c r="Y20" s="178">
        <v>13</v>
      </c>
      <c r="Z20" s="127">
        <v>14</v>
      </c>
      <c r="AB20" s="179" t="str">
        <f t="shared" ca="1" si="3"/>
        <v/>
      </c>
      <c r="AC20" s="179" t="str">
        <f t="shared" ca="1" si="3"/>
        <v/>
      </c>
      <c r="AD20" s="179" t="str">
        <f t="shared" ca="1" si="3"/>
        <v/>
      </c>
      <c r="AE20" s="201" t="s">
        <v>176</v>
      </c>
      <c r="AJ20" s="181" t="str">
        <f t="shared" ca="1" si="5"/>
        <v>Below</v>
      </c>
      <c r="AK20" s="179" t="str">
        <f t="shared" ca="1" si="6"/>
        <v>Below</v>
      </c>
      <c r="AL20" s="179" t="str">
        <f t="shared" ca="1" si="6"/>
        <v/>
      </c>
      <c r="AM20" s="179" t="str">
        <f t="shared" ca="1" si="6"/>
        <v/>
      </c>
      <c r="AO20" s="182" t="str">
        <f t="shared" ca="1" si="7"/>
        <v/>
      </c>
      <c r="AP20" s="182" t="str">
        <f t="shared" ca="1" si="7"/>
        <v/>
      </c>
      <c r="AQ20" s="182" t="str">
        <f t="shared" ca="1" si="7"/>
        <v/>
      </c>
      <c r="AU20" s="185">
        <f t="shared" ref="AU20" ca="1" si="131">IF($D20="-","-",IF(LEN(M20)=0,"", INDEX($AT$7:$AT$15,MATCH(IF($V20-INDEX(GridXRange,P20)&lt;0,"Negative",IF($V20-INDEX(GridXRange,P20)&gt;0,"Positive","Zero")) &amp; " - " &amp;IF($W20-INDEX(GridYRange,P20)&lt;0,"Negative",IF($W20-INDEX(GridYRange,P20)&gt;0,"Positive","Zero")),$AS$7:$AS$15,0))))</f>
        <v>30</v>
      </c>
      <c r="AV20" s="186" t="str">
        <f t="shared" ref="AV20" ca="1" si="132">IF($D20="-","-",IF(LEN(N20)=0,"", INDEX($AT$7:$AT$15,MATCH(IF($V20-INDEX(GridXRange,Q20)&lt;0,"Negative",IF($V20-INDEX(GridXRange,Q20)&gt;0,"Positive","Zero")) &amp; " - " &amp;IF($W20-INDEX(GridYRange,Q20)&lt;0,"Negative",IF($W20-INDEX(GridYRange,Q20)&gt;0,"Positive","Zero")),$AS$7:$AS$15,0))))</f>
        <v/>
      </c>
      <c r="AW20" s="186" t="str">
        <f t="shared" ref="AW20" ca="1" si="133">IF($D20="-","-",IF(LEN(O20)=0,"", INDEX($AT$7:$AT$15,MATCH(IF($V20-INDEX(GridXRange,R20)&lt;0,"Negative",IF($V20-INDEX(GridXRange,R20)&gt;0,"Positive","Zero")) &amp; " - " &amp;IF($W20-INDEX(GridYRange,R20)&lt;0,"Negative",IF($W20-INDEX(GridYRange,R20)&gt;0,"Positive","Zero")),$AS$7:$AS$15,0))))</f>
        <v/>
      </c>
      <c r="AX20" s="187" t="s">
        <v>13</v>
      </c>
      <c r="AY20" s="188"/>
      <c r="AZ20" s="188" t="s">
        <v>13</v>
      </c>
      <c r="BA20" s="184"/>
      <c r="BB20" s="187">
        <f t="shared" ca="1" si="11"/>
        <v>1</v>
      </c>
      <c r="BC20" s="188">
        <f t="shared" ca="1" si="11"/>
        <v>2</v>
      </c>
      <c r="BD20" s="188">
        <f t="shared" ca="1" si="11"/>
        <v>3</v>
      </c>
      <c r="BE20" s="189">
        <f t="shared" ca="1" si="11"/>
        <v>4</v>
      </c>
      <c r="BF20" s="190">
        <v>25</v>
      </c>
      <c r="BG20" s="191">
        <v>2</v>
      </c>
      <c r="BH20" s="191">
        <v>4</v>
      </c>
      <c r="BI20" s="190"/>
      <c r="BK20" s="192">
        <f t="shared" ref="BK20" ca="1" si="134">IF($D20="-","-",$BK$5 + (V20-StartGridX) * (GapXDiff + $BW$7))</f>
        <v>560</v>
      </c>
      <c r="BL20" s="192">
        <f t="shared" ref="BL20" ca="1" si="135">IF($D20="-","-",$BL$5 + (W20-StartGridY) * (GapYDiff + $BV$7))</f>
        <v>550</v>
      </c>
      <c r="BM20" s="192">
        <f t="shared" ca="1" si="14"/>
        <v>110</v>
      </c>
      <c r="BN20" s="192">
        <f t="shared" ca="1" si="15"/>
        <v>50</v>
      </c>
      <c r="BO20" s="192">
        <f t="shared" ca="1" si="16"/>
        <v>61</v>
      </c>
      <c r="BP20" s="192" t="str">
        <f t="shared" ca="1" si="17"/>
        <v>Email process not started</v>
      </c>
      <c r="BQ20" s="192">
        <f ca="1">IF($D20="-","-",IF(LEN(K20)=0,1,IFERROR(MATCH(K20,Dashboard!$L$25:$L$31,0),1)))</f>
        <v>3</v>
      </c>
      <c r="BS20" s="193" t="s">
        <v>177</v>
      </c>
      <c r="BT20" s="193" t="s">
        <v>178</v>
      </c>
      <c r="BU20" s="194">
        <v>64</v>
      </c>
      <c r="BV20" s="194">
        <f>Dashboard!$M$16</f>
        <v>50</v>
      </c>
      <c r="BW20" s="194">
        <f>Dashboard!$M$15</f>
        <v>110</v>
      </c>
      <c r="BX20" s="195">
        <v>2</v>
      </c>
      <c r="BY20" s="195">
        <v>3</v>
      </c>
      <c r="BZ20" s="195">
        <v>5</v>
      </c>
      <c r="CA20" s="195">
        <v>6</v>
      </c>
      <c r="CC20" s="143">
        <f t="shared" ref="CC20" ca="1" si="136">IF($D20="-","-",IF(COUNTIF(IDSourceRange,E20)&gt;1,1,0))</f>
        <v>0</v>
      </c>
      <c r="CD20" s="143">
        <f t="shared" ref="CD20" ca="1" si="137">IF($D20="-","-",  IF(LEN(M20)=0,0,IF(ISERROR(MATCH(M20,IDSourceRange,0)),1,0)) + IF(LEN(N20)=0,0,IF(ISERROR(MATCH(N20,IDSourceRange,0)),1,0)) + IF(LEN(O20)=0,0,IF(ISERROR(MATCH(O20,IDSourceRange,0)),1,0)) )</f>
        <v>0</v>
      </c>
      <c r="CE20" s="143">
        <f t="shared" ca="1" si="51"/>
        <v>0</v>
      </c>
      <c r="CF20" s="143" t="s">
        <v>128</v>
      </c>
      <c r="CG20" s="143">
        <f t="shared" ref="CG20" ca="1" si="138">IF($D20="-","-",IF(X20="-",0,IF(COUNTIF(GridCombinedRange,X20)&gt;1,1,0)))</f>
        <v>0</v>
      </c>
      <c r="CH20" s="143"/>
      <c r="CI20" s="143"/>
      <c r="CJ20" s="143"/>
      <c r="CK20" s="143"/>
      <c r="CL20" s="143"/>
      <c r="CO20" s="143" t="str">
        <f t="array" aca="1" ref="CO20" ca="1">IF(CP5=0,"Ready! Click the button to Create your Chart.",IF(CP5=1,IFERROR(INDEX($CO$7:$CO$16,SMALL(IF($CP$7:$CP$16&gt;0,$CN$7:$CN$16,999),1)),""),IFERROR(INDEX($CO$7:$CO$16,SMALL(IF($CP$7:$CP$16&gt;0,$CN$7:$CN$16,999),2)),"")))</f>
        <v>Ready! Click the button to Create your Chart.</v>
      </c>
    </row>
    <row r="21" spans="3:93" x14ac:dyDescent="0.3">
      <c r="C21" s="170">
        <v>15</v>
      </c>
      <c r="D21" s="111" t="str">
        <f ca="1">IF(COUNTA(OFFSET(Dashboard!$B$6,C21,0,1,COUNTA(Dashboard!$B$6:$H$6)))&gt;0,"Yes","-")</f>
        <v>Yes</v>
      </c>
      <c r="E21" s="170" t="str">
        <f ca="1">IF(D21="-","-",IF(LEN(INDEX(Dashboard!B$6:B$206,$C21+1))=0,"x"&amp;C21&amp;"x","x"&amp;INDEX(Dashboard!B$6:B$206,$C21+1)&amp;"x"))</f>
        <v>x15x</v>
      </c>
      <c r="F21" s="171" t="str">
        <f ca="1">IF(D21="-","-",IF(LEN(INDEX(Dashboard!$C$6:$C$206,C21+1))=0," ",INDEX(Dashboard!$C$6:$C$206,C21+1)))</f>
        <v>create PID_start file</v>
      </c>
      <c r="G21" s="219" t="str">
        <f ca="1">IF(OR(D21="-",D21=""),"-",IF(LEN(INDEX(Dashboard!$D$6:$D$228,C21+1))=0,"", "x"&amp;SUBSTITUTE(SUBSTITUTE(INDEX(Dashboard!$D$6:$D$228,C21+1)," ",""),",","x,x")&amp;"x"))</f>
        <v>x16x</v>
      </c>
      <c r="H21" s="111" t="str">
        <f ca="1">IF(D21="-","-",TRIM(INDEX(Dashboard!$E$6:$E$206,C21+1)))</f>
        <v/>
      </c>
      <c r="I21" s="111" t="str">
        <f ca="1">IF(D21="-","-",IF(LEN(INDEX(Dashboard!$F$6:$F$206,C21+1))=0,$BS$8,IF(ISERROR(MATCH(INDEX(Dashboard!$F$6:$F$206,C21+1),$BS$7:$BS$35,0)),$BS$8,INDEX(Dashboard!$F$6:$F$206,C21+1))))</f>
        <v>Process</v>
      </c>
      <c r="J21" s="111" t="str">
        <f ca="1">IF(D21="-","-",SUBSTITUTE(INDEX(Dashboard!$G$6:$G$206,C21+1)," ",""))</f>
        <v/>
      </c>
      <c r="K21" s="111" t="str">
        <f ca="1">IF(D21="-","-",IF(LEN(INDEX(Dashboard!$H$6:$H$206,C21+1))=0,"",INDEX(Dashboard!$H$6:$H$206,C21+1)))</f>
        <v>Green</v>
      </c>
      <c r="M21" s="172" t="str">
        <f t="shared" ca="1" si="1"/>
        <v>x16x</v>
      </c>
      <c r="N21" s="172" t="str">
        <f t="shared" ca="1" si="1"/>
        <v/>
      </c>
      <c r="O21" s="172" t="str">
        <f t="shared" ca="1" si="1"/>
        <v/>
      </c>
      <c r="P21" s="173">
        <f t="shared" ca="1" si="2"/>
        <v>16</v>
      </c>
      <c r="Q21" s="172" t="str">
        <f t="shared" ca="1" si="2"/>
        <v/>
      </c>
      <c r="R21" s="172" t="str">
        <f t="shared" ca="1" si="2"/>
        <v/>
      </c>
      <c r="S21" s="174">
        <f t="array" aca="1" ref="S21" ca="1">IF($D21="-","-",SUM(IF(LEN(M21:O21)&gt;0,1,0)))</f>
        <v>1</v>
      </c>
      <c r="T21" s="175">
        <f t="array" aca="1" ref="T21" ca="1">IF(D21="-","-",SUM(IF(ISERROR(SEARCH(E21,$G$7:$G$206)),0,1)))</f>
        <v>1</v>
      </c>
      <c r="V21" s="204">
        <v>14</v>
      </c>
      <c r="W21" s="127">
        <v>14</v>
      </c>
      <c r="X21" s="177" t="str">
        <f t="shared" si="23"/>
        <v>14-14</v>
      </c>
      <c r="Y21" s="178">
        <v>13</v>
      </c>
      <c r="Z21" s="127">
        <v>15</v>
      </c>
      <c r="AB21" s="179" t="str">
        <f t="shared" ca="1" si="3"/>
        <v/>
      </c>
      <c r="AC21" s="179" t="str">
        <f t="shared" ca="1" si="3"/>
        <v/>
      </c>
      <c r="AD21" s="179" t="str">
        <f t="shared" ca="1" si="3"/>
        <v/>
      </c>
      <c r="AE21" s="201" t="s">
        <v>179</v>
      </c>
      <c r="AJ21" s="181" t="str">
        <f t="shared" ca="1" si="5"/>
        <v>Right</v>
      </c>
      <c r="AK21" s="179" t="str">
        <f t="shared" ca="1" si="6"/>
        <v>Below</v>
      </c>
      <c r="AL21" s="179" t="str">
        <f t="shared" ca="1" si="6"/>
        <v/>
      </c>
      <c r="AM21" s="179" t="str">
        <f t="shared" ca="1" si="6"/>
        <v/>
      </c>
      <c r="AO21" s="182" t="str">
        <f t="shared" ca="1" si="7"/>
        <v/>
      </c>
      <c r="AP21" s="182" t="str">
        <f t="shared" ca="1" si="7"/>
        <v/>
      </c>
      <c r="AQ21" s="182" t="str">
        <f t="shared" ca="1" si="7"/>
        <v/>
      </c>
      <c r="AU21" s="185">
        <f t="shared" ref="AU21" ca="1" si="139">IF($D21="-","-",IF(LEN(M21)=0,"", INDEX($AT$7:$AT$15,MATCH(IF($V21-INDEX(GridXRange,P21)&lt;0,"Negative",IF($V21-INDEX(GridXRange,P21)&gt;0,"Positive","Zero")) &amp; " - " &amp;IF($W21-INDEX(GridYRange,P21)&lt;0,"Negative",IF($W21-INDEX(GridYRange,P21)&gt;0,"Positive","Zero")),$AS$7:$AS$15,0))))</f>
        <v>25</v>
      </c>
      <c r="AV21" s="186" t="str">
        <f t="shared" ref="AV21" ca="1" si="140">IF($D21="-","-",IF(LEN(N21)=0,"", INDEX($AT$7:$AT$15,MATCH(IF($V21-INDEX(GridXRange,Q21)&lt;0,"Negative",IF($V21-INDEX(GridXRange,Q21)&gt;0,"Positive","Zero")) &amp; " - " &amp;IF($W21-INDEX(GridYRange,Q21)&lt;0,"Negative",IF($W21-INDEX(GridYRange,Q21)&gt;0,"Positive","Zero")),$AS$7:$AS$15,0))))</f>
        <v/>
      </c>
      <c r="AW21" s="186" t="str">
        <f t="shared" ref="AW21" ca="1" si="141">IF($D21="-","-",IF(LEN(O21)=0,"", INDEX($AT$7:$AT$15,MATCH(IF($V21-INDEX(GridXRange,R21)&lt;0,"Negative",IF($V21-INDEX(GridXRange,R21)&gt;0,"Positive","Zero")) &amp; " - " &amp;IF($W21-INDEX(GridYRange,R21)&lt;0,"Negative",IF($W21-INDEX(GridYRange,R21)&gt;0,"Positive","Zero")),$AS$7:$AS$15,0))))</f>
        <v/>
      </c>
      <c r="AX21" s="187"/>
      <c r="AY21" s="188" t="s">
        <v>13</v>
      </c>
      <c r="AZ21" s="188" t="s">
        <v>13</v>
      </c>
      <c r="BA21" s="184"/>
      <c r="BB21" s="187">
        <f t="shared" ca="1" si="11"/>
        <v>1</v>
      </c>
      <c r="BC21" s="188">
        <f t="shared" ca="1" si="11"/>
        <v>2</v>
      </c>
      <c r="BD21" s="188">
        <f t="shared" ca="1" si="11"/>
        <v>3</v>
      </c>
      <c r="BE21" s="189">
        <f t="shared" ca="1" si="11"/>
        <v>4</v>
      </c>
      <c r="BF21" s="199">
        <v>25</v>
      </c>
      <c r="BG21" s="200">
        <v>3</v>
      </c>
      <c r="BH21" s="200">
        <v>1</v>
      </c>
      <c r="BI21" s="199"/>
      <c r="BK21" s="192">
        <f t="shared" ref="BK21" ca="1" si="142">IF($D21="-","-",$BK$5 + (V21-StartGridX) * (GapXDiff + $BW$7))</f>
        <v>720</v>
      </c>
      <c r="BL21" s="192">
        <f t="shared" ref="BL21" ca="1" si="143">IF($D21="-","-",$BL$5 + (W21-StartGridY) * (GapYDiff + $BV$7))</f>
        <v>460</v>
      </c>
      <c r="BM21" s="192">
        <f t="shared" ca="1" si="14"/>
        <v>110</v>
      </c>
      <c r="BN21" s="192">
        <f t="shared" ca="1" si="15"/>
        <v>50</v>
      </c>
      <c r="BO21" s="192">
        <f t="shared" ca="1" si="16"/>
        <v>61</v>
      </c>
      <c r="BP21" s="192" t="str">
        <f t="shared" ca="1" si="17"/>
        <v>create PID_start file</v>
      </c>
      <c r="BQ21" s="192">
        <f ca="1">IF($D21="-","-",IF(LEN(K21)=0,1,IFERROR(MATCH(K21,Dashboard!$L$25:$L$31,0),1)))</f>
        <v>3</v>
      </c>
      <c r="BS21" s="193" t="s">
        <v>180</v>
      </c>
      <c r="BT21" s="193" t="s">
        <v>181</v>
      </c>
      <c r="BU21" s="194">
        <v>66</v>
      </c>
      <c r="BV21" s="194">
        <f>Dashboard!$M$16</f>
        <v>50</v>
      </c>
      <c r="BW21" s="194">
        <f>Dashboard!$M$15</f>
        <v>110</v>
      </c>
      <c r="BX21" s="195">
        <v>1</v>
      </c>
      <c r="BY21" s="195">
        <v>2</v>
      </c>
      <c r="BZ21" s="195">
        <v>3</v>
      </c>
      <c r="CA21" s="195">
        <v>4</v>
      </c>
      <c r="CC21" s="143">
        <f t="shared" ref="CC21" ca="1" si="144">IF($D21="-","-",IF(COUNTIF(IDSourceRange,E21)&gt;1,1,0))</f>
        <v>0</v>
      </c>
      <c r="CD21" s="143">
        <f t="shared" ref="CD21" ca="1" si="145">IF($D21="-","-",  IF(LEN(M21)=0,0,IF(ISERROR(MATCH(M21,IDSourceRange,0)),1,0)) + IF(LEN(N21)=0,0,IF(ISERROR(MATCH(N21,IDSourceRange,0)),1,0)) + IF(LEN(O21)=0,0,IF(ISERROR(MATCH(O21,IDSourceRange,0)),1,0)) )</f>
        <v>0</v>
      </c>
      <c r="CE21" s="143">
        <f t="shared" ca="1" si="51"/>
        <v>0</v>
      </c>
      <c r="CF21" s="143" t="s">
        <v>128</v>
      </c>
      <c r="CG21" s="143">
        <f t="shared" ref="CG21" ca="1" si="146">IF($D21="-","-",IF(X21="-",0,IF(COUNTIF(GridCombinedRange,X21)&gt;1,1,0)))</f>
        <v>0</v>
      </c>
      <c r="CH21" s="143"/>
      <c r="CI21" s="143"/>
      <c r="CJ21" s="143"/>
      <c r="CK21" s="143"/>
      <c r="CL21" s="143"/>
      <c r="CO21" s="143" t="str">
        <f t="array" aca="1" ref="CO21" ca="1">IF(CP5&lt;3,"",IFERROR(INDEX($CO$7:$CO$16,SMALL(IF($CP$7:$CP$16&gt;0,$CN$7:$CN$16,999),3)),""))</f>
        <v/>
      </c>
    </row>
    <row r="22" spans="3:93" x14ac:dyDescent="0.3">
      <c r="C22" s="170">
        <v>16</v>
      </c>
      <c r="D22" s="111" t="str">
        <f ca="1">IF(COUNTA(OFFSET(Dashboard!$B$6,C22,0,1,COUNTA(Dashboard!$B$6:$H$6)))&gt;0,"Yes","-")</f>
        <v>Yes</v>
      </c>
      <c r="E22" s="170" t="str">
        <f ca="1">IF(D22="-","-",IF(LEN(INDEX(Dashboard!B$6:B$206,$C22+1))=0,"x"&amp;C22&amp;"x","x"&amp;INDEX(Dashboard!B$6:B$206,$C22+1)&amp;"x"))</f>
        <v>x16x</v>
      </c>
      <c r="F22" s="171" t="str">
        <f ca="1">IF(D22="-","-",IF(LEN(INDEX(Dashboard!$C$6:$C$206,C22+1))=0," ",INDEX(Dashboard!$C$6:$C$206,C22+1)))</f>
        <v>End</v>
      </c>
      <c r="G22" s="219" t="str">
        <f ca="1">IF(OR(D22="-",D22=""),"-",IF(LEN(INDEX(Dashboard!$D$6:$D$228,C22+1))=0,"", "x"&amp;SUBSTITUTE(SUBSTITUTE(INDEX(Dashboard!$D$6:$D$228,C22+1)," ",""),",","x,x")&amp;"x"))</f>
        <v/>
      </c>
      <c r="H22" s="111" t="str">
        <f ca="1">IF(D22="-","-",TRIM(INDEX(Dashboard!$E$6:$E$206,C22+1)))</f>
        <v/>
      </c>
      <c r="I22" s="111" t="str">
        <f ca="1">IF(D22="-","-",IF(LEN(INDEX(Dashboard!$F$6:$F$206,C22+1))=0,$BS$8,IF(ISERROR(MATCH(INDEX(Dashboard!$F$6:$F$206,C22+1),$BS$7:$BS$35,0)),$BS$8,INDEX(Dashboard!$F$6:$F$206,C22+1))))</f>
        <v>Process</v>
      </c>
      <c r="J22" s="111" t="str">
        <f ca="1">IF(D22="-","-",SUBSTITUTE(INDEX(Dashboard!$G$6:$G$206,C22+1)," ",""))</f>
        <v/>
      </c>
      <c r="K22" s="111" t="str">
        <f ca="1">IF(D22="-","-",IF(LEN(INDEX(Dashboard!$H$6:$H$206,C22+1))=0,"",INDEX(Dashboard!$H$6:$H$206,C22+1)))</f>
        <v>Blue</v>
      </c>
      <c r="M22" s="172" t="str">
        <f t="shared" ca="1" si="1"/>
        <v/>
      </c>
      <c r="N22" s="172" t="str">
        <f t="shared" ca="1" si="1"/>
        <v/>
      </c>
      <c r="O22" s="172" t="str">
        <f t="shared" ca="1" si="1"/>
        <v/>
      </c>
      <c r="P22" s="173" t="str">
        <f t="shared" ca="1" si="2"/>
        <v/>
      </c>
      <c r="Q22" s="172" t="str">
        <f t="shared" ca="1" si="2"/>
        <v/>
      </c>
      <c r="R22" s="172" t="str">
        <f t="shared" ca="1" si="2"/>
        <v/>
      </c>
      <c r="S22" s="174">
        <f t="array" aca="1" ref="S22" ca="1">IF($D22="-","-",SUM(IF(LEN(M22:O22)&gt;0,1,0)))</f>
        <v>0</v>
      </c>
      <c r="T22" s="175">
        <f t="array" aca="1" ref="T22" ca="1">IF(D22="-","-",SUM(IF(ISERROR(SEARCH(E22,$G$7:$G$206)),0,1)))</f>
        <v>2</v>
      </c>
      <c r="V22" s="204">
        <v>13</v>
      </c>
      <c r="W22" s="127">
        <v>16</v>
      </c>
      <c r="X22" s="177" t="str">
        <f t="shared" si="23"/>
        <v>13-16</v>
      </c>
      <c r="Y22" s="178">
        <v>14</v>
      </c>
      <c r="Z22" s="127">
        <v>16</v>
      </c>
      <c r="AB22" s="179" t="str">
        <f t="shared" ca="1" si="3"/>
        <v/>
      </c>
      <c r="AC22" s="179" t="str">
        <f t="shared" ca="1" si="3"/>
        <v/>
      </c>
      <c r="AD22" s="179" t="str">
        <f t="shared" ca="1" si="3"/>
        <v/>
      </c>
      <c r="AE22" s="201" t="s">
        <v>182</v>
      </c>
      <c r="AF22" s="209" t="s">
        <v>183</v>
      </c>
      <c r="AG22" s="210"/>
      <c r="AH22" s="210"/>
      <c r="AI22" s="211"/>
      <c r="AJ22" s="181" t="str">
        <f t="shared" ca="1" si="5"/>
        <v>Below</v>
      </c>
      <c r="AK22" s="179" t="str">
        <f t="shared" ca="1" si="6"/>
        <v/>
      </c>
      <c r="AL22" s="179" t="str">
        <f t="shared" ca="1" si="6"/>
        <v/>
      </c>
      <c r="AM22" s="179" t="str">
        <f t="shared" ca="1" si="6"/>
        <v/>
      </c>
      <c r="AO22" s="182" t="str">
        <f t="shared" ca="1" si="7"/>
        <v/>
      </c>
      <c r="AP22" s="182" t="str">
        <f t="shared" ca="1" si="7"/>
        <v/>
      </c>
      <c r="AQ22" s="182" t="str">
        <f t="shared" ca="1" si="7"/>
        <v/>
      </c>
      <c r="AU22" s="185" t="str">
        <f t="shared" ref="AU22" ca="1" si="147">IF($D22="-","-",IF(LEN(M22)=0,"", INDEX($AT$7:$AT$15,MATCH(IF($V22-INDEX(GridXRange,P22)&lt;0,"Negative",IF($V22-INDEX(GridXRange,P22)&gt;0,"Positive","Zero")) &amp; " - " &amp;IF($W22-INDEX(GridYRange,P22)&lt;0,"Negative",IF($W22-INDEX(GridYRange,P22)&gt;0,"Positive","Zero")),$AS$7:$AS$15,0))))</f>
        <v/>
      </c>
      <c r="AV22" s="186" t="str">
        <f t="shared" ref="AV22" ca="1" si="148">IF($D22="-","-",IF(LEN(N22)=0,"", INDEX($AT$7:$AT$15,MATCH(IF($V22-INDEX(GridXRange,Q22)&lt;0,"Negative",IF($V22-INDEX(GridXRange,Q22)&gt;0,"Positive","Zero")) &amp; " - " &amp;IF($W22-INDEX(GridYRange,Q22)&lt;0,"Negative",IF($W22-INDEX(GridYRange,Q22)&gt;0,"Positive","Zero")),$AS$7:$AS$15,0))))</f>
        <v/>
      </c>
      <c r="AW22" s="186" t="str">
        <f t="shared" ref="AW22" ca="1" si="149">IF($D22="-","-",IF(LEN(O22)=0,"", INDEX($AT$7:$AT$15,MATCH(IF($V22-INDEX(GridXRange,R22)&lt;0,"Negative",IF($V22-INDEX(GridXRange,R22)&gt;0,"Positive","Zero")) &amp; " - " &amp;IF($W22-INDEX(GridYRange,R22)&lt;0,"Negative",IF($W22-INDEX(GridYRange,R22)&gt;0,"Positive","Zero")),$AS$7:$AS$15,0))))</f>
        <v/>
      </c>
      <c r="AX22" s="187" t="s">
        <v>13</v>
      </c>
      <c r="AY22" s="188"/>
      <c r="AZ22" s="188"/>
      <c r="BA22" s="184" t="s">
        <v>13</v>
      </c>
      <c r="BB22" s="187">
        <f t="shared" ca="1" si="11"/>
        <v>1</v>
      </c>
      <c r="BC22" s="188">
        <f t="shared" ca="1" si="11"/>
        <v>2</v>
      </c>
      <c r="BD22" s="188">
        <f t="shared" ca="1" si="11"/>
        <v>3</v>
      </c>
      <c r="BE22" s="189">
        <f t="shared" ca="1" si="11"/>
        <v>4</v>
      </c>
      <c r="BF22" s="199">
        <v>25</v>
      </c>
      <c r="BG22" s="200">
        <v>2</v>
      </c>
      <c r="BH22" s="200">
        <v>1</v>
      </c>
      <c r="BI22" s="199"/>
      <c r="BK22" s="192">
        <f t="shared" ref="BK22" ca="1" si="150">IF($D22="-","-",$BK$5 + (V22-StartGridX) * (GapXDiff + $BW$7))</f>
        <v>560</v>
      </c>
      <c r="BL22" s="192">
        <f t="shared" ref="BL22" ca="1" si="151">IF($D22="-","-",$BL$5 + (W22-StartGridY) * (GapYDiff + $BV$7))</f>
        <v>640</v>
      </c>
      <c r="BM22" s="192">
        <f t="shared" ca="1" si="14"/>
        <v>110</v>
      </c>
      <c r="BN22" s="192">
        <f t="shared" ca="1" si="15"/>
        <v>50</v>
      </c>
      <c r="BO22" s="192">
        <f t="shared" ca="1" si="16"/>
        <v>61</v>
      </c>
      <c r="BP22" s="192" t="str">
        <f t="shared" ca="1" si="17"/>
        <v>End</v>
      </c>
      <c r="BQ22" s="192">
        <f ca="1">IF($D22="-","-",IF(LEN(K22)=0,1,IFERROR(MATCH(K22,Dashboard!$L$25:$L$31,0),1)))</f>
        <v>1</v>
      </c>
      <c r="BS22" s="193" t="s">
        <v>184</v>
      </c>
      <c r="BT22" s="193" t="s">
        <v>185</v>
      </c>
      <c r="BU22" s="194">
        <v>71</v>
      </c>
      <c r="BV22" s="194">
        <f>Dashboard!$M$16</f>
        <v>50</v>
      </c>
      <c r="BW22" s="194">
        <f>Dashboard!$M$15</f>
        <v>110</v>
      </c>
      <c r="BX22" s="195">
        <v>1</v>
      </c>
      <c r="BY22" s="195">
        <v>2</v>
      </c>
      <c r="BZ22" s="195">
        <v>3</v>
      </c>
      <c r="CA22" s="195">
        <v>4</v>
      </c>
      <c r="CC22" s="143">
        <f t="shared" ref="CC22" ca="1" si="152">IF($D22="-","-",IF(COUNTIF(IDSourceRange,E22)&gt;1,1,0))</f>
        <v>0</v>
      </c>
      <c r="CD22" s="143">
        <f t="shared" ref="CD22" ca="1" si="153">IF($D22="-","-",  IF(LEN(M22)=0,0,IF(ISERROR(MATCH(M22,IDSourceRange,0)),1,0)) + IF(LEN(N22)=0,0,IF(ISERROR(MATCH(N22,IDSourceRange,0)),1,0)) + IF(LEN(O22)=0,0,IF(ISERROR(MATCH(O22,IDSourceRange,0)),1,0)) )</f>
        <v>0</v>
      </c>
      <c r="CE22" s="143">
        <f t="shared" ca="1" si="51"/>
        <v>0</v>
      </c>
      <c r="CF22" s="143" t="s">
        <v>128</v>
      </c>
      <c r="CG22" s="143">
        <f t="shared" ref="CG22" ca="1" si="154">IF($D22="-","-",IF(X22="-",0,IF(COUNTIF(GridCombinedRange,X22)&gt;1,1,0)))</f>
        <v>0</v>
      </c>
      <c r="CH22" s="143"/>
      <c r="CI22" s="143"/>
      <c r="CJ22" s="143"/>
      <c r="CK22" s="143"/>
      <c r="CL22" s="143"/>
    </row>
    <row r="23" spans="3:93" x14ac:dyDescent="0.3">
      <c r="C23" s="170">
        <v>17</v>
      </c>
      <c r="D23" s="111" t="str">
        <f ca="1">IF(COUNTA(OFFSET(Dashboard!$B$6,C23,0,1,COUNTA(Dashboard!$B$6:$H$6)))&gt;0,"Yes","-")</f>
        <v>-</v>
      </c>
      <c r="E23" s="221" t="str">
        <f ca="1">IF(D23="-","-",IF(LEN(INDEX(Dashboard!B$6:B$228,$C23+1))=0,"x"&amp;C23&amp;"x","x"&amp;INDEX(Dashboard!B$6:B$228,$C23+1)&amp;"x"))</f>
        <v>-</v>
      </c>
      <c r="F23" s="171" t="str">
        <f ca="1">IF(D23="-","-",IF(LEN(INDEX(Dashboard!$C$6:$C$206,C23+1))=0," ",INDEX(Dashboard!$C$6:$C$206,C23+1)))</f>
        <v>-</v>
      </c>
      <c r="G23" s="219" t="str">
        <f ca="1">IF(OR(D23="-",D23=""),"-",IF(LEN(INDEX(Dashboard!$D$6:$D$228,C23+1))=0,"", "x"&amp;SUBSTITUTE(SUBSTITUTE(INDEX(Dashboard!$D$6:$D$228,C23+1)," ",""),",","x,x")&amp;"x"))</f>
        <v>-</v>
      </c>
      <c r="H23" s="111" t="str">
        <f ca="1">IF(D23="-","-",TRIM(INDEX(Dashboard!$E$6:$E$206,C23+1)))</f>
        <v>-</v>
      </c>
      <c r="I23" s="111" t="str">
        <f ca="1">IF(D23="-","-",IF(LEN(INDEX(Dashboard!$F$6:$F$206,C23+1))=0,$BS$8,IF(ISERROR(MATCH(INDEX(Dashboard!$F$6:$F$206,C23+1),$BS$7:$BS$35,0)),$BS$8,INDEX(Dashboard!$F$6:$F$206,C23+1))))</f>
        <v>-</v>
      </c>
      <c r="J23" s="111" t="str">
        <f ca="1">IF(D23="-","-",SUBSTITUTE(INDEX(Dashboard!$G$6:$G$206,C23+1)," ",""))</f>
        <v>-</v>
      </c>
      <c r="K23" s="111" t="str">
        <f ca="1">IF(D23="-","-",IF(LEN(INDEX(Dashboard!$H$6:$H$206,C23+1))=0,"",INDEX(Dashboard!$H$6:$H$206,C23+1)))</f>
        <v>-</v>
      </c>
      <c r="M23" s="172" t="str">
        <f t="shared" ca="1" si="1"/>
        <v>-</v>
      </c>
      <c r="N23" s="172" t="str">
        <f t="shared" ca="1" si="1"/>
        <v>-</v>
      </c>
      <c r="O23" s="172" t="str">
        <f t="shared" ca="1" si="1"/>
        <v>-</v>
      </c>
      <c r="P23" s="173" t="str">
        <f t="shared" ca="1" si="2"/>
        <v>-</v>
      </c>
      <c r="Q23" s="172" t="str">
        <f t="shared" ca="1" si="2"/>
        <v>-</v>
      </c>
      <c r="R23" s="172" t="str">
        <f t="shared" ca="1" si="2"/>
        <v>-</v>
      </c>
      <c r="S23" s="174" t="str">
        <f t="array" aca="1" ref="S23" ca="1">IF($D23="-","-",SUM(IF(LEN(M23:O23)&gt;0,1,0)))</f>
        <v>-</v>
      </c>
      <c r="T23" s="175" t="str">
        <f t="array" aca="1" ref="T23" ca="1">IF(D23="-","-",SUM(IF(ISERROR(SEARCH(E23,$G$7:$G$206)),0,1)))</f>
        <v>-</v>
      </c>
      <c r="V23" s="204"/>
      <c r="W23" s="127"/>
      <c r="X23" s="177" t="str">
        <f t="shared" si="23"/>
        <v>-</v>
      </c>
      <c r="Y23" s="178"/>
      <c r="Z23" s="127"/>
      <c r="AB23" s="179" t="str">
        <f t="shared" ca="1" si="3"/>
        <v>-</v>
      </c>
      <c r="AC23" s="179" t="str">
        <f t="shared" ca="1" si="3"/>
        <v>-</v>
      </c>
      <c r="AD23" s="179" t="str">
        <f t="shared" ca="1" si="3"/>
        <v>-</v>
      </c>
      <c r="AE23" s="201" t="s">
        <v>186</v>
      </c>
      <c r="AF23" s="180" t="s">
        <v>125</v>
      </c>
      <c r="AG23" s="181" t="s">
        <v>135</v>
      </c>
      <c r="AH23" s="181" t="s">
        <v>125</v>
      </c>
      <c r="AI23" s="181" t="s">
        <v>17</v>
      </c>
      <c r="AJ23" s="181" t="str">
        <f t="shared" ca="1" si="5"/>
        <v>-</v>
      </c>
      <c r="AK23" s="179" t="str">
        <f t="shared" ca="1" si="6"/>
        <v>-</v>
      </c>
      <c r="AL23" s="179" t="str">
        <f t="shared" ca="1" si="6"/>
        <v>-</v>
      </c>
      <c r="AM23" s="179" t="str">
        <f t="shared" ca="1" si="6"/>
        <v>-</v>
      </c>
      <c r="AO23" s="182" t="str">
        <f t="shared" ca="1" si="7"/>
        <v>-</v>
      </c>
      <c r="AP23" s="182" t="str">
        <f t="shared" ca="1" si="7"/>
        <v>-</v>
      </c>
      <c r="AQ23" s="182" t="str">
        <f t="shared" ca="1" si="7"/>
        <v>-</v>
      </c>
      <c r="AU23" s="185" t="str">
        <f t="shared" ref="AU23" ca="1" si="155">IF($D23="-","-",IF(LEN(M23)=0,"", INDEX($AT$7:$AT$15,MATCH(IF($V23-INDEX(GridXRange,P23)&lt;0,"Negative",IF($V23-INDEX(GridXRange,P23)&gt;0,"Positive","Zero")) &amp; " - " &amp;IF($W23-INDEX(GridYRange,P23)&lt;0,"Negative",IF($W23-INDEX(GridYRange,P23)&gt;0,"Positive","Zero")),$AS$7:$AS$15,0))))</f>
        <v>-</v>
      </c>
      <c r="AV23" s="186" t="str">
        <f t="shared" ref="AV23" ca="1" si="156">IF($D23="-","-",IF(LEN(N23)=0,"", INDEX($AT$7:$AT$15,MATCH(IF($V23-INDEX(GridXRange,Q23)&lt;0,"Negative",IF($V23-INDEX(GridXRange,Q23)&gt;0,"Positive","Zero")) &amp; " - " &amp;IF($W23-INDEX(GridYRange,Q23)&lt;0,"Negative",IF($W23-INDEX(GridYRange,Q23)&gt;0,"Positive","Zero")),$AS$7:$AS$15,0))))</f>
        <v>-</v>
      </c>
      <c r="AW23" s="186" t="str">
        <f t="shared" ref="AW23" ca="1" si="157">IF($D23="-","-",IF(LEN(O23)=0,"", INDEX($AT$7:$AT$15,MATCH(IF($V23-INDEX(GridXRange,R23)&lt;0,"Negative",IF($V23-INDEX(GridXRange,R23)&gt;0,"Positive","Zero")) &amp; " - " &amp;IF($W23-INDEX(GridYRange,R23)&lt;0,"Negative",IF($W23-INDEX(GridYRange,R23)&gt;0,"Positive","Zero")),$AS$7:$AS$15,0))))</f>
        <v>-</v>
      </c>
      <c r="AX23" s="187"/>
      <c r="AY23" s="188"/>
      <c r="AZ23" s="188"/>
      <c r="BA23" s="184"/>
      <c r="BB23" s="187" t="str">
        <f t="shared" ca="1" si="11"/>
        <v>-</v>
      </c>
      <c r="BC23" s="188" t="str">
        <f t="shared" ca="1" si="11"/>
        <v>-</v>
      </c>
      <c r="BD23" s="188" t="str">
        <f t="shared" ca="1" si="11"/>
        <v>-</v>
      </c>
      <c r="BE23" s="189" t="str">
        <f t="shared" ca="1" si="11"/>
        <v>-</v>
      </c>
      <c r="BF23" s="199">
        <v>25</v>
      </c>
      <c r="BG23" s="200">
        <v>3</v>
      </c>
      <c r="BH23" s="200">
        <v>4</v>
      </c>
      <c r="BI23" s="199"/>
      <c r="BK23" s="192" t="str">
        <f t="shared" ref="BK23" ca="1" si="158">IF($D23="-","-",$BK$5 + (V23-StartGridX) * (GapXDiff + $BW$7))</f>
        <v>-</v>
      </c>
      <c r="BL23" s="192" t="str">
        <f t="shared" ref="BL23" ca="1" si="159">IF($D23="-","-",$BL$5 + (W23-StartGridY) * (GapYDiff + $BV$7))</f>
        <v>-</v>
      </c>
      <c r="BM23" s="192" t="str">
        <f t="shared" ca="1" si="14"/>
        <v>-</v>
      </c>
      <c r="BN23" s="192" t="str">
        <f t="shared" ca="1" si="15"/>
        <v>-</v>
      </c>
      <c r="BO23" s="192" t="str">
        <f t="shared" ca="1" si="16"/>
        <v>-</v>
      </c>
      <c r="BP23" s="192" t="str">
        <f t="shared" ca="1" si="17"/>
        <v>-</v>
      </c>
      <c r="BQ23" s="192" t="str">
        <f ca="1">IF($D23="-","-",IF(LEN(K23)=0,1,IFERROR(MATCH(K23,Dashboard!$L$25:$L$31,0),1)))</f>
        <v>-</v>
      </c>
      <c r="BS23" s="193" t="s">
        <v>187</v>
      </c>
      <c r="BT23" s="193" t="s">
        <v>188</v>
      </c>
      <c r="BU23" s="194">
        <v>72</v>
      </c>
      <c r="BV23" s="194">
        <f>Dashboard!$M$16</f>
        <v>50</v>
      </c>
      <c r="BW23" s="194">
        <f>Dashboard!$M$15</f>
        <v>110</v>
      </c>
      <c r="BX23" s="195">
        <v>1</v>
      </c>
      <c r="BY23" s="195">
        <v>2</v>
      </c>
      <c r="BZ23" s="195">
        <v>3</v>
      </c>
      <c r="CA23" s="195">
        <v>4</v>
      </c>
      <c r="CC23" s="143" t="str">
        <f t="shared" ref="CC23" ca="1" si="160">IF($D23="-","-",IF(COUNTIF(IDSourceRange,E23)&gt;1,1,0))</f>
        <v>-</v>
      </c>
      <c r="CD23" s="143" t="str">
        <f t="shared" ref="CD23" ca="1" si="161">IF($D23="-","-",  IF(LEN(M23)=0,0,IF(ISERROR(MATCH(M23,IDSourceRange,0)),1,0)) + IF(LEN(N23)=0,0,IF(ISERROR(MATCH(N23,IDSourceRange,0)),1,0)) + IF(LEN(O23)=0,0,IF(ISERROR(MATCH(O23,IDSourceRange,0)),1,0)) )</f>
        <v>-</v>
      </c>
      <c r="CE23" s="143" t="str">
        <f t="shared" ca="1" si="51"/>
        <v>-</v>
      </c>
      <c r="CF23" s="143" t="s">
        <v>128</v>
      </c>
      <c r="CG23" s="143" t="str">
        <f t="shared" ref="CG23" ca="1" si="162">IF($D23="-","-",IF(X23="-",0,IF(COUNTIF(GridCombinedRange,X23)&gt;1,1,0)))</f>
        <v>-</v>
      </c>
      <c r="CH23" s="143"/>
      <c r="CI23" s="143"/>
      <c r="CJ23" s="143"/>
      <c r="CK23" s="143"/>
      <c r="CL23" s="143"/>
    </row>
    <row r="24" spans="3:93" x14ac:dyDescent="0.3">
      <c r="C24" s="170">
        <v>18</v>
      </c>
      <c r="D24" s="111" t="str">
        <f ca="1">IF(COUNTA(OFFSET(Dashboard!$B$6,C24,0,1,COUNTA(Dashboard!$B$6:$H$6)))&gt;0,"Yes","-")</f>
        <v>-</v>
      </c>
      <c r="E24" s="170" t="str">
        <f ca="1">IF(D24="-","-",IF(LEN(INDEX(Dashboard!B$6:B$206,$C24+1))=0,"x"&amp;C24&amp;"x","x"&amp;INDEX(Dashboard!B$6:B$206,$C24+1)&amp;"x"))</f>
        <v>-</v>
      </c>
      <c r="F24" s="171" t="str">
        <f ca="1">IF(D24="-","-",IF(LEN(INDEX(Dashboard!$C$6:$C$206,C24+1))=0," ",INDEX(Dashboard!$C$6:$C$206,C24+1)))</f>
        <v>-</v>
      </c>
      <c r="G24" s="219" t="str">
        <f ca="1">IF(OR(D24="-",D24=""),"-",IF(LEN(INDEX(Dashboard!$D$6:$D$228,C24+1))=0,"", "x"&amp;SUBSTITUTE(SUBSTITUTE(INDEX(Dashboard!$D$6:$D$228,C24+1)," ",""),",","x,x")&amp;"x"))</f>
        <v>-</v>
      </c>
      <c r="H24" s="111" t="str">
        <f ca="1">IF(D24="-","-",TRIM(INDEX(Dashboard!$E$6:$E$206,C24+1)))</f>
        <v>-</v>
      </c>
      <c r="I24" s="111" t="str">
        <f ca="1">IF(D24="-","-",IF(LEN(INDEX(Dashboard!$F$6:$F$206,C24+1))=0,$BS$8,IF(ISERROR(MATCH(INDEX(Dashboard!$F$6:$F$206,C24+1),$BS$7:$BS$35,0)),$BS$8,INDEX(Dashboard!$F$6:$F$206,C24+1))))</f>
        <v>-</v>
      </c>
      <c r="J24" s="111" t="str">
        <f ca="1">IF(D24="-","-",SUBSTITUTE(INDEX(Dashboard!$G$6:$G$206,C24+1)," ",""))</f>
        <v>-</v>
      </c>
      <c r="K24" s="111" t="str">
        <f ca="1">IF(D24="-","-",IF(LEN(INDEX(Dashboard!$H$6:$H$206,C24+1))=0,"",INDEX(Dashboard!$H$6:$H$206,C24+1)))</f>
        <v>-</v>
      </c>
      <c r="M24" s="172" t="str">
        <f t="shared" ca="1" si="1"/>
        <v>-</v>
      </c>
      <c r="N24" s="172" t="str">
        <f t="shared" ca="1" si="1"/>
        <v>-</v>
      </c>
      <c r="O24" s="172" t="str">
        <f t="shared" ca="1" si="1"/>
        <v>-</v>
      </c>
      <c r="P24" s="173" t="str">
        <f t="shared" ca="1" si="2"/>
        <v>-</v>
      </c>
      <c r="Q24" s="172" t="str">
        <f t="shared" ca="1" si="2"/>
        <v>-</v>
      </c>
      <c r="R24" s="172" t="str">
        <f t="shared" ca="1" si="2"/>
        <v>-</v>
      </c>
      <c r="S24" s="174" t="str">
        <f t="array" aca="1" ref="S24" ca="1">IF($D24="-","-",SUM(IF(LEN(M24:O24)&gt;0,1,0)))</f>
        <v>-</v>
      </c>
      <c r="T24" s="175" t="str">
        <f t="array" aca="1" ref="T24" ca="1">IF(D24="-","-",SUM(IF(ISERROR(SEARCH(E24,$G$7:$G$206)),0,1)))</f>
        <v>-</v>
      </c>
      <c r="V24" s="204"/>
      <c r="W24" s="127"/>
      <c r="X24" s="177" t="str">
        <f t="shared" si="23"/>
        <v>-</v>
      </c>
      <c r="Y24" s="178"/>
      <c r="Z24" s="127"/>
      <c r="AB24" s="179" t="str">
        <f t="shared" ca="1" si="3"/>
        <v>-</v>
      </c>
      <c r="AC24" s="179" t="str">
        <f t="shared" ca="1" si="3"/>
        <v>-</v>
      </c>
      <c r="AD24" s="179" t="str">
        <f t="shared" ca="1" si="3"/>
        <v>-</v>
      </c>
      <c r="AE24" s="201" t="s">
        <v>189</v>
      </c>
      <c r="AF24" s="180" t="s">
        <v>131</v>
      </c>
      <c r="AG24" s="181" t="s">
        <v>135</v>
      </c>
      <c r="AH24" s="181" t="s">
        <v>125</v>
      </c>
      <c r="AI24" s="181" t="s">
        <v>144</v>
      </c>
      <c r="AJ24" s="181" t="str">
        <f t="shared" ca="1" si="5"/>
        <v>-</v>
      </c>
      <c r="AK24" s="179" t="str">
        <f t="shared" ca="1" si="6"/>
        <v>-</v>
      </c>
      <c r="AL24" s="179" t="str">
        <f t="shared" ca="1" si="6"/>
        <v>-</v>
      </c>
      <c r="AM24" s="179" t="str">
        <f t="shared" ca="1" si="6"/>
        <v>-</v>
      </c>
      <c r="AO24" s="182" t="str">
        <f t="shared" ca="1" si="7"/>
        <v>-</v>
      </c>
      <c r="AP24" s="182" t="str">
        <f t="shared" ca="1" si="7"/>
        <v>-</v>
      </c>
      <c r="AQ24" s="182" t="str">
        <f t="shared" ca="1" si="7"/>
        <v>-</v>
      </c>
      <c r="AU24" s="185" t="str">
        <f t="shared" ref="AU24" ca="1" si="163">IF($D24="-","-",IF(LEN(M24)=0,"", INDEX($AT$7:$AT$15,MATCH(IF($V24-INDEX(GridXRange,P24)&lt;0,"Negative",IF($V24-INDEX(GridXRange,P24)&gt;0,"Positive","Zero")) &amp; " - " &amp;IF($W24-INDEX(GridYRange,P24)&lt;0,"Negative",IF($W24-INDEX(GridYRange,P24)&gt;0,"Positive","Zero")),$AS$7:$AS$15,0))))</f>
        <v>-</v>
      </c>
      <c r="AV24" s="186" t="str">
        <f t="shared" ref="AV24" ca="1" si="164">IF($D24="-","-",IF(LEN(N24)=0,"", INDEX($AT$7:$AT$15,MATCH(IF($V24-INDEX(GridXRange,Q24)&lt;0,"Negative",IF($V24-INDEX(GridXRange,Q24)&gt;0,"Positive","Zero")) &amp; " - " &amp;IF($W24-INDEX(GridYRange,Q24)&lt;0,"Negative",IF($W24-INDEX(GridYRange,Q24)&gt;0,"Positive","Zero")),$AS$7:$AS$15,0))))</f>
        <v>-</v>
      </c>
      <c r="AW24" s="186" t="str">
        <f t="shared" ref="AW24" ca="1" si="165">IF($D24="-","-",IF(LEN(O24)=0,"", INDEX($AT$7:$AT$15,MATCH(IF($V24-INDEX(GridXRange,R24)&lt;0,"Negative",IF($V24-INDEX(GridXRange,R24)&gt;0,"Positive","Zero")) &amp; " - " &amp;IF($W24-INDEX(GridYRange,R24)&lt;0,"Negative",IF($W24-INDEX(GridYRange,R24)&gt;0,"Positive","Zero")),$AS$7:$AS$15,0))))</f>
        <v>-</v>
      </c>
      <c r="AX24" s="187"/>
      <c r="AY24" s="188"/>
      <c r="AZ24" s="188"/>
      <c r="BA24" s="184"/>
      <c r="BB24" s="187" t="str">
        <f t="shared" ca="1" si="11"/>
        <v>-</v>
      </c>
      <c r="BC24" s="188" t="str">
        <f t="shared" ca="1" si="11"/>
        <v>-</v>
      </c>
      <c r="BD24" s="188" t="str">
        <f t="shared" ca="1" si="11"/>
        <v>-</v>
      </c>
      <c r="BE24" s="189" t="str">
        <f t="shared" ca="1" si="11"/>
        <v>-</v>
      </c>
      <c r="BF24" s="202">
        <v>25</v>
      </c>
      <c r="BG24" s="203">
        <v>2</v>
      </c>
      <c r="BH24" s="203">
        <v>4</v>
      </c>
      <c r="BI24" s="202" t="s">
        <v>99</v>
      </c>
      <c r="BK24" s="192" t="str">
        <f t="shared" ref="BK24" ca="1" si="166">IF($D24="-","-",$BK$5 + (V24-StartGridX) * (GapXDiff + $BW$7))</f>
        <v>-</v>
      </c>
      <c r="BL24" s="192" t="str">
        <f t="shared" ref="BL24" ca="1" si="167">IF($D24="-","-",$BL$5 + (W24-StartGridY) * (GapYDiff + $BV$7))</f>
        <v>-</v>
      </c>
      <c r="BM24" s="192" t="str">
        <f t="shared" ca="1" si="14"/>
        <v>-</v>
      </c>
      <c r="BN24" s="192" t="str">
        <f t="shared" ca="1" si="15"/>
        <v>-</v>
      </c>
      <c r="BO24" s="192" t="str">
        <f t="shared" ca="1" si="16"/>
        <v>-</v>
      </c>
      <c r="BP24" s="192" t="str">
        <f t="shared" ca="1" si="17"/>
        <v>-</v>
      </c>
      <c r="BQ24" s="192" t="str">
        <f ca="1">IF($D24="-","-",IF(LEN(K24)=0,1,IFERROR(MATCH(K24,Dashboard!$L$25:$L$31,0),1)))</f>
        <v>-</v>
      </c>
      <c r="BS24" s="193" t="s">
        <v>190</v>
      </c>
      <c r="BT24" s="193" t="s">
        <v>191</v>
      </c>
      <c r="BU24" s="194">
        <v>82</v>
      </c>
      <c r="BV24" s="194">
        <f>Dashboard!$M$16</f>
        <v>50</v>
      </c>
      <c r="BW24" s="194">
        <f>Dashboard!$M$15</f>
        <v>110</v>
      </c>
      <c r="BX24" s="195">
        <v>1</v>
      </c>
      <c r="BY24" s="195">
        <v>2</v>
      </c>
      <c r="BZ24" s="195">
        <v>3</v>
      </c>
      <c r="CA24" s="195">
        <v>4</v>
      </c>
      <c r="CC24" s="143" t="str">
        <f t="shared" ref="CC24" ca="1" si="168">IF($D24="-","-",IF(COUNTIF(IDSourceRange,E24)&gt;1,1,0))</f>
        <v>-</v>
      </c>
      <c r="CD24" s="143" t="str">
        <f t="shared" ref="CD24" ca="1" si="169">IF($D24="-","-",  IF(LEN(M24)=0,0,IF(ISERROR(MATCH(M24,IDSourceRange,0)),1,0)) + IF(LEN(N24)=0,0,IF(ISERROR(MATCH(N24,IDSourceRange,0)),1,0)) + IF(LEN(O24)=0,0,IF(ISERROR(MATCH(O24,IDSourceRange,0)),1,0)) )</f>
        <v>-</v>
      </c>
      <c r="CE24" s="143" t="str">
        <f t="shared" ca="1" si="51"/>
        <v>-</v>
      </c>
      <c r="CF24" s="143" t="s">
        <v>128</v>
      </c>
      <c r="CG24" s="143" t="str">
        <f t="shared" ref="CG24" ca="1" si="170">IF($D24="-","-",IF(X24="-",0,IF(COUNTIF(GridCombinedRange,X24)&gt;1,1,0)))</f>
        <v>-</v>
      </c>
      <c r="CH24" s="143"/>
      <c r="CI24" s="143"/>
      <c r="CJ24" s="143"/>
      <c r="CK24" s="143"/>
      <c r="CL24" s="143"/>
    </row>
    <row r="25" spans="3:93" x14ac:dyDescent="0.3">
      <c r="C25" s="170">
        <v>19</v>
      </c>
      <c r="D25" s="111" t="str">
        <f ca="1">IF(COUNTA(OFFSET(Dashboard!$B$6,C25,0,1,COUNTA(Dashboard!$B$6:$H$6)))&gt;0,"Yes","-")</f>
        <v>-</v>
      </c>
      <c r="E25" s="170" t="str">
        <f ca="1">IF(D25="-","-",IF(LEN(INDEX(Dashboard!B$6:B$206,$C25+1))=0,"x"&amp;C25&amp;"x","x"&amp;INDEX(Dashboard!B$6:B$206,$C25+1)&amp;"x"))</f>
        <v>-</v>
      </c>
      <c r="F25" s="171" t="str">
        <f ca="1">IF(D25="-","-",IF(LEN(INDEX(Dashboard!$C$6:$C$206,C25+1))=0," ",INDEX(Dashboard!$C$6:$C$206,C25+1)))</f>
        <v>-</v>
      </c>
      <c r="G25" s="219" t="str">
        <f ca="1">IF(OR(D25="-",D25=""),"-",IF(LEN(INDEX(Dashboard!$D$6:$D$228,C25+1))=0,"", "x"&amp;SUBSTITUTE(SUBSTITUTE(INDEX(Dashboard!$D$6:$D$228,C25+1)," ",""),",","x,x")&amp;"x"))</f>
        <v>-</v>
      </c>
      <c r="H25" s="111" t="str">
        <f ca="1">IF(D25="-","-",TRIM(INDEX(Dashboard!$E$6:$E$206,C25+1)))</f>
        <v>-</v>
      </c>
      <c r="I25" s="111" t="str">
        <f ca="1">IF(D25="-","-",IF(LEN(INDEX(Dashboard!$F$6:$F$206,C25+1))=0,$BS$8,IF(ISERROR(MATCH(INDEX(Dashboard!$F$6:$F$206,C25+1),$BS$7:$BS$35,0)),$BS$8,INDEX(Dashboard!$F$6:$F$206,C25+1))))</f>
        <v>-</v>
      </c>
      <c r="J25" s="111" t="str">
        <f ca="1">IF(D25="-","-",SUBSTITUTE(INDEX(Dashboard!$G$6:$G$206,C25+1)," ",""))</f>
        <v>-</v>
      </c>
      <c r="K25" s="111" t="str">
        <f ca="1">IF(D25="-","-",IF(LEN(INDEX(Dashboard!$H$6:$H$206,C25+1))=0,"",INDEX(Dashboard!$H$6:$H$206,C25+1)))</f>
        <v>-</v>
      </c>
      <c r="M25" s="172" t="str">
        <f t="shared" ca="1" si="1"/>
        <v>-</v>
      </c>
      <c r="N25" s="172" t="str">
        <f t="shared" ca="1" si="1"/>
        <v>-</v>
      </c>
      <c r="O25" s="172" t="str">
        <f t="shared" ca="1" si="1"/>
        <v>-</v>
      </c>
      <c r="P25" s="173" t="str">
        <f t="shared" ca="1" si="2"/>
        <v>-</v>
      </c>
      <c r="Q25" s="172" t="str">
        <f t="shared" ca="1" si="2"/>
        <v>-</v>
      </c>
      <c r="R25" s="172" t="str">
        <f t="shared" ca="1" si="2"/>
        <v>-</v>
      </c>
      <c r="S25" s="174" t="str">
        <f t="array" aca="1" ref="S25" ca="1">IF($D25="-","-",SUM(IF(LEN(M25:O25)&gt;0,1,0)))</f>
        <v>-</v>
      </c>
      <c r="T25" s="175" t="str">
        <f t="array" aca="1" ref="T25" ca="1">IF(D25="-","-",SUM(IF(ISERROR(SEARCH(E25,$G$7:$G$206)),0,1)))</f>
        <v>-</v>
      </c>
      <c r="V25" s="204"/>
      <c r="W25" s="127"/>
      <c r="X25" s="177" t="str">
        <f t="shared" si="23"/>
        <v>-</v>
      </c>
      <c r="Y25" s="178"/>
      <c r="Z25" s="127"/>
      <c r="AB25" s="179" t="str">
        <f t="shared" ca="1" si="3"/>
        <v>-</v>
      </c>
      <c r="AC25" s="179" t="str">
        <f t="shared" ca="1" si="3"/>
        <v>-</v>
      </c>
      <c r="AD25" s="179" t="str">
        <f t="shared" ca="1" si="3"/>
        <v>-</v>
      </c>
      <c r="AE25" s="201" t="s">
        <v>192</v>
      </c>
      <c r="AF25" s="180" t="s">
        <v>135</v>
      </c>
      <c r="AG25" s="181" t="s">
        <v>135</v>
      </c>
      <c r="AH25" s="181" t="s">
        <v>125</v>
      </c>
      <c r="AI25" s="181" t="s">
        <v>144</v>
      </c>
      <c r="AJ25" s="181" t="str">
        <f t="shared" ca="1" si="5"/>
        <v>-</v>
      </c>
      <c r="AK25" s="179" t="str">
        <f t="shared" ca="1" si="6"/>
        <v>-</v>
      </c>
      <c r="AL25" s="179" t="str">
        <f t="shared" ca="1" si="6"/>
        <v>-</v>
      </c>
      <c r="AM25" s="179" t="str">
        <f t="shared" ca="1" si="6"/>
        <v>-</v>
      </c>
      <c r="AO25" s="182" t="str">
        <f t="shared" ca="1" si="7"/>
        <v>-</v>
      </c>
      <c r="AP25" s="182" t="str">
        <f t="shared" ca="1" si="7"/>
        <v>-</v>
      </c>
      <c r="AQ25" s="182" t="str">
        <f t="shared" ca="1" si="7"/>
        <v>-</v>
      </c>
      <c r="AU25" s="185" t="str">
        <f t="shared" ref="AU25" ca="1" si="171">IF($D25="-","-",IF(LEN(M25)=0,"", INDEX($AT$7:$AT$15,MATCH(IF($V25-INDEX(GridXRange,P25)&lt;0,"Negative",IF($V25-INDEX(GridXRange,P25)&gt;0,"Positive","Zero")) &amp; " - " &amp;IF($W25-INDEX(GridYRange,P25)&lt;0,"Negative",IF($W25-INDEX(GridYRange,P25)&gt;0,"Positive","Zero")),$AS$7:$AS$15,0))))</f>
        <v>-</v>
      </c>
      <c r="AV25" s="186" t="str">
        <f t="shared" ref="AV25" ca="1" si="172">IF($D25="-","-",IF(LEN(N25)=0,"", INDEX($AT$7:$AT$15,MATCH(IF($V25-INDEX(GridXRange,Q25)&lt;0,"Negative",IF($V25-INDEX(GridXRange,Q25)&gt;0,"Positive","Zero")) &amp; " - " &amp;IF($W25-INDEX(GridYRange,Q25)&lt;0,"Negative",IF($W25-INDEX(GridYRange,Q25)&gt;0,"Positive","Zero")),$AS$7:$AS$15,0))))</f>
        <v>-</v>
      </c>
      <c r="AW25" s="186" t="str">
        <f t="shared" ref="AW25" ca="1" si="173">IF($D25="-","-",IF(LEN(O25)=0,"", INDEX($AT$7:$AT$15,MATCH(IF($V25-INDEX(GridXRange,R25)&lt;0,"Negative",IF($V25-INDEX(GridXRange,R25)&gt;0,"Positive","Zero")) &amp; " - " &amp;IF($W25-INDEX(GridYRange,R25)&lt;0,"Negative",IF($W25-INDEX(GridYRange,R25)&gt;0,"Positive","Zero")),$AS$7:$AS$15,0))))</f>
        <v>-</v>
      </c>
      <c r="AX25" s="187"/>
      <c r="AY25" s="188"/>
      <c r="AZ25" s="188"/>
      <c r="BA25" s="184"/>
      <c r="BB25" s="187" t="str">
        <f t="shared" ca="1" si="11"/>
        <v>-</v>
      </c>
      <c r="BC25" s="188" t="str">
        <f t="shared" ca="1" si="11"/>
        <v>-</v>
      </c>
      <c r="BD25" s="188" t="str">
        <f t="shared" ca="1" si="11"/>
        <v>-</v>
      </c>
      <c r="BE25" s="189" t="str">
        <f t="shared" ca="1" si="11"/>
        <v>-</v>
      </c>
      <c r="BF25" s="190">
        <v>30</v>
      </c>
      <c r="BG25" s="191">
        <v>3</v>
      </c>
      <c r="BH25" s="191">
        <v>1</v>
      </c>
      <c r="BI25" s="190"/>
      <c r="BK25" s="192" t="str">
        <f t="shared" ref="BK25" ca="1" si="174">IF($D25="-","-",$BK$5 + (V25-StartGridX) * (GapXDiff + $BW$7))</f>
        <v>-</v>
      </c>
      <c r="BL25" s="192" t="str">
        <f t="shared" ref="BL25" ca="1" si="175">IF($D25="-","-",$BL$5 + (W25-StartGridY) * (GapYDiff + $BV$7))</f>
        <v>-</v>
      </c>
      <c r="BM25" s="192" t="str">
        <f t="shared" ca="1" si="14"/>
        <v>-</v>
      </c>
      <c r="BN25" s="192" t="str">
        <f t="shared" ca="1" si="15"/>
        <v>-</v>
      </c>
      <c r="BO25" s="192" t="str">
        <f t="shared" ca="1" si="16"/>
        <v>-</v>
      </c>
      <c r="BP25" s="192" t="str">
        <f t="shared" ca="1" si="17"/>
        <v>-</v>
      </c>
      <c r="BQ25" s="192" t="str">
        <f ca="1">IF($D25="-","-",IF(LEN(K25)=0,1,IFERROR(MATCH(K25,Dashboard!$L$25:$L$31,0),1)))</f>
        <v>-</v>
      </c>
      <c r="BS25" s="193" t="s">
        <v>193</v>
      </c>
      <c r="BT25" s="193" t="s">
        <v>194</v>
      </c>
      <c r="BU25" s="194">
        <v>68</v>
      </c>
      <c r="BV25" s="194">
        <f>Dashboard!$M$16</f>
        <v>50</v>
      </c>
      <c r="BW25" s="194">
        <f>Dashboard!$M$15</f>
        <v>110</v>
      </c>
      <c r="BX25" s="195">
        <v>1</v>
      </c>
      <c r="BY25" s="195">
        <v>2</v>
      </c>
      <c r="BZ25" s="195">
        <v>3</v>
      </c>
      <c r="CA25" s="195">
        <v>4</v>
      </c>
      <c r="CC25" s="143" t="str">
        <f t="shared" ref="CC25" ca="1" si="176">IF($D25="-","-",IF(COUNTIF(IDSourceRange,E25)&gt;1,1,0))</f>
        <v>-</v>
      </c>
      <c r="CD25" s="143" t="str">
        <f t="shared" ref="CD25" ca="1" si="177">IF($D25="-","-",  IF(LEN(M25)=0,0,IF(ISERROR(MATCH(M25,IDSourceRange,0)),1,0)) + IF(LEN(N25)=0,0,IF(ISERROR(MATCH(N25,IDSourceRange,0)),1,0)) + IF(LEN(O25)=0,0,IF(ISERROR(MATCH(O25,IDSourceRange,0)),1,0)) )</f>
        <v>-</v>
      </c>
      <c r="CE25" s="143" t="str">
        <f t="shared" ca="1" si="51"/>
        <v>-</v>
      </c>
      <c r="CF25" s="143" t="s">
        <v>128</v>
      </c>
      <c r="CG25" s="143" t="str">
        <f t="shared" ref="CG25" ca="1" si="178">IF($D25="-","-",IF(X25="-",0,IF(COUNTIF(GridCombinedRange,X25)&gt;1,1,0)))</f>
        <v>-</v>
      </c>
      <c r="CH25" s="143"/>
      <c r="CI25" s="143"/>
      <c r="CJ25" s="143"/>
      <c r="CK25" s="143"/>
      <c r="CL25" s="143"/>
    </row>
    <row r="26" spans="3:93" x14ac:dyDescent="0.3">
      <c r="C26" s="170">
        <v>20</v>
      </c>
      <c r="D26" s="111" t="str">
        <f ca="1">IF(COUNTA(OFFSET(Dashboard!$B$6,C26,0,1,COUNTA(Dashboard!$B$6:$H$6)))&gt;0,"Yes","-")</f>
        <v>-</v>
      </c>
      <c r="E26" s="170" t="str">
        <f ca="1">IF(D26="-","-",IF(LEN(INDEX(Dashboard!B$6:B$206,$C26+1))=0,"x"&amp;C26&amp;"x","x"&amp;INDEX(Dashboard!B$6:B$206,$C26+1)&amp;"x"))</f>
        <v>-</v>
      </c>
      <c r="F26" s="171" t="str">
        <f ca="1">IF(D26="-","-",IF(LEN(INDEX(Dashboard!$C$6:$C$206,C26+1))=0," ",INDEX(Dashboard!$C$6:$C$206,C26+1)))</f>
        <v>-</v>
      </c>
      <c r="G26" s="219" t="str">
        <f ca="1">IF(OR(D26="-",D26=""),"-",IF(LEN(INDEX(Dashboard!$D$6:$D$228,C26+1))=0,"", "x"&amp;SUBSTITUTE(SUBSTITUTE(INDEX(Dashboard!$D$6:$D$228,C26+1)," ",""),",","x,x")&amp;"x"))</f>
        <v>-</v>
      </c>
      <c r="H26" s="111" t="str">
        <f ca="1">IF(D26="-","-",TRIM(INDEX(Dashboard!$E$6:$E$206,C26+1)))</f>
        <v>-</v>
      </c>
      <c r="I26" s="111" t="str">
        <f ca="1">IF(D26="-","-",IF(LEN(INDEX(Dashboard!$F$6:$F$206,C26+1))=0,$BS$8,IF(ISERROR(MATCH(INDEX(Dashboard!$F$6:$F$206,C26+1),$BS$7:$BS$35,0)),$BS$8,INDEX(Dashboard!$F$6:$F$206,C26+1))))</f>
        <v>-</v>
      </c>
      <c r="J26" s="111" t="str">
        <f ca="1">IF(D26="-","-",SUBSTITUTE(INDEX(Dashboard!$G$6:$G$206,C26+1)," ",""))</f>
        <v>-</v>
      </c>
      <c r="K26" s="111" t="str">
        <f ca="1">IF(D26="-","-",IF(LEN(INDEX(Dashboard!$H$6:$H$206,C26+1))=0,"",INDEX(Dashboard!$H$6:$H$206,C26+1)))</f>
        <v>-</v>
      </c>
      <c r="M26" s="172" t="str">
        <f t="shared" ca="1" si="1"/>
        <v>-</v>
      </c>
      <c r="N26" s="172" t="str">
        <f t="shared" ca="1" si="1"/>
        <v>-</v>
      </c>
      <c r="O26" s="172" t="str">
        <f t="shared" ca="1" si="1"/>
        <v>-</v>
      </c>
      <c r="P26" s="173" t="str">
        <f t="shared" ca="1" si="2"/>
        <v>-</v>
      </c>
      <c r="Q26" s="172" t="str">
        <f t="shared" ca="1" si="2"/>
        <v>-</v>
      </c>
      <c r="R26" s="172" t="str">
        <f t="shared" ca="1" si="2"/>
        <v>-</v>
      </c>
      <c r="S26" s="174" t="str">
        <f t="array" aca="1" ref="S26" ca="1">IF($D26="-","-",SUM(IF(LEN(M26:O26)&gt;0,1,0)))</f>
        <v>-</v>
      </c>
      <c r="T26" s="175" t="str">
        <f t="array" aca="1" ref="T26" ca="1">IF(D26="-","-",SUM(IF(ISERROR(SEARCH(E26,$G$7:$G$206)),0,1)))</f>
        <v>-</v>
      </c>
      <c r="V26" s="204"/>
      <c r="W26" s="127"/>
      <c r="X26" s="177" t="str">
        <f t="shared" si="23"/>
        <v>-</v>
      </c>
      <c r="Y26" s="178"/>
      <c r="Z26" s="127"/>
      <c r="AB26" s="179" t="str">
        <f t="shared" ca="1" si="3"/>
        <v>-</v>
      </c>
      <c r="AC26" s="179" t="str">
        <f t="shared" ca="1" si="3"/>
        <v>-</v>
      </c>
      <c r="AD26" s="179" t="str">
        <f t="shared" ca="1" si="3"/>
        <v>-</v>
      </c>
      <c r="AE26" s="201" t="s">
        <v>195</v>
      </c>
      <c r="AF26" s="180" t="s">
        <v>139</v>
      </c>
      <c r="AG26" s="181" t="s">
        <v>135</v>
      </c>
      <c r="AH26" s="181" t="s">
        <v>144</v>
      </c>
      <c r="AI26" s="181" t="s">
        <v>125</v>
      </c>
      <c r="AJ26" s="181" t="str">
        <f t="shared" ca="1" si="5"/>
        <v>-</v>
      </c>
      <c r="AK26" s="179" t="str">
        <f t="shared" ca="1" si="6"/>
        <v>-</v>
      </c>
      <c r="AL26" s="179" t="str">
        <f t="shared" ca="1" si="6"/>
        <v>-</v>
      </c>
      <c r="AM26" s="179" t="str">
        <f t="shared" ca="1" si="6"/>
        <v>-</v>
      </c>
      <c r="AO26" s="182" t="str">
        <f t="shared" ca="1" si="7"/>
        <v>-</v>
      </c>
      <c r="AP26" s="182" t="str">
        <f t="shared" ca="1" si="7"/>
        <v>-</v>
      </c>
      <c r="AQ26" s="182" t="str">
        <f t="shared" ca="1" si="7"/>
        <v>-</v>
      </c>
      <c r="AU26" s="185" t="str">
        <f t="shared" ref="AU26" ca="1" si="179">IF($D26="-","-",IF(LEN(M26)=0,"", INDEX($AT$7:$AT$15,MATCH(IF($V26-INDEX(GridXRange,P26)&lt;0,"Negative",IF($V26-INDEX(GridXRange,P26)&gt;0,"Positive","Zero")) &amp; " - " &amp;IF($W26-INDEX(GridYRange,P26)&lt;0,"Negative",IF($W26-INDEX(GridYRange,P26)&gt;0,"Positive","Zero")),$AS$7:$AS$15,0))))</f>
        <v>-</v>
      </c>
      <c r="AV26" s="186" t="str">
        <f t="shared" ref="AV26" ca="1" si="180">IF($D26="-","-",IF(LEN(N26)=0,"", INDEX($AT$7:$AT$15,MATCH(IF($V26-INDEX(GridXRange,Q26)&lt;0,"Negative",IF($V26-INDEX(GridXRange,Q26)&gt;0,"Positive","Zero")) &amp; " - " &amp;IF($W26-INDEX(GridYRange,Q26)&lt;0,"Negative",IF($W26-INDEX(GridYRange,Q26)&gt;0,"Positive","Zero")),$AS$7:$AS$15,0))))</f>
        <v>-</v>
      </c>
      <c r="AW26" s="186" t="str">
        <f t="shared" ref="AW26" ca="1" si="181">IF($D26="-","-",IF(LEN(O26)=0,"", INDEX($AT$7:$AT$15,MATCH(IF($V26-INDEX(GridXRange,R26)&lt;0,"Negative",IF($V26-INDEX(GridXRange,R26)&gt;0,"Positive","Zero")) &amp; " - " &amp;IF($W26-INDEX(GridYRange,R26)&lt;0,"Negative",IF($W26-INDEX(GridYRange,R26)&gt;0,"Positive","Zero")),$AS$7:$AS$15,0))))</f>
        <v>-</v>
      </c>
      <c r="AX26" s="187"/>
      <c r="AY26" s="188"/>
      <c r="AZ26" s="188"/>
      <c r="BA26" s="184"/>
      <c r="BB26" s="187" t="str">
        <f t="shared" ca="1" si="11"/>
        <v>-</v>
      </c>
      <c r="BC26" s="188" t="str">
        <f t="shared" ca="1" si="11"/>
        <v>-</v>
      </c>
      <c r="BD26" s="188" t="str">
        <f t="shared" ca="1" si="11"/>
        <v>-</v>
      </c>
      <c r="BE26" s="189" t="str">
        <f t="shared" ca="1" si="11"/>
        <v>-</v>
      </c>
      <c r="BF26" s="199">
        <v>30</v>
      </c>
      <c r="BG26" s="200">
        <v>2</v>
      </c>
      <c r="BH26" s="200">
        <v>2</v>
      </c>
      <c r="BI26" s="199"/>
      <c r="BK26" s="192" t="str">
        <f t="shared" ref="BK26" ca="1" si="182">IF($D26="-","-",$BK$5 + (V26-StartGridX) * (GapXDiff + $BW$7))</f>
        <v>-</v>
      </c>
      <c r="BL26" s="192" t="str">
        <f t="shared" ref="BL26" ca="1" si="183">IF($D26="-","-",$BL$5 + (W26-StartGridY) * (GapYDiff + $BV$7))</f>
        <v>-</v>
      </c>
      <c r="BM26" s="192" t="str">
        <f t="shared" ca="1" si="14"/>
        <v>-</v>
      </c>
      <c r="BN26" s="192" t="str">
        <f t="shared" ca="1" si="15"/>
        <v>-</v>
      </c>
      <c r="BO26" s="192" t="str">
        <f t="shared" ca="1" si="16"/>
        <v>-</v>
      </c>
      <c r="BP26" s="192" t="str">
        <f t="shared" ca="1" si="17"/>
        <v>-</v>
      </c>
      <c r="BQ26" s="192" t="str">
        <f ca="1">IF($D26="-","-",IF(LEN(K26)=0,1,IFERROR(MATCH(K26,Dashboard!$L$25:$L$31,0),1)))</f>
        <v>-</v>
      </c>
      <c r="BS26" s="193" t="s">
        <v>196</v>
      </c>
      <c r="BT26" s="193" t="s">
        <v>197</v>
      </c>
      <c r="BU26" s="194">
        <v>139</v>
      </c>
      <c r="BV26" s="194">
        <f>Dashboard!$M$16</f>
        <v>50</v>
      </c>
      <c r="BW26" s="194">
        <f>Dashboard!$M$15</f>
        <v>110</v>
      </c>
      <c r="BX26" s="195">
        <v>4</v>
      </c>
      <c r="BY26" s="195">
        <v>3</v>
      </c>
      <c r="BZ26" s="195">
        <v>2</v>
      </c>
      <c r="CA26" s="195">
        <v>1</v>
      </c>
      <c r="CC26" s="143" t="str">
        <f t="shared" ref="CC26" ca="1" si="184">IF($D26="-","-",IF(COUNTIF(IDSourceRange,E26)&gt;1,1,0))</f>
        <v>-</v>
      </c>
      <c r="CD26" s="143" t="str">
        <f t="shared" ref="CD26" ca="1" si="185">IF($D26="-","-",  IF(LEN(M26)=0,0,IF(ISERROR(MATCH(M26,IDSourceRange,0)),1,0)) + IF(LEN(N26)=0,0,IF(ISERROR(MATCH(N26,IDSourceRange,0)),1,0)) + IF(LEN(O26)=0,0,IF(ISERROR(MATCH(O26,IDSourceRange,0)),1,0)) )</f>
        <v>-</v>
      </c>
      <c r="CE26" s="143" t="str">
        <f t="shared" ca="1" si="51"/>
        <v>-</v>
      </c>
      <c r="CF26" s="143" t="s">
        <v>128</v>
      </c>
      <c r="CG26" s="143" t="str">
        <f t="shared" ref="CG26" ca="1" si="186">IF($D26="-","-",IF(X26="-",0,IF(COUNTIF(GridCombinedRange,X26)&gt;1,1,0)))</f>
        <v>-</v>
      </c>
      <c r="CH26" s="143"/>
      <c r="CI26" s="143"/>
      <c r="CJ26" s="143"/>
      <c r="CK26" s="143"/>
      <c r="CL26" s="143"/>
    </row>
    <row r="27" spans="3:93" x14ac:dyDescent="0.3">
      <c r="C27" s="170">
        <v>21</v>
      </c>
      <c r="D27" s="111" t="str">
        <f ca="1">IF(COUNTA(OFFSET(Dashboard!$B$6,C27,0,1,COUNTA(Dashboard!$B$6:$H$6)))&gt;0,"Yes","-")</f>
        <v>-</v>
      </c>
      <c r="E27" s="170" t="str">
        <f ca="1">IF(D27="-","-",IF(LEN(INDEX(Dashboard!B$6:B$206,$C27+1))=0,"x"&amp;C27&amp;"x","x"&amp;INDEX(Dashboard!B$6:B$206,$C27+1)&amp;"x"))</f>
        <v>-</v>
      </c>
      <c r="F27" s="171" t="str">
        <f ca="1">IF(D27="-","-",IF(LEN(INDEX(Dashboard!$C$6:$C$206,C27+1))=0," ",INDEX(Dashboard!$C$6:$C$206,C27+1)))</f>
        <v>-</v>
      </c>
      <c r="G27" s="219" t="str">
        <f ca="1">IF(OR(D27="-",D27=""),"-",IF(LEN(INDEX(Dashboard!$D$6:$D$228,C27+1))=0,"", "x"&amp;SUBSTITUTE(SUBSTITUTE(INDEX(Dashboard!$D$6:$D$228,C27+1)," ",""),",","x,x")&amp;"x"))</f>
        <v>-</v>
      </c>
      <c r="H27" s="111" t="str">
        <f ca="1">IF(D27="-","-",TRIM(INDEX(Dashboard!$E$6:$E$206,C27+1)))</f>
        <v>-</v>
      </c>
      <c r="I27" s="111" t="str">
        <f ca="1">IF(D27="-","-",IF(LEN(INDEX(Dashboard!$F$6:$F$206,C27+1))=0,$BS$8,IF(ISERROR(MATCH(INDEX(Dashboard!$F$6:$F$206,C27+1),$BS$7:$BS$35,0)),$BS$8,INDEX(Dashboard!$F$6:$F$206,C27+1))))</f>
        <v>-</v>
      </c>
      <c r="J27" s="111" t="str">
        <f ca="1">IF(D27="-","-",SUBSTITUTE(INDEX(Dashboard!$G$6:$G$206,C27+1)," ",""))</f>
        <v>-</v>
      </c>
      <c r="K27" s="111" t="str">
        <f ca="1">IF(D27="-","-",IF(LEN(INDEX(Dashboard!$H$6:$H$206,C27+1))=0,"",INDEX(Dashboard!$H$6:$H$206,C27+1)))</f>
        <v>-</v>
      </c>
      <c r="M27" s="172" t="str">
        <f t="shared" ref="M27:O46" ca="1" si="187">IF($D27="-","-",TRIM(MID(SUBSTITUTE($G27,",",REPT(" ",LEN($G27))),(M$6-1)*LEN($G27)+1,LEN($G27))))</f>
        <v>-</v>
      </c>
      <c r="N27" s="172" t="str">
        <f t="shared" ca="1" si="187"/>
        <v>-</v>
      </c>
      <c r="O27" s="172" t="str">
        <f t="shared" ca="1" si="187"/>
        <v>-</v>
      </c>
      <c r="P27" s="173" t="str">
        <f t="shared" ca="1" si="2"/>
        <v>-</v>
      </c>
      <c r="Q27" s="172" t="str">
        <f t="shared" ca="1" si="2"/>
        <v>-</v>
      </c>
      <c r="R27" s="172" t="str">
        <f t="shared" ca="1" si="2"/>
        <v>-</v>
      </c>
      <c r="S27" s="174" t="str">
        <f t="array" aca="1" ref="S27" ca="1">IF($D27="-","-",SUM(IF(LEN(M27:O27)&gt;0,1,0)))</f>
        <v>-</v>
      </c>
      <c r="T27" s="175" t="str">
        <f t="array" aca="1" ref="T27" ca="1">IF(D27="-","-",SUM(IF(ISERROR(SEARCH(E27,$G$7:$G$206)),0,1)))</f>
        <v>-</v>
      </c>
      <c r="V27" s="204"/>
      <c r="W27" s="127"/>
      <c r="X27" s="177" t="str">
        <f t="shared" si="23"/>
        <v>-</v>
      </c>
      <c r="Y27" s="178"/>
      <c r="Z27" s="127"/>
      <c r="AB27" s="179" t="str">
        <f t="shared" ca="1" si="3"/>
        <v>-</v>
      </c>
      <c r="AC27" s="179" t="str">
        <f t="shared" ca="1" si="3"/>
        <v>-</v>
      </c>
      <c r="AD27" s="179" t="str">
        <f t="shared" ca="1" si="3"/>
        <v>-</v>
      </c>
      <c r="AE27" s="201" t="s">
        <v>198</v>
      </c>
      <c r="AF27" s="180" t="s">
        <v>144</v>
      </c>
      <c r="AG27" s="181" t="s">
        <v>135</v>
      </c>
      <c r="AH27" s="181" t="s">
        <v>144</v>
      </c>
      <c r="AI27" s="181" t="s">
        <v>17</v>
      </c>
      <c r="AJ27" s="181" t="str">
        <f t="shared" ca="1" si="5"/>
        <v>-</v>
      </c>
      <c r="AK27" s="179" t="str">
        <f t="shared" ca="1" si="6"/>
        <v>-</v>
      </c>
      <c r="AL27" s="179" t="str">
        <f t="shared" ca="1" si="6"/>
        <v>-</v>
      </c>
      <c r="AM27" s="179" t="str">
        <f t="shared" ca="1" si="6"/>
        <v>-</v>
      </c>
      <c r="AO27" s="182" t="str">
        <f t="shared" ca="1" si="7"/>
        <v>-</v>
      </c>
      <c r="AP27" s="182" t="str">
        <f t="shared" ca="1" si="7"/>
        <v>-</v>
      </c>
      <c r="AQ27" s="182" t="str">
        <f t="shared" ca="1" si="7"/>
        <v>-</v>
      </c>
      <c r="AU27" s="185" t="str">
        <f t="shared" ref="AU27" ca="1" si="188">IF($D27="-","-",IF(LEN(M27)=0,"", INDEX($AT$7:$AT$15,MATCH(IF($V27-INDEX(GridXRange,P27)&lt;0,"Negative",IF($V27-INDEX(GridXRange,P27)&gt;0,"Positive","Zero")) &amp; " - " &amp;IF($W27-INDEX(GridYRange,P27)&lt;0,"Negative",IF($W27-INDEX(GridYRange,P27)&gt;0,"Positive","Zero")),$AS$7:$AS$15,0))))</f>
        <v>-</v>
      </c>
      <c r="AV27" s="186" t="str">
        <f t="shared" ref="AV27" ca="1" si="189">IF($D27="-","-",IF(LEN(N27)=0,"", INDEX($AT$7:$AT$15,MATCH(IF($V27-INDEX(GridXRange,Q27)&lt;0,"Negative",IF($V27-INDEX(GridXRange,Q27)&gt;0,"Positive","Zero")) &amp; " - " &amp;IF($W27-INDEX(GridYRange,Q27)&lt;0,"Negative",IF($W27-INDEX(GridYRange,Q27)&gt;0,"Positive","Zero")),$AS$7:$AS$15,0))))</f>
        <v>-</v>
      </c>
      <c r="AW27" s="186" t="str">
        <f t="shared" ref="AW27" ca="1" si="190">IF($D27="-","-",IF(LEN(O27)=0,"", INDEX($AT$7:$AT$15,MATCH(IF($V27-INDEX(GridXRange,R27)&lt;0,"Negative",IF($V27-INDEX(GridXRange,R27)&gt;0,"Positive","Zero")) &amp; " - " &amp;IF($W27-INDEX(GridYRange,R27)&lt;0,"Negative",IF($W27-INDEX(GridYRange,R27)&gt;0,"Positive","Zero")),$AS$7:$AS$15,0))))</f>
        <v>-</v>
      </c>
      <c r="AX27" s="187"/>
      <c r="AY27" s="188"/>
      <c r="AZ27" s="188"/>
      <c r="BA27" s="184"/>
      <c r="BB27" s="187" t="str">
        <f t="shared" ref="BB27:BE46" ca="1" si="191">IF($D27="-","-",INDEX($BX$7:$CA$35,MATCH($I27,$BS$7:$BS$35,0),BB$6))</f>
        <v>-</v>
      </c>
      <c r="BC27" s="188" t="str">
        <f t="shared" ca="1" si="191"/>
        <v>-</v>
      </c>
      <c r="BD27" s="188" t="str">
        <f t="shared" ca="1" si="191"/>
        <v>-</v>
      </c>
      <c r="BE27" s="189" t="str">
        <f t="shared" ca="1" si="191"/>
        <v>-</v>
      </c>
      <c r="BF27" s="199">
        <v>30</v>
      </c>
      <c r="BG27" s="200">
        <v>4</v>
      </c>
      <c r="BH27" s="200">
        <v>4</v>
      </c>
      <c r="BI27" s="199"/>
      <c r="BK27" s="192" t="str">
        <f t="shared" ref="BK27" ca="1" si="192">IF($D27="-","-",$BK$5 + (V27-StartGridX) * (GapXDiff + $BW$7))</f>
        <v>-</v>
      </c>
      <c r="BL27" s="192" t="str">
        <f t="shared" ref="BL27" ca="1" si="193">IF($D27="-","-",$BL$5 + (W27-StartGridY) * (GapYDiff + $BV$7))</f>
        <v>-</v>
      </c>
      <c r="BM27" s="192" t="str">
        <f t="shared" ca="1" si="14"/>
        <v>-</v>
      </c>
      <c r="BN27" s="192" t="str">
        <f t="shared" ca="1" si="15"/>
        <v>-</v>
      </c>
      <c r="BO27" s="192" t="str">
        <f t="shared" ca="1" si="16"/>
        <v>-</v>
      </c>
      <c r="BP27" s="192" t="str">
        <f t="shared" ca="1" si="17"/>
        <v>-</v>
      </c>
      <c r="BQ27" s="192" t="str">
        <f ca="1">IF($D27="-","-",IF(LEN(K27)=0,1,IFERROR(MATCH(K27,Dashboard!$L$25:$L$31,0),1)))</f>
        <v>-</v>
      </c>
      <c r="BS27" s="193" t="s">
        <v>199</v>
      </c>
      <c r="BT27" s="193" t="s">
        <v>200</v>
      </c>
      <c r="BU27" s="194">
        <v>74</v>
      </c>
      <c r="BV27" s="194">
        <f>Dashboard!$M$16</f>
        <v>50</v>
      </c>
      <c r="BW27" s="194">
        <f>Dashboard!$M$15</f>
        <v>110</v>
      </c>
      <c r="BX27" s="195">
        <v>1</v>
      </c>
      <c r="BY27" s="195">
        <v>2</v>
      </c>
      <c r="BZ27" s="195">
        <v>3</v>
      </c>
      <c r="CA27" s="195">
        <v>4</v>
      </c>
      <c r="CC27" s="143" t="str">
        <f t="shared" ref="CC27" ca="1" si="194">IF($D27="-","-",IF(COUNTIF(IDSourceRange,E27)&gt;1,1,0))</f>
        <v>-</v>
      </c>
      <c r="CD27" s="143" t="str">
        <f t="shared" ref="CD27" ca="1" si="195">IF($D27="-","-",  IF(LEN(M27)=0,0,IF(ISERROR(MATCH(M27,IDSourceRange,0)),1,0)) + IF(LEN(N27)=0,0,IF(ISERROR(MATCH(N27,IDSourceRange,0)),1,0)) + IF(LEN(O27)=0,0,IF(ISERROR(MATCH(O27,IDSourceRange,0)),1,0)) )</f>
        <v>-</v>
      </c>
      <c r="CE27" s="143" t="str">
        <f t="shared" ca="1" si="51"/>
        <v>-</v>
      </c>
      <c r="CF27" s="143" t="s">
        <v>128</v>
      </c>
      <c r="CG27" s="143" t="str">
        <f t="shared" ref="CG27" ca="1" si="196">IF($D27="-","-",IF(X27="-",0,IF(COUNTIF(GridCombinedRange,X27)&gt;1,1,0)))</f>
        <v>-</v>
      </c>
      <c r="CH27" s="143"/>
      <c r="CI27" s="143"/>
      <c r="CJ27" s="143"/>
      <c r="CK27" s="143"/>
      <c r="CL27" s="143"/>
    </row>
    <row r="28" spans="3:93" x14ac:dyDescent="0.3">
      <c r="C28" s="170">
        <v>22</v>
      </c>
      <c r="D28" s="111" t="str">
        <f ca="1">IF(COUNTA(OFFSET(Dashboard!$B$6,C28,0,1,COUNTA(Dashboard!$B$6:$H$6)))&gt;0,"Yes","-")</f>
        <v>-</v>
      </c>
      <c r="E28" s="221" t="str">
        <f ca="1">IF(D28="-","-",IF(LEN(INDEX(Dashboard!B$6:B$228,$C28+1))=0,"x"&amp;C28&amp;"x","x"&amp;INDEX(Dashboard!B$6:B$228,$C28+1)&amp;"x"))</f>
        <v>-</v>
      </c>
      <c r="F28" s="171" t="str">
        <f ca="1">IF(D28="-","-",IF(LEN(INDEX(Dashboard!$C$6:$C$206,C28+1))=0," ",INDEX(Dashboard!$C$6:$C$206,C28+1)))</f>
        <v>-</v>
      </c>
      <c r="G28" s="219" t="str">
        <f ca="1">IF(OR(D28="-",D28=""),"-",IF(LEN(INDEX(Dashboard!$D$6:$D$228,C28+1))=0,"", "x"&amp;SUBSTITUTE(SUBSTITUTE(INDEX(Dashboard!$D$6:$D$228,C28+1)," ",""),",","x,x")&amp;"x"))</f>
        <v>-</v>
      </c>
      <c r="H28" s="111" t="str">
        <f ca="1">IF(D28="-","-",TRIM(INDEX(Dashboard!$E$6:$E$206,C28+1)))</f>
        <v>-</v>
      </c>
      <c r="I28" s="111" t="str">
        <f ca="1">IF(D28="-","-",IF(LEN(INDEX(Dashboard!$F$6:$F$206,C28+1))=0,$BS$8,IF(ISERROR(MATCH(INDEX(Dashboard!$F$6:$F$206,C28+1),$BS$7:$BS$35,0)),$BS$8,INDEX(Dashboard!$F$6:$F$206,C28+1))))</f>
        <v>-</v>
      </c>
      <c r="J28" s="111" t="str">
        <f ca="1">IF(D28="-","-",SUBSTITUTE(INDEX(Dashboard!$G$6:$G$206,C28+1)," ",""))</f>
        <v>-</v>
      </c>
      <c r="K28" s="111" t="str">
        <f ca="1">IF(D28="-","-",IF(LEN(INDEX(Dashboard!$H$6:$H$206,C28+1))=0,"",INDEX(Dashboard!$H$6:$H$206,C28+1)))</f>
        <v>-</v>
      </c>
      <c r="M28" s="172" t="str">
        <f t="shared" ca="1" si="187"/>
        <v>-</v>
      </c>
      <c r="N28" s="172" t="str">
        <f t="shared" ca="1" si="187"/>
        <v>-</v>
      </c>
      <c r="O28" s="172" t="str">
        <f t="shared" ca="1" si="187"/>
        <v>-</v>
      </c>
      <c r="P28" s="173" t="str">
        <f t="shared" ca="1" si="2"/>
        <v>-</v>
      </c>
      <c r="Q28" s="172" t="str">
        <f t="shared" ca="1" si="2"/>
        <v>-</v>
      </c>
      <c r="R28" s="172" t="str">
        <f t="shared" ca="1" si="2"/>
        <v>-</v>
      </c>
      <c r="S28" s="174" t="str">
        <f t="array" aca="1" ref="S28" ca="1">IF($D28="-","-",SUM(IF(LEN(M28:O28)&gt;0,1,0)))</f>
        <v>-</v>
      </c>
      <c r="T28" s="175" t="str">
        <f t="array" aca="1" ref="T28" ca="1">IF(D28="-","-",SUM(IF(ISERROR(SEARCH(E28,$G$7:$G$206)),0,1)))</f>
        <v>-</v>
      </c>
      <c r="V28" s="204"/>
      <c r="W28" s="127"/>
      <c r="X28" s="177" t="str">
        <f t="shared" si="23"/>
        <v>-</v>
      </c>
      <c r="Y28" s="178"/>
      <c r="Z28" s="127"/>
      <c r="AB28" s="179" t="str">
        <f t="shared" ca="1" si="3"/>
        <v>-</v>
      </c>
      <c r="AC28" s="179" t="str">
        <f t="shared" ca="1" si="3"/>
        <v>-</v>
      </c>
      <c r="AD28" s="179" t="str">
        <f t="shared" ca="1" si="3"/>
        <v>-</v>
      </c>
      <c r="AE28" s="201" t="s">
        <v>201</v>
      </c>
      <c r="AF28" s="180" t="s">
        <v>149</v>
      </c>
      <c r="AG28" s="181" t="s">
        <v>135</v>
      </c>
      <c r="AH28" s="181" t="s">
        <v>144</v>
      </c>
      <c r="AI28" s="181" t="s">
        <v>125</v>
      </c>
      <c r="AJ28" s="181" t="str">
        <f t="shared" ca="1" si="5"/>
        <v>-</v>
      </c>
      <c r="AK28" s="179" t="str">
        <f t="shared" ca="1" si="6"/>
        <v>-</v>
      </c>
      <c r="AL28" s="179" t="str">
        <f t="shared" ca="1" si="6"/>
        <v>-</v>
      </c>
      <c r="AM28" s="179" t="str">
        <f t="shared" ca="1" si="6"/>
        <v>-</v>
      </c>
      <c r="AO28" s="182" t="str">
        <f t="shared" ca="1" si="7"/>
        <v>-</v>
      </c>
      <c r="AP28" s="182" t="str">
        <f t="shared" ca="1" si="7"/>
        <v>-</v>
      </c>
      <c r="AQ28" s="182" t="str">
        <f t="shared" ca="1" si="7"/>
        <v>-</v>
      </c>
      <c r="AU28" s="185" t="str">
        <f t="shared" ref="AU28" ca="1" si="197">IF($D28="-","-",IF(LEN(M28)=0,"", INDEX($AT$7:$AT$15,MATCH(IF($V28-INDEX(GridXRange,P28)&lt;0,"Negative",IF($V28-INDEX(GridXRange,P28)&gt;0,"Positive","Zero")) &amp; " - " &amp;IF($W28-INDEX(GridYRange,P28)&lt;0,"Negative",IF($W28-INDEX(GridYRange,P28)&gt;0,"Positive","Zero")),$AS$7:$AS$15,0))))</f>
        <v>-</v>
      </c>
      <c r="AV28" s="186" t="str">
        <f t="shared" ref="AV28" ca="1" si="198">IF($D28="-","-",IF(LEN(N28)=0,"", INDEX($AT$7:$AT$15,MATCH(IF($V28-INDEX(GridXRange,Q28)&lt;0,"Negative",IF($V28-INDEX(GridXRange,Q28)&gt;0,"Positive","Zero")) &amp; " - " &amp;IF($W28-INDEX(GridYRange,Q28)&lt;0,"Negative",IF($W28-INDEX(GridYRange,Q28)&gt;0,"Positive","Zero")),$AS$7:$AS$15,0))))</f>
        <v>-</v>
      </c>
      <c r="AW28" s="186" t="str">
        <f t="shared" ref="AW28" ca="1" si="199">IF($D28="-","-",IF(LEN(O28)=0,"", INDEX($AT$7:$AT$15,MATCH(IF($V28-INDEX(GridXRange,R28)&lt;0,"Negative",IF($V28-INDEX(GridXRange,R28)&gt;0,"Positive","Zero")) &amp; " - " &amp;IF($W28-INDEX(GridYRange,R28)&lt;0,"Negative",IF($W28-INDEX(GridYRange,R28)&gt;0,"Positive","Zero")),$AS$7:$AS$15,0))))</f>
        <v>-</v>
      </c>
      <c r="AX28" s="187"/>
      <c r="AY28" s="188"/>
      <c r="AZ28" s="188"/>
      <c r="BA28" s="184"/>
      <c r="BB28" s="187" t="str">
        <f t="shared" ca="1" si="191"/>
        <v>-</v>
      </c>
      <c r="BC28" s="188" t="str">
        <f t="shared" ca="1" si="191"/>
        <v>-</v>
      </c>
      <c r="BD28" s="188" t="str">
        <f t="shared" ca="1" si="191"/>
        <v>-</v>
      </c>
      <c r="BE28" s="189" t="str">
        <f t="shared" ca="1" si="191"/>
        <v>-</v>
      </c>
      <c r="BF28" s="202">
        <v>30</v>
      </c>
      <c r="BG28" s="203">
        <v>2</v>
      </c>
      <c r="BH28" s="203">
        <v>2</v>
      </c>
      <c r="BI28" s="202" t="s">
        <v>99</v>
      </c>
      <c r="BK28" s="192" t="str">
        <f t="shared" ref="BK28" ca="1" si="200">IF($D28="-","-",$BK$5 + (V28-StartGridX) * (GapXDiff + $BW$7))</f>
        <v>-</v>
      </c>
      <c r="BL28" s="192" t="str">
        <f t="shared" ref="BL28" ca="1" si="201">IF($D28="-","-",$BL$5 + (W28-StartGridY) * (GapYDiff + $BV$7))</f>
        <v>-</v>
      </c>
      <c r="BM28" s="192" t="str">
        <f t="shared" ca="1" si="14"/>
        <v>-</v>
      </c>
      <c r="BN28" s="192" t="str">
        <f t="shared" ca="1" si="15"/>
        <v>-</v>
      </c>
      <c r="BO28" s="192" t="str">
        <f t="shared" ca="1" si="16"/>
        <v>-</v>
      </c>
      <c r="BP28" s="192" t="str">
        <f t="shared" ca="1" si="17"/>
        <v>-</v>
      </c>
      <c r="BQ28" s="192" t="str">
        <f ca="1">IF($D28="-","-",IF(LEN(K28)=0,1,IFERROR(MATCH(K28,Dashboard!$L$25:$L$31,0),1)))</f>
        <v>-</v>
      </c>
      <c r="BS28" s="193" t="s">
        <v>202</v>
      </c>
      <c r="BT28" s="193" t="s">
        <v>203</v>
      </c>
      <c r="BU28" s="194">
        <v>78</v>
      </c>
      <c r="BV28" s="194">
        <f>Dashboard!$M$16</f>
        <v>50</v>
      </c>
      <c r="BW28" s="194">
        <f>Dashboard!$M$15</f>
        <v>110</v>
      </c>
      <c r="BX28" s="195">
        <v>1</v>
      </c>
      <c r="BY28" s="195">
        <v>3</v>
      </c>
      <c r="BZ28" s="195">
        <v>5</v>
      </c>
      <c r="CA28" s="195">
        <v>7</v>
      </c>
      <c r="CC28" s="143" t="str">
        <f t="shared" ref="CC28" ca="1" si="202">IF($D28="-","-",IF(COUNTIF(IDSourceRange,E28)&gt;1,1,0))</f>
        <v>-</v>
      </c>
      <c r="CD28" s="143" t="str">
        <f t="shared" ref="CD28" ca="1" si="203">IF($D28="-","-",  IF(LEN(M28)=0,0,IF(ISERROR(MATCH(M28,IDSourceRange,0)),1,0)) + IF(LEN(N28)=0,0,IF(ISERROR(MATCH(N28,IDSourceRange,0)),1,0)) + IF(LEN(O28)=0,0,IF(ISERROR(MATCH(O28,IDSourceRange,0)),1,0)) )</f>
        <v>-</v>
      </c>
      <c r="CE28" s="143" t="str">
        <f t="shared" ca="1" si="51"/>
        <v>-</v>
      </c>
      <c r="CF28" s="143" t="s">
        <v>128</v>
      </c>
      <c r="CG28" s="143" t="str">
        <f t="shared" ref="CG28" ca="1" si="204">IF($D28="-","-",IF(X28="-",0,IF(COUNTIF(GridCombinedRange,X28)&gt;1,1,0)))</f>
        <v>-</v>
      </c>
      <c r="CH28" s="143"/>
      <c r="CI28" s="143"/>
      <c r="CJ28" s="143"/>
      <c r="CK28" s="143"/>
      <c r="CL28" s="143"/>
    </row>
    <row r="29" spans="3:93" x14ac:dyDescent="0.3">
      <c r="C29" s="170">
        <v>23</v>
      </c>
      <c r="D29" s="111" t="str">
        <f ca="1">IF(COUNTA(OFFSET(Dashboard!$B$6,C29,0,1,COUNTA(Dashboard!$B$6:$H$6)))&gt;0,"Yes","-")</f>
        <v>-</v>
      </c>
      <c r="E29" s="170" t="str">
        <f ca="1">IF(D29="-","-",IF(LEN(INDEX(Dashboard!B$6:B$206,$C29+1))=0,"x"&amp;C29&amp;"x","x"&amp;INDEX(Dashboard!B$6:B$206,$C29+1)&amp;"x"))</f>
        <v>-</v>
      </c>
      <c r="F29" s="171" t="str">
        <f ca="1">IF(D29="-","-",IF(LEN(INDEX(Dashboard!$C$6:$C$206,C29+1))=0," ",INDEX(Dashboard!$C$6:$C$206,C29+1)))</f>
        <v>-</v>
      </c>
      <c r="G29" s="219" t="str">
        <f ca="1">IF(OR(D29="-",D29=""),"-",IF(LEN(INDEX(Dashboard!$D$6:$D$228,C29+1))=0,"", "x"&amp;SUBSTITUTE(SUBSTITUTE(INDEX(Dashboard!$D$6:$D$228,C29+1)," ",""),",","x,x")&amp;"x"))</f>
        <v>-</v>
      </c>
      <c r="H29" s="111" t="str">
        <f ca="1">IF(D29="-","-",TRIM(INDEX(Dashboard!$E$6:$E$206,C29+1)))</f>
        <v>-</v>
      </c>
      <c r="I29" s="111" t="str">
        <f ca="1">IF(D29="-","-",IF(LEN(INDEX(Dashboard!$F$6:$F$206,C29+1))=0,$BS$8,IF(ISERROR(MATCH(INDEX(Dashboard!$F$6:$F$206,C29+1),$BS$7:$BS$35,0)),$BS$8,INDEX(Dashboard!$F$6:$F$206,C29+1))))</f>
        <v>-</v>
      </c>
      <c r="J29" s="111" t="str">
        <f ca="1">IF(D29="-","-",SUBSTITUTE(INDEX(Dashboard!$G$6:$G$206,C29+1)," ",""))</f>
        <v>-</v>
      </c>
      <c r="K29" s="111" t="str">
        <f ca="1">IF(D29="-","-",IF(LEN(INDEX(Dashboard!$H$6:$H$206,C29+1))=0,"",INDEX(Dashboard!$H$6:$H$206,C29+1)))</f>
        <v>-</v>
      </c>
      <c r="M29" s="172" t="str">
        <f t="shared" ca="1" si="187"/>
        <v>-</v>
      </c>
      <c r="N29" s="172" t="str">
        <f t="shared" ca="1" si="187"/>
        <v>-</v>
      </c>
      <c r="O29" s="172" t="str">
        <f t="shared" ca="1" si="187"/>
        <v>-</v>
      </c>
      <c r="P29" s="173" t="str">
        <f t="shared" ca="1" si="2"/>
        <v>-</v>
      </c>
      <c r="Q29" s="172" t="str">
        <f t="shared" ca="1" si="2"/>
        <v>-</v>
      </c>
      <c r="R29" s="172" t="str">
        <f t="shared" ca="1" si="2"/>
        <v>-</v>
      </c>
      <c r="S29" s="174" t="str">
        <f t="array" aca="1" ref="S29" ca="1">IF($D29="-","-",SUM(IF(LEN(M29:O29)&gt;0,1,0)))</f>
        <v>-</v>
      </c>
      <c r="T29" s="175" t="str">
        <f t="array" aca="1" ref="T29" ca="1">IF(D29="-","-",SUM(IF(ISERROR(SEARCH(E29,$G$7:$G$206)),0,1)))</f>
        <v>-</v>
      </c>
      <c r="V29" s="204"/>
      <c r="W29" s="127"/>
      <c r="X29" s="177" t="str">
        <f t="shared" si="23"/>
        <v>-</v>
      </c>
      <c r="Y29" s="178"/>
      <c r="Z29" s="127"/>
      <c r="AB29" s="179" t="str">
        <f t="shared" ca="1" si="3"/>
        <v>-</v>
      </c>
      <c r="AC29" s="179" t="str">
        <f t="shared" ca="1" si="3"/>
        <v>-</v>
      </c>
      <c r="AD29" s="179" t="str">
        <f t="shared" ca="1" si="3"/>
        <v>-</v>
      </c>
      <c r="AE29" s="201" t="s">
        <v>204</v>
      </c>
      <c r="AF29" s="180" t="s">
        <v>17</v>
      </c>
      <c r="AG29" s="181" t="s">
        <v>17</v>
      </c>
      <c r="AH29" s="181" t="s">
        <v>125</v>
      </c>
      <c r="AI29" s="181" t="s">
        <v>144</v>
      </c>
      <c r="AJ29" s="181" t="str">
        <f t="shared" ca="1" si="5"/>
        <v>-</v>
      </c>
      <c r="AK29" s="179" t="str">
        <f t="shared" ca="1" si="6"/>
        <v>-</v>
      </c>
      <c r="AL29" s="179" t="str">
        <f t="shared" ca="1" si="6"/>
        <v>-</v>
      </c>
      <c r="AM29" s="179" t="str">
        <f t="shared" ca="1" si="6"/>
        <v>-</v>
      </c>
      <c r="AO29" s="182" t="str">
        <f t="shared" ca="1" si="7"/>
        <v>-</v>
      </c>
      <c r="AP29" s="182" t="str">
        <f t="shared" ca="1" si="7"/>
        <v>-</v>
      </c>
      <c r="AQ29" s="182" t="str">
        <f t="shared" ca="1" si="7"/>
        <v>-</v>
      </c>
      <c r="AU29" s="185" t="str">
        <f t="shared" ref="AU29" ca="1" si="205">IF($D29="-","-",IF(LEN(M29)=0,"", INDEX($AT$7:$AT$15,MATCH(IF($V29-INDEX(GridXRange,P29)&lt;0,"Negative",IF($V29-INDEX(GridXRange,P29)&gt;0,"Positive","Zero")) &amp; " - " &amp;IF($W29-INDEX(GridYRange,P29)&lt;0,"Negative",IF($W29-INDEX(GridYRange,P29)&gt;0,"Positive","Zero")),$AS$7:$AS$15,0))))</f>
        <v>-</v>
      </c>
      <c r="AV29" s="186" t="str">
        <f t="shared" ref="AV29" ca="1" si="206">IF($D29="-","-",IF(LEN(N29)=0,"", INDEX($AT$7:$AT$15,MATCH(IF($V29-INDEX(GridXRange,Q29)&lt;0,"Negative",IF($V29-INDEX(GridXRange,Q29)&gt;0,"Positive","Zero")) &amp; " - " &amp;IF($W29-INDEX(GridYRange,Q29)&lt;0,"Negative",IF($W29-INDEX(GridYRange,Q29)&gt;0,"Positive","Zero")),$AS$7:$AS$15,0))))</f>
        <v>-</v>
      </c>
      <c r="AW29" s="186" t="str">
        <f t="shared" ref="AW29" ca="1" si="207">IF($D29="-","-",IF(LEN(O29)=0,"", INDEX($AT$7:$AT$15,MATCH(IF($V29-INDEX(GridXRange,R29)&lt;0,"Negative",IF($V29-INDEX(GridXRange,R29)&gt;0,"Positive","Zero")) &amp; " - " &amp;IF($W29-INDEX(GridYRange,R29)&lt;0,"Negative",IF($W29-INDEX(GridYRange,R29)&gt;0,"Positive","Zero")),$AS$7:$AS$15,0))))</f>
        <v>-</v>
      </c>
      <c r="AX29" s="187"/>
      <c r="AY29" s="188"/>
      <c r="AZ29" s="188"/>
      <c r="BA29" s="184"/>
      <c r="BB29" s="187" t="str">
        <f t="shared" ca="1" si="191"/>
        <v>-</v>
      </c>
      <c r="BC29" s="188" t="str">
        <f t="shared" ca="1" si="191"/>
        <v>-</v>
      </c>
      <c r="BD29" s="188" t="str">
        <f t="shared" ca="1" si="191"/>
        <v>-</v>
      </c>
      <c r="BE29" s="189" t="str">
        <f t="shared" ca="1" si="191"/>
        <v>-</v>
      </c>
      <c r="BF29" s="190">
        <v>35</v>
      </c>
      <c r="BG29" s="191">
        <v>4</v>
      </c>
      <c r="BH29" s="191">
        <v>2</v>
      </c>
      <c r="BI29" s="190"/>
      <c r="BK29" s="192" t="str">
        <f t="shared" ref="BK29" ca="1" si="208">IF($D29="-","-",$BK$5 + (V29-StartGridX) * (GapXDiff + $BW$7))</f>
        <v>-</v>
      </c>
      <c r="BL29" s="192" t="str">
        <f t="shared" ref="BL29" ca="1" si="209">IF($D29="-","-",$BL$5 + (W29-StartGridY) * (GapYDiff + $BV$7))</f>
        <v>-</v>
      </c>
      <c r="BM29" s="192" t="str">
        <f t="shared" ca="1" si="14"/>
        <v>-</v>
      </c>
      <c r="BN29" s="192" t="str">
        <f t="shared" ca="1" si="15"/>
        <v>-</v>
      </c>
      <c r="BO29" s="192" t="str">
        <f t="shared" ca="1" si="16"/>
        <v>-</v>
      </c>
      <c r="BP29" s="192" t="str">
        <f t="shared" ca="1" si="17"/>
        <v>-</v>
      </c>
      <c r="BQ29" s="192" t="str">
        <f ca="1">IF($D29="-","-",IF(LEN(K29)=0,1,IFERROR(MATCH(K29,Dashboard!$L$25:$L$31,0),1)))</f>
        <v>-</v>
      </c>
      <c r="BS29" s="193" t="s">
        <v>205</v>
      </c>
      <c r="BT29" s="193" t="s">
        <v>206</v>
      </c>
      <c r="BU29" s="194">
        <v>70</v>
      </c>
      <c r="BV29" s="194">
        <f>Dashboard!$M$16</f>
        <v>50</v>
      </c>
      <c r="BW29" s="194">
        <f>Dashboard!$M$15</f>
        <v>110</v>
      </c>
      <c r="BX29" s="195">
        <v>1</v>
      </c>
      <c r="BY29" s="195">
        <v>2</v>
      </c>
      <c r="BZ29" s="195">
        <v>3</v>
      </c>
      <c r="CA29" s="195">
        <v>4</v>
      </c>
      <c r="CC29" s="143" t="str">
        <f t="shared" ref="CC29" ca="1" si="210">IF($D29="-","-",IF(COUNTIF(IDSourceRange,E29)&gt;1,1,0))</f>
        <v>-</v>
      </c>
      <c r="CD29" s="143" t="str">
        <f t="shared" ref="CD29" ca="1" si="211">IF($D29="-","-",  IF(LEN(M29)=0,0,IF(ISERROR(MATCH(M29,IDSourceRange,0)),1,0)) + IF(LEN(N29)=0,0,IF(ISERROR(MATCH(N29,IDSourceRange,0)),1,0)) + IF(LEN(O29)=0,0,IF(ISERROR(MATCH(O29,IDSourceRange,0)),1,0)) )</f>
        <v>-</v>
      </c>
      <c r="CE29" s="143" t="str">
        <f t="shared" ca="1" si="51"/>
        <v>-</v>
      </c>
      <c r="CF29" s="143" t="s">
        <v>128</v>
      </c>
      <c r="CG29" s="143" t="str">
        <f t="shared" ref="CG29" ca="1" si="212">IF($D29="-","-",IF(X29="-",0,IF(COUNTIF(GridCombinedRange,X29)&gt;1,1,0)))</f>
        <v>-</v>
      </c>
      <c r="CH29" s="143"/>
      <c r="CI29" s="143"/>
      <c r="CJ29" s="143"/>
      <c r="CK29" s="143"/>
      <c r="CL29" s="143"/>
    </row>
    <row r="30" spans="3:93" x14ac:dyDescent="0.3">
      <c r="C30" s="170">
        <v>24</v>
      </c>
      <c r="D30" s="111" t="str">
        <f ca="1">IF(COUNTA(OFFSET(Dashboard!$B$6,C30,0,1,COUNTA(Dashboard!$B$6:$H$6)))&gt;0,"Yes","-")</f>
        <v>-</v>
      </c>
      <c r="E30" s="170" t="str">
        <f ca="1">IF(D30="-","-",IF(LEN(INDEX(Dashboard!B$6:B$206,$C30+1))=0,"x"&amp;C30&amp;"x","x"&amp;INDEX(Dashboard!B$6:B$206,$C30+1)&amp;"x"))</f>
        <v>-</v>
      </c>
      <c r="F30" s="171" t="str">
        <f ca="1">IF(D30="-","-",IF(LEN(INDEX(Dashboard!$C$6:$C$206,C30+1))=0," ",INDEX(Dashboard!$C$6:$C$206,C30+1)))</f>
        <v>-</v>
      </c>
      <c r="G30" s="219" t="str">
        <f ca="1">IF(OR(D30="-",D30=""),"-",IF(LEN(INDEX(Dashboard!$D$6:$D$228,C30+1))=0,"", "x"&amp;SUBSTITUTE(SUBSTITUTE(INDEX(Dashboard!$D$6:$D$228,C30+1)," ",""),",","x,x")&amp;"x"))</f>
        <v>-</v>
      </c>
      <c r="H30" s="111" t="str">
        <f ca="1">IF(D30="-","-",TRIM(INDEX(Dashboard!$E$6:$E$206,C30+1)))</f>
        <v>-</v>
      </c>
      <c r="I30" s="111" t="str">
        <f ca="1">IF(D30="-","-",IF(LEN(INDEX(Dashboard!$F$6:$F$206,C30+1))=0,$BS$8,IF(ISERROR(MATCH(INDEX(Dashboard!$F$6:$F$206,C30+1),$BS$7:$BS$35,0)),$BS$8,INDEX(Dashboard!$F$6:$F$206,C30+1))))</f>
        <v>-</v>
      </c>
      <c r="J30" s="111" t="str">
        <f ca="1">IF(D30="-","-",SUBSTITUTE(INDEX(Dashboard!$G$6:$G$206,C30+1)," ",""))</f>
        <v>-</v>
      </c>
      <c r="K30" s="111" t="str">
        <f ca="1">IF(D30="-","-",IF(LEN(INDEX(Dashboard!$H$6:$H$206,C30+1))=0,"",INDEX(Dashboard!$H$6:$H$206,C30+1)))</f>
        <v>-</v>
      </c>
      <c r="M30" s="172" t="str">
        <f t="shared" ca="1" si="187"/>
        <v>-</v>
      </c>
      <c r="N30" s="172" t="str">
        <f t="shared" ca="1" si="187"/>
        <v>-</v>
      </c>
      <c r="O30" s="172" t="str">
        <f t="shared" ca="1" si="187"/>
        <v>-</v>
      </c>
      <c r="P30" s="173" t="str">
        <f t="shared" ca="1" si="2"/>
        <v>-</v>
      </c>
      <c r="Q30" s="172" t="str">
        <f t="shared" ca="1" si="2"/>
        <v>-</v>
      </c>
      <c r="R30" s="172" t="str">
        <f t="shared" ca="1" si="2"/>
        <v>-</v>
      </c>
      <c r="S30" s="174" t="str">
        <f t="array" aca="1" ref="S30" ca="1">IF($D30="-","-",SUM(IF(LEN(M30:O30)&gt;0,1,0)))</f>
        <v>-</v>
      </c>
      <c r="T30" s="175" t="str">
        <f t="array" aca="1" ref="T30" ca="1">IF(D30="-","-",SUM(IF(ISERROR(SEARCH(E30,$G$7:$G$206)),0,1)))</f>
        <v>-</v>
      </c>
      <c r="V30" s="204"/>
      <c r="W30" s="127"/>
      <c r="X30" s="177" t="str">
        <f t="shared" si="23"/>
        <v>-</v>
      </c>
      <c r="Y30" s="178"/>
      <c r="Z30" s="127"/>
      <c r="AB30" s="179" t="str">
        <f t="shared" ca="1" si="3"/>
        <v>-</v>
      </c>
      <c r="AC30" s="179" t="str">
        <f t="shared" ca="1" si="3"/>
        <v>-</v>
      </c>
      <c r="AD30" s="179" t="str">
        <f t="shared" ca="1" si="3"/>
        <v>-</v>
      </c>
      <c r="AE30" s="207" t="s">
        <v>207</v>
      </c>
      <c r="AF30" s="180" t="s">
        <v>21</v>
      </c>
      <c r="AG30" s="181" t="s">
        <v>135</v>
      </c>
      <c r="AH30" s="181" t="s">
        <v>125</v>
      </c>
      <c r="AI30" s="181" t="s">
        <v>144</v>
      </c>
      <c r="AJ30" s="181" t="str">
        <f t="shared" ca="1" si="5"/>
        <v>-</v>
      </c>
      <c r="AK30" s="179" t="str">
        <f t="shared" ca="1" si="6"/>
        <v>-</v>
      </c>
      <c r="AL30" s="179" t="str">
        <f t="shared" ca="1" si="6"/>
        <v>-</v>
      </c>
      <c r="AM30" s="179" t="str">
        <f t="shared" ca="1" si="6"/>
        <v>-</v>
      </c>
      <c r="AO30" s="182" t="str">
        <f t="shared" ca="1" si="7"/>
        <v>-</v>
      </c>
      <c r="AP30" s="182" t="str">
        <f t="shared" ca="1" si="7"/>
        <v>-</v>
      </c>
      <c r="AQ30" s="182" t="str">
        <f t="shared" ca="1" si="7"/>
        <v>-</v>
      </c>
      <c r="AU30" s="185" t="str">
        <f t="shared" ref="AU30" ca="1" si="213">IF($D30="-","-",IF(LEN(M30)=0,"", INDEX($AT$7:$AT$15,MATCH(IF($V30-INDEX(GridXRange,P30)&lt;0,"Negative",IF($V30-INDEX(GridXRange,P30)&gt;0,"Positive","Zero")) &amp; " - " &amp;IF($W30-INDEX(GridYRange,P30)&lt;0,"Negative",IF($W30-INDEX(GridYRange,P30)&gt;0,"Positive","Zero")),$AS$7:$AS$15,0))))</f>
        <v>-</v>
      </c>
      <c r="AV30" s="186" t="str">
        <f t="shared" ref="AV30" ca="1" si="214">IF($D30="-","-",IF(LEN(N30)=0,"", INDEX($AT$7:$AT$15,MATCH(IF($V30-INDEX(GridXRange,Q30)&lt;0,"Negative",IF($V30-INDEX(GridXRange,Q30)&gt;0,"Positive","Zero")) &amp; " - " &amp;IF($W30-INDEX(GridYRange,Q30)&lt;0,"Negative",IF($W30-INDEX(GridYRange,Q30)&gt;0,"Positive","Zero")),$AS$7:$AS$15,0))))</f>
        <v>-</v>
      </c>
      <c r="AW30" s="186" t="str">
        <f t="shared" ref="AW30" ca="1" si="215">IF($D30="-","-",IF(LEN(O30)=0,"", INDEX($AT$7:$AT$15,MATCH(IF($V30-INDEX(GridXRange,R30)&lt;0,"Negative",IF($V30-INDEX(GridXRange,R30)&gt;0,"Positive","Zero")) &amp; " - " &amp;IF($W30-INDEX(GridYRange,R30)&lt;0,"Negative",IF($W30-INDEX(GridYRange,R30)&gt;0,"Positive","Zero")),$AS$7:$AS$15,0))))</f>
        <v>-</v>
      </c>
      <c r="AX30" s="187"/>
      <c r="AY30" s="188"/>
      <c r="AZ30" s="188"/>
      <c r="BA30" s="184"/>
      <c r="BB30" s="187" t="str">
        <f t="shared" ca="1" si="191"/>
        <v>-</v>
      </c>
      <c r="BC30" s="188" t="str">
        <f t="shared" ca="1" si="191"/>
        <v>-</v>
      </c>
      <c r="BD30" s="188" t="str">
        <f t="shared" ca="1" si="191"/>
        <v>-</v>
      </c>
      <c r="BE30" s="189" t="str">
        <f t="shared" ca="1" si="191"/>
        <v>-</v>
      </c>
      <c r="BF30" s="199">
        <v>35</v>
      </c>
      <c r="BG30" s="200">
        <v>3</v>
      </c>
      <c r="BH30" s="200">
        <v>1</v>
      </c>
      <c r="BI30" s="199"/>
      <c r="BK30" s="192" t="str">
        <f t="shared" ref="BK30" ca="1" si="216">IF($D30="-","-",$BK$5 + (V30-StartGridX) * (GapXDiff + $BW$7))</f>
        <v>-</v>
      </c>
      <c r="BL30" s="192" t="str">
        <f t="shared" ref="BL30" ca="1" si="217">IF($D30="-","-",$BL$5 + (W30-StartGridY) * (GapYDiff + $BV$7))</f>
        <v>-</v>
      </c>
      <c r="BM30" s="192" t="str">
        <f t="shared" ca="1" si="14"/>
        <v>-</v>
      </c>
      <c r="BN30" s="192" t="str">
        <f t="shared" ca="1" si="15"/>
        <v>-</v>
      </c>
      <c r="BO30" s="192" t="str">
        <f t="shared" ca="1" si="16"/>
        <v>-</v>
      </c>
      <c r="BP30" s="192" t="str">
        <f t="shared" ca="1" si="17"/>
        <v>-</v>
      </c>
      <c r="BQ30" s="192" t="str">
        <f ca="1">IF($D30="-","-",IF(LEN(K30)=0,1,IFERROR(MATCH(K30,Dashboard!$L$25:$L$31,0),1)))</f>
        <v>-</v>
      </c>
      <c r="BS30" s="193" t="s">
        <v>208</v>
      </c>
      <c r="BT30" s="193" t="s">
        <v>209</v>
      </c>
      <c r="BU30" s="194">
        <v>76</v>
      </c>
      <c r="BV30" s="194">
        <f>Dashboard!$M$16</f>
        <v>50</v>
      </c>
      <c r="BW30" s="194">
        <f>Dashboard!$M$15</f>
        <v>110</v>
      </c>
      <c r="BX30" s="195">
        <v>1</v>
      </c>
      <c r="BY30" s="195">
        <v>2</v>
      </c>
      <c r="BZ30" s="195">
        <v>3</v>
      </c>
      <c r="CA30" s="195">
        <v>4</v>
      </c>
      <c r="CC30" s="143" t="str">
        <f t="shared" ref="CC30" ca="1" si="218">IF($D30="-","-",IF(COUNTIF(IDSourceRange,E30)&gt;1,1,0))</f>
        <v>-</v>
      </c>
      <c r="CD30" s="143" t="str">
        <f t="shared" ref="CD30" ca="1" si="219">IF($D30="-","-",  IF(LEN(M30)=0,0,IF(ISERROR(MATCH(M30,IDSourceRange,0)),1,0)) + IF(LEN(N30)=0,0,IF(ISERROR(MATCH(N30,IDSourceRange,0)),1,0)) + IF(LEN(O30)=0,0,IF(ISERROR(MATCH(O30,IDSourceRange,0)),1,0)) )</f>
        <v>-</v>
      </c>
      <c r="CE30" s="143" t="str">
        <f t="shared" ca="1" si="51"/>
        <v>-</v>
      </c>
      <c r="CF30" s="143" t="s">
        <v>128</v>
      </c>
      <c r="CG30" s="143" t="str">
        <f t="shared" ref="CG30" ca="1" si="220">IF($D30="-","-",IF(X30="-",0,IF(COUNTIF(GridCombinedRange,X30)&gt;1,1,0)))</f>
        <v>-</v>
      </c>
      <c r="CH30" s="143"/>
      <c r="CI30" s="143"/>
      <c r="CJ30" s="143"/>
      <c r="CK30" s="143"/>
      <c r="CL30" s="143"/>
    </row>
    <row r="31" spans="3:93" x14ac:dyDescent="0.3">
      <c r="C31" s="170">
        <v>25</v>
      </c>
      <c r="D31" s="111" t="str">
        <f ca="1">IF(COUNTA(OFFSET(Dashboard!$B$6,C31,0,1,COUNTA(Dashboard!$B$6:$H$6)))&gt;0,"Yes","-")</f>
        <v>-</v>
      </c>
      <c r="E31" s="170" t="str">
        <f ca="1">IF(D31="-","-",IF(LEN(INDEX(Dashboard!B$6:B$206,$C31+1))=0,"x"&amp;C31&amp;"x","x"&amp;INDEX(Dashboard!B$6:B$206,$C31+1)&amp;"x"))</f>
        <v>-</v>
      </c>
      <c r="F31" s="171" t="str">
        <f ca="1">IF(D31="-","-",IF(LEN(INDEX(Dashboard!$C$6:$C$206,C31+1))=0," ",INDEX(Dashboard!$C$6:$C$206,C31+1)))</f>
        <v>-</v>
      </c>
      <c r="G31" s="219" t="str">
        <f ca="1">IF(OR(D31="-",D31=""),"-",IF(LEN(INDEX(Dashboard!$D$6:$D$228,C31+1))=0,"", "x"&amp;SUBSTITUTE(SUBSTITUTE(INDEX(Dashboard!$D$6:$D$228,C31+1)," ",""),",","x,x")&amp;"x"))</f>
        <v>-</v>
      </c>
      <c r="H31" s="111" t="str">
        <f ca="1">IF(D31="-","-",TRIM(INDEX(Dashboard!$E$6:$E$206,C31+1)))</f>
        <v>-</v>
      </c>
      <c r="I31" s="111" t="str">
        <f ca="1">IF(D31="-","-",IF(LEN(INDEX(Dashboard!$F$6:$F$206,C31+1))=0,$BS$8,IF(ISERROR(MATCH(INDEX(Dashboard!$F$6:$F$206,C31+1),$BS$7:$BS$35,0)),$BS$8,INDEX(Dashboard!$F$6:$F$206,C31+1))))</f>
        <v>-</v>
      </c>
      <c r="J31" s="111" t="str">
        <f ca="1">IF(D31="-","-",SUBSTITUTE(INDEX(Dashboard!$G$6:$G$206,C31+1)," ",""))</f>
        <v>-</v>
      </c>
      <c r="K31" s="111" t="str">
        <f ca="1">IF(D31="-","-",IF(LEN(INDEX(Dashboard!$H$6:$H$206,C31+1))=0,"",INDEX(Dashboard!$H$6:$H$206,C31+1)))</f>
        <v>-</v>
      </c>
      <c r="M31" s="172" t="str">
        <f t="shared" ca="1" si="187"/>
        <v>-</v>
      </c>
      <c r="N31" s="172" t="str">
        <f t="shared" ca="1" si="187"/>
        <v>-</v>
      </c>
      <c r="O31" s="172" t="str">
        <f t="shared" ca="1" si="187"/>
        <v>-</v>
      </c>
      <c r="P31" s="173" t="str">
        <f t="shared" ca="1" si="2"/>
        <v>-</v>
      </c>
      <c r="Q31" s="172" t="str">
        <f t="shared" ca="1" si="2"/>
        <v>-</v>
      </c>
      <c r="R31" s="172" t="str">
        <f t="shared" ca="1" si="2"/>
        <v>-</v>
      </c>
      <c r="S31" s="174" t="str">
        <f t="array" aca="1" ref="S31" ca="1">IF($D31="-","-",SUM(IF(LEN(M31:O31)&gt;0,1,0)))</f>
        <v>-</v>
      </c>
      <c r="T31" s="175" t="str">
        <f t="array" aca="1" ref="T31" ca="1">IF(D31="-","-",SUM(IF(ISERROR(SEARCH(E31,$G$7:$G$206)),0,1)))</f>
        <v>-</v>
      </c>
      <c r="V31" s="204"/>
      <c r="W31" s="127"/>
      <c r="X31" s="177" t="str">
        <f t="shared" si="23"/>
        <v>-</v>
      </c>
      <c r="Y31" s="178"/>
      <c r="Z31" s="127"/>
      <c r="AB31" s="179" t="str">
        <f t="shared" ca="1" si="3"/>
        <v>-</v>
      </c>
      <c r="AC31" s="179" t="str">
        <f t="shared" ca="1" si="3"/>
        <v>-</v>
      </c>
      <c r="AD31" s="179" t="str">
        <f t="shared" ca="1" si="3"/>
        <v>-</v>
      </c>
      <c r="AJ31" s="181" t="str">
        <f t="shared" ca="1" si="5"/>
        <v>-</v>
      </c>
      <c r="AK31" s="179" t="str">
        <f t="shared" ca="1" si="6"/>
        <v>-</v>
      </c>
      <c r="AL31" s="179" t="str">
        <f t="shared" ca="1" si="6"/>
        <v>-</v>
      </c>
      <c r="AM31" s="179" t="str">
        <f t="shared" ca="1" si="6"/>
        <v>-</v>
      </c>
      <c r="AO31" s="182" t="str">
        <f t="shared" ca="1" si="7"/>
        <v>-</v>
      </c>
      <c r="AP31" s="182" t="str">
        <f t="shared" ca="1" si="7"/>
        <v>-</v>
      </c>
      <c r="AQ31" s="182" t="str">
        <f t="shared" ca="1" si="7"/>
        <v>-</v>
      </c>
      <c r="AU31" s="185" t="str">
        <f t="shared" ref="AU31" ca="1" si="221">IF($D31="-","-",IF(LEN(M31)=0,"", INDEX($AT$7:$AT$15,MATCH(IF($V31-INDEX(GridXRange,P31)&lt;0,"Negative",IF($V31-INDEX(GridXRange,P31)&gt;0,"Positive","Zero")) &amp; " - " &amp;IF($W31-INDEX(GridYRange,P31)&lt;0,"Negative",IF($W31-INDEX(GridYRange,P31)&gt;0,"Positive","Zero")),$AS$7:$AS$15,0))))</f>
        <v>-</v>
      </c>
      <c r="AV31" s="186" t="str">
        <f t="shared" ref="AV31" ca="1" si="222">IF($D31="-","-",IF(LEN(N31)=0,"", INDEX($AT$7:$AT$15,MATCH(IF($V31-INDEX(GridXRange,Q31)&lt;0,"Negative",IF($V31-INDEX(GridXRange,Q31)&gt;0,"Positive","Zero")) &amp; " - " &amp;IF($W31-INDEX(GridYRange,Q31)&lt;0,"Negative",IF($W31-INDEX(GridYRange,Q31)&gt;0,"Positive","Zero")),$AS$7:$AS$15,0))))</f>
        <v>-</v>
      </c>
      <c r="AW31" s="186" t="str">
        <f t="shared" ref="AW31" ca="1" si="223">IF($D31="-","-",IF(LEN(O31)=0,"", INDEX($AT$7:$AT$15,MATCH(IF($V31-INDEX(GridXRange,R31)&lt;0,"Negative",IF($V31-INDEX(GridXRange,R31)&gt;0,"Positive","Zero")) &amp; " - " &amp;IF($W31-INDEX(GridYRange,R31)&lt;0,"Negative",IF($W31-INDEX(GridYRange,R31)&gt;0,"Positive","Zero")),$AS$7:$AS$15,0))))</f>
        <v>-</v>
      </c>
      <c r="AX31" s="187"/>
      <c r="AY31" s="188"/>
      <c r="AZ31" s="188"/>
      <c r="BA31" s="184"/>
      <c r="BB31" s="187" t="str">
        <f t="shared" ca="1" si="191"/>
        <v>-</v>
      </c>
      <c r="BC31" s="188" t="str">
        <f t="shared" ca="1" si="191"/>
        <v>-</v>
      </c>
      <c r="BD31" s="188" t="str">
        <f t="shared" ca="1" si="191"/>
        <v>-</v>
      </c>
      <c r="BE31" s="189" t="str">
        <f t="shared" ca="1" si="191"/>
        <v>-</v>
      </c>
      <c r="BF31" s="199">
        <v>35</v>
      </c>
      <c r="BG31" s="200">
        <v>4</v>
      </c>
      <c r="BH31" s="200">
        <v>1</v>
      </c>
      <c r="BI31" s="199"/>
      <c r="BK31" s="192" t="str">
        <f t="shared" ref="BK31" ca="1" si="224">IF($D31="-","-",$BK$5 + (V31-StartGridX) * (GapXDiff + $BW$7))</f>
        <v>-</v>
      </c>
      <c r="BL31" s="192" t="str">
        <f t="shared" ref="BL31" ca="1" si="225">IF($D31="-","-",$BL$5 + (W31-StartGridY) * (GapYDiff + $BV$7))</f>
        <v>-</v>
      </c>
      <c r="BM31" s="192" t="str">
        <f t="shared" ca="1" si="14"/>
        <v>-</v>
      </c>
      <c r="BN31" s="192" t="str">
        <f t="shared" ca="1" si="15"/>
        <v>-</v>
      </c>
      <c r="BO31" s="192" t="str">
        <f t="shared" ca="1" si="16"/>
        <v>-</v>
      </c>
      <c r="BP31" s="192" t="str">
        <f t="shared" ca="1" si="17"/>
        <v>-</v>
      </c>
      <c r="BQ31" s="192" t="str">
        <f ca="1">IF($D31="-","-",IF(LEN(K31)=0,1,IFERROR(MATCH(K31,Dashboard!$L$25:$L$31,0),1)))</f>
        <v>-</v>
      </c>
      <c r="BS31" s="193" t="s">
        <v>210</v>
      </c>
      <c r="BT31" s="193" t="s">
        <v>211</v>
      </c>
      <c r="BU31" s="194">
        <v>85</v>
      </c>
      <c r="BV31" s="194">
        <f>Dashboard!$M$16</f>
        <v>50</v>
      </c>
      <c r="BW31" s="194">
        <f>Dashboard!$M$15</f>
        <v>110</v>
      </c>
      <c r="BX31" s="195">
        <v>1</v>
      </c>
      <c r="BY31" s="195">
        <v>2</v>
      </c>
      <c r="BZ31" s="195">
        <v>3</v>
      </c>
      <c r="CA31" s="195">
        <v>4</v>
      </c>
      <c r="CC31" s="143" t="str">
        <f t="shared" ref="CC31" ca="1" si="226">IF($D31="-","-",IF(COUNTIF(IDSourceRange,E31)&gt;1,1,0))</f>
        <v>-</v>
      </c>
      <c r="CD31" s="143" t="str">
        <f t="shared" ref="CD31" ca="1" si="227">IF($D31="-","-",  IF(LEN(M31)=0,0,IF(ISERROR(MATCH(M31,IDSourceRange,0)),1,0)) + IF(LEN(N31)=0,0,IF(ISERROR(MATCH(N31,IDSourceRange,0)),1,0)) + IF(LEN(O31)=0,0,IF(ISERROR(MATCH(O31,IDSourceRange,0)),1,0)) )</f>
        <v>-</v>
      </c>
      <c r="CE31" s="143" t="str">
        <f t="shared" ca="1" si="51"/>
        <v>-</v>
      </c>
      <c r="CF31" s="143" t="s">
        <v>128</v>
      </c>
      <c r="CG31" s="143" t="str">
        <f t="shared" ref="CG31" ca="1" si="228">IF($D31="-","-",IF(X31="-",0,IF(COUNTIF(GridCombinedRange,X31)&gt;1,1,0)))</f>
        <v>-</v>
      </c>
      <c r="CH31" s="143"/>
      <c r="CI31" s="143"/>
      <c r="CJ31" s="143"/>
      <c r="CK31" s="143"/>
      <c r="CL31" s="143"/>
    </row>
    <row r="32" spans="3:93" x14ac:dyDescent="0.3">
      <c r="C32" s="170">
        <v>26</v>
      </c>
      <c r="D32" s="111" t="str">
        <f ca="1">IF(COUNTA(OFFSET(Dashboard!$B$6,C32,0,1,COUNTA(Dashboard!$B$6:$H$6)))&gt;0,"Yes","-")</f>
        <v>-</v>
      </c>
      <c r="E32" s="170" t="str">
        <f ca="1">IF(D32="-","-",IF(LEN(INDEX(Dashboard!B$6:B$206,$C32+1))=0,"x"&amp;C32&amp;"x","x"&amp;INDEX(Dashboard!B$6:B$206,$C32+1)&amp;"x"))</f>
        <v>-</v>
      </c>
      <c r="F32" s="171" t="str">
        <f ca="1">IF(D32="-","-",IF(LEN(INDEX(Dashboard!$C$6:$C$206,C32+1))=0," ",INDEX(Dashboard!$C$6:$C$206,C32+1)))</f>
        <v>-</v>
      </c>
      <c r="G32" s="219" t="str">
        <f ca="1">IF(OR(D32="-",D32=""),"-",IF(LEN(INDEX(Dashboard!$D$6:$D$228,C32+1))=0,"", "x"&amp;SUBSTITUTE(SUBSTITUTE(INDEX(Dashboard!$D$6:$D$228,C32+1)," ",""),",","x,x")&amp;"x"))</f>
        <v>-</v>
      </c>
      <c r="H32" s="111" t="str">
        <f ca="1">IF(D32="-","-",TRIM(INDEX(Dashboard!$E$6:$E$206,C32+1)))</f>
        <v>-</v>
      </c>
      <c r="I32" s="111" t="str">
        <f ca="1">IF(D32="-","-",IF(LEN(INDEX(Dashboard!$F$6:$F$206,C32+1))=0,$BS$8,IF(ISERROR(MATCH(INDEX(Dashboard!$F$6:$F$206,C32+1),$BS$7:$BS$35,0)),$BS$8,INDEX(Dashboard!$F$6:$F$206,C32+1))))</f>
        <v>-</v>
      </c>
      <c r="J32" s="111" t="str">
        <f ca="1">IF(D32="-","-",SUBSTITUTE(INDEX(Dashboard!$G$6:$G$206,C32+1)," ",""))</f>
        <v>-</v>
      </c>
      <c r="K32" s="111" t="str">
        <f ca="1">IF(D32="-","-",IF(LEN(INDEX(Dashboard!$H$6:$H$206,C32+1))=0,"",INDEX(Dashboard!$H$6:$H$206,C32+1)))</f>
        <v>-</v>
      </c>
      <c r="M32" s="172" t="str">
        <f t="shared" ca="1" si="187"/>
        <v>-</v>
      </c>
      <c r="N32" s="172" t="str">
        <f t="shared" ca="1" si="187"/>
        <v>-</v>
      </c>
      <c r="O32" s="172" t="str">
        <f t="shared" ca="1" si="187"/>
        <v>-</v>
      </c>
      <c r="P32" s="173" t="str">
        <f t="shared" ca="1" si="2"/>
        <v>-</v>
      </c>
      <c r="Q32" s="172" t="str">
        <f t="shared" ca="1" si="2"/>
        <v>-</v>
      </c>
      <c r="R32" s="172" t="str">
        <f t="shared" ca="1" si="2"/>
        <v>-</v>
      </c>
      <c r="S32" s="174" t="str">
        <f t="array" aca="1" ref="S32" ca="1">IF($D32="-","-",SUM(IF(LEN(M32:O32)&gt;0,1,0)))</f>
        <v>-</v>
      </c>
      <c r="T32" s="175" t="str">
        <f t="array" aca="1" ref="T32" ca="1">IF(D32="-","-",SUM(IF(ISERROR(SEARCH(E32,$G$7:$G$206)),0,1)))</f>
        <v>-</v>
      </c>
      <c r="V32" s="204"/>
      <c r="W32" s="127"/>
      <c r="X32" s="177" t="str">
        <f t="shared" si="23"/>
        <v>-</v>
      </c>
      <c r="Y32" s="178"/>
      <c r="Z32" s="127"/>
      <c r="AB32" s="179" t="str">
        <f t="shared" ca="1" si="3"/>
        <v>-</v>
      </c>
      <c r="AC32" s="179" t="str">
        <f t="shared" ca="1" si="3"/>
        <v>-</v>
      </c>
      <c r="AD32" s="179" t="str">
        <f t="shared" ca="1" si="3"/>
        <v>-</v>
      </c>
      <c r="AE32" s="198" t="s">
        <v>212</v>
      </c>
      <c r="AF32" s="209" t="s">
        <v>213</v>
      </c>
      <c r="AG32" s="210"/>
      <c r="AH32" s="210"/>
      <c r="AI32" s="211"/>
      <c r="AJ32" s="181" t="str">
        <f t="shared" ca="1" si="5"/>
        <v>-</v>
      </c>
      <c r="AK32" s="179" t="str">
        <f t="shared" ca="1" si="6"/>
        <v>-</v>
      </c>
      <c r="AL32" s="179" t="str">
        <f t="shared" ca="1" si="6"/>
        <v>-</v>
      </c>
      <c r="AM32" s="179" t="str">
        <f t="shared" ca="1" si="6"/>
        <v>-</v>
      </c>
      <c r="AO32" s="182" t="str">
        <f t="shared" ca="1" si="7"/>
        <v>-</v>
      </c>
      <c r="AP32" s="182" t="str">
        <f t="shared" ca="1" si="7"/>
        <v>-</v>
      </c>
      <c r="AQ32" s="182" t="str">
        <f t="shared" ca="1" si="7"/>
        <v>-</v>
      </c>
      <c r="AU32" s="185" t="str">
        <f t="shared" ref="AU32" ca="1" si="229">IF($D32="-","-",IF(LEN(M32)=0,"", INDEX($AT$7:$AT$15,MATCH(IF($V32-INDEX(GridXRange,P32)&lt;0,"Negative",IF($V32-INDEX(GridXRange,P32)&gt;0,"Positive","Zero")) &amp; " - " &amp;IF($W32-INDEX(GridYRange,P32)&lt;0,"Negative",IF($W32-INDEX(GridYRange,P32)&gt;0,"Positive","Zero")),$AS$7:$AS$15,0))))</f>
        <v>-</v>
      </c>
      <c r="AV32" s="186" t="str">
        <f t="shared" ref="AV32" ca="1" si="230">IF($D32="-","-",IF(LEN(N32)=0,"", INDEX($AT$7:$AT$15,MATCH(IF($V32-INDEX(GridXRange,Q32)&lt;0,"Negative",IF($V32-INDEX(GridXRange,Q32)&gt;0,"Positive","Zero")) &amp; " - " &amp;IF($W32-INDEX(GridYRange,Q32)&lt;0,"Negative",IF($W32-INDEX(GridYRange,Q32)&gt;0,"Positive","Zero")),$AS$7:$AS$15,0))))</f>
        <v>-</v>
      </c>
      <c r="AW32" s="186" t="str">
        <f t="shared" ref="AW32" ca="1" si="231">IF($D32="-","-",IF(LEN(O32)=0,"", INDEX($AT$7:$AT$15,MATCH(IF($V32-INDEX(GridXRange,R32)&lt;0,"Negative",IF($V32-INDEX(GridXRange,R32)&gt;0,"Positive","Zero")) &amp; " - " &amp;IF($W32-INDEX(GridYRange,R32)&lt;0,"Negative",IF($W32-INDEX(GridYRange,R32)&gt;0,"Positive","Zero")),$AS$7:$AS$15,0))))</f>
        <v>-</v>
      </c>
      <c r="AX32" s="187"/>
      <c r="AY32" s="188"/>
      <c r="AZ32" s="188"/>
      <c r="BA32" s="184"/>
      <c r="BB32" s="187" t="str">
        <f t="shared" ca="1" si="191"/>
        <v>-</v>
      </c>
      <c r="BC32" s="188" t="str">
        <f t="shared" ca="1" si="191"/>
        <v>-</v>
      </c>
      <c r="BD32" s="188" t="str">
        <f t="shared" ca="1" si="191"/>
        <v>-</v>
      </c>
      <c r="BE32" s="189" t="str">
        <f t="shared" ca="1" si="191"/>
        <v>-</v>
      </c>
      <c r="BF32" s="199">
        <v>35</v>
      </c>
      <c r="BG32" s="200">
        <v>3</v>
      </c>
      <c r="BH32" s="200">
        <v>2</v>
      </c>
      <c r="BI32" s="199"/>
      <c r="BK32" s="192" t="str">
        <f t="shared" ref="BK32" ca="1" si="232">IF($D32="-","-",$BK$5 + (V32-StartGridX) * (GapXDiff + $BW$7))</f>
        <v>-</v>
      </c>
      <c r="BL32" s="192" t="str">
        <f t="shared" ref="BL32" ca="1" si="233">IF($D32="-","-",$BL$5 + (W32-StartGridY) * (GapYDiff + $BV$7))</f>
        <v>-</v>
      </c>
      <c r="BM32" s="192" t="str">
        <f t="shared" ca="1" si="14"/>
        <v>-</v>
      </c>
      <c r="BN32" s="192" t="str">
        <f t="shared" ca="1" si="15"/>
        <v>-</v>
      </c>
      <c r="BO32" s="192" t="str">
        <f t="shared" ca="1" si="16"/>
        <v>-</v>
      </c>
      <c r="BP32" s="192" t="str">
        <f t="shared" ca="1" si="17"/>
        <v>-</v>
      </c>
      <c r="BQ32" s="192" t="str">
        <f ca="1">IF($D32="-","-",IF(LEN(K32)=0,1,IFERROR(MATCH(K32,Dashboard!$L$25:$L$31,0),1)))</f>
        <v>-</v>
      </c>
      <c r="BS32" s="193" t="s">
        <v>214</v>
      </c>
      <c r="BT32" s="193" t="s">
        <v>215</v>
      </c>
      <c r="BU32" s="194">
        <v>80</v>
      </c>
      <c r="BV32" s="194">
        <f>Dashboard!$M$16</f>
        <v>50</v>
      </c>
      <c r="BW32" s="194">
        <f>Dashboard!$M$15</f>
        <v>110</v>
      </c>
      <c r="BX32" s="195">
        <v>1</v>
      </c>
      <c r="BY32" s="195">
        <v>2</v>
      </c>
      <c r="BZ32" s="195">
        <v>3</v>
      </c>
      <c r="CA32" s="195">
        <v>4</v>
      </c>
      <c r="CC32" s="143" t="str">
        <f t="shared" ref="CC32" ca="1" si="234">IF($D32="-","-",IF(COUNTIF(IDSourceRange,E32)&gt;1,1,0))</f>
        <v>-</v>
      </c>
      <c r="CD32" s="143" t="str">
        <f t="shared" ref="CD32" ca="1" si="235">IF($D32="-","-",  IF(LEN(M32)=0,0,IF(ISERROR(MATCH(M32,IDSourceRange,0)),1,0)) + IF(LEN(N32)=0,0,IF(ISERROR(MATCH(N32,IDSourceRange,0)),1,0)) + IF(LEN(O32)=0,0,IF(ISERROR(MATCH(O32,IDSourceRange,0)),1,0)) )</f>
        <v>-</v>
      </c>
      <c r="CE32" s="143" t="str">
        <f t="shared" ca="1" si="51"/>
        <v>-</v>
      </c>
      <c r="CF32" s="143" t="s">
        <v>128</v>
      </c>
      <c r="CG32" s="143" t="str">
        <f t="shared" ref="CG32" ca="1" si="236">IF($D32="-","-",IF(X32="-",0,IF(COUNTIF(GridCombinedRange,X32)&gt;1,1,0)))</f>
        <v>-</v>
      </c>
      <c r="CH32" s="143"/>
      <c r="CI32" s="143"/>
      <c r="CJ32" s="143"/>
      <c r="CK32" s="143"/>
      <c r="CL32" s="143"/>
    </row>
    <row r="33" spans="3:90" x14ac:dyDescent="0.3">
      <c r="C33" s="170">
        <v>27</v>
      </c>
      <c r="D33" s="111" t="str">
        <f ca="1">IF(COUNTA(OFFSET(Dashboard!$B$6,C33,0,1,COUNTA(Dashboard!$B$6:$H$6)))&gt;0,"Yes","-")</f>
        <v>-</v>
      </c>
      <c r="E33" s="170" t="str">
        <f ca="1">IF(D33="-","-",IF(LEN(INDEX(Dashboard!B$6:B$206,$C33+1))=0,"x"&amp;C33&amp;"x","x"&amp;INDEX(Dashboard!B$6:B$206,$C33+1)&amp;"x"))</f>
        <v>-</v>
      </c>
      <c r="F33" s="171" t="str">
        <f ca="1">IF(D33="-","-",IF(LEN(INDEX(Dashboard!$C$6:$C$206,C33+1))=0," ",INDEX(Dashboard!$C$6:$C$206,C33+1)))</f>
        <v>-</v>
      </c>
      <c r="G33" s="219" t="str">
        <f ca="1">IF(OR(D33="-",D33=""),"-",IF(LEN(INDEX(Dashboard!$D$6:$D$228,C33+1))=0,"", "x"&amp;SUBSTITUTE(SUBSTITUTE(INDEX(Dashboard!$D$6:$D$228,C33+1)," ",""),",","x,x")&amp;"x"))</f>
        <v>-</v>
      </c>
      <c r="H33" s="111" t="str">
        <f ca="1">IF(D33="-","-",TRIM(INDEX(Dashboard!$E$6:$E$206,C33+1)))</f>
        <v>-</v>
      </c>
      <c r="I33" s="111" t="str">
        <f ca="1">IF(D33="-","-",IF(LEN(INDEX(Dashboard!$F$6:$F$206,C33+1))=0,$BS$8,IF(ISERROR(MATCH(INDEX(Dashboard!$F$6:$F$206,C33+1),$BS$7:$BS$35,0)),$BS$8,INDEX(Dashboard!$F$6:$F$206,C33+1))))</f>
        <v>-</v>
      </c>
      <c r="J33" s="111" t="str">
        <f ca="1">IF(D33="-","-",SUBSTITUTE(INDEX(Dashboard!$G$6:$G$206,C33+1)," ",""))</f>
        <v>-</v>
      </c>
      <c r="K33" s="111" t="str">
        <f ca="1">IF(D33="-","-",IF(LEN(INDEX(Dashboard!$H$6:$H$206,C33+1))=0,"",INDEX(Dashboard!$H$6:$H$206,C33+1)))</f>
        <v>-</v>
      </c>
      <c r="M33" s="172" t="str">
        <f t="shared" ca="1" si="187"/>
        <v>-</v>
      </c>
      <c r="N33" s="172" t="str">
        <f t="shared" ca="1" si="187"/>
        <v>-</v>
      </c>
      <c r="O33" s="172" t="str">
        <f t="shared" ca="1" si="187"/>
        <v>-</v>
      </c>
      <c r="P33" s="173" t="str">
        <f t="shared" ca="1" si="2"/>
        <v>-</v>
      </c>
      <c r="Q33" s="172" t="str">
        <f t="shared" ca="1" si="2"/>
        <v>-</v>
      </c>
      <c r="R33" s="172" t="str">
        <f t="shared" ca="1" si="2"/>
        <v>-</v>
      </c>
      <c r="S33" s="174" t="str">
        <f t="array" aca="1" ref="S33" ca="1">IF($D33="-","-",SUM(IF(LEN(M33:O33)&gt;0,1,0)))</f>
        <v>-</v>
      </c>
      <c r="T33" s="175" t="str">
        <f t="array" aca="1" ref="T33" ca="1">IF(D33="-","-",SUM(IF(ISERROR(SEARCH(E33,$G$7:$G$206)),0,1)))</f>
        <v>-</v>
      </c>
      <c r="V33" s="204"/>
      <c r="W33" s="127"/>
      <c r="X33" s="177" t="str">
        <f t="shared" si="23"/>
        <v>-</v>
      </c>
      <c r="Y33" s="178"/>
      <c r="Z33" s="127"/>
      <c r="AB33" s="179" t="str">
        <f t="shared" ca="1" si="3"/>
        <v>-</v>
      </c>
      <c r="AC33" s="179" t="str">
        <f t="shared" ca="1" si="3"/>
        <v>-</v>
      </c>
      <c r="AD33" s="179" t="str">
        <f t="shared" ca="1" si="3"/>
        <v>-</v>
      </c>
      <c r="AE33" s="212" t="s">
        <v>216</v>
      </c>
      <c r="AF33" s="180" t="s">
        <v>125</v>
      </c>
      <c r="AG33" s="181" t="s">
        <v>125</v>
      </c>
      <c r="AH33" s="181" t="s">
        <v>135</v>
      </c>
      <c r="AI33" s="181" t="s">
        <v>17</v>
      </c>
      <c r="AJ33" s="181" t="str">
        <f t="shared" ca="1" si="5"/>
        <v>-</v>
      </c>
      <c r="AK33" s="179" t="str">
        <f t="shared" ca="1" si="6"/>
        <v>-</v>
      </c>
      <c r="AL33" s="179" t="str">
        <f t="shared" ca="1" si="6"/>
        <v>-</v>
      </c>
      <c r="AM33" s="179" t="str">
        <f t="shared" ca="1" si="6"/>
        <v>-</v>
      </c>
      <c r="AO33" s="182" t="str">
        <f t="shared" ca="1" si="7"/>
        <v>-</v>
      </c>
      <c r="AP33" s="182" t="str">
        <f t="shared" ca="1" si="7"/>
        <v>-</v>
      </c>
      <c r="AQ33" s="182" t="str">
        <f t="shared" ca="1" si="7"/>
        <v>-</v>
      </c>
      <c r="AU33" s="185" t="str">
        <f t="shared" ref="AU33" ca="1" si="237">IF($D33="-","-",IF(LEN(M33)=0,"", INDEX($AT$7:$AT$15,MATCH(IF($V33-INDEX(GridXRange,P33)&lt;0,"Negative",IF($V33-INDEX(GridXRange,P33)&gt;0,"Positive","Zero")) &amp; " - " &amp;IF($W33-INDEX(GridYRange,P33)&lt;0,"Negative",IF($W33-INDEX(GridYRange,P33)&gt;0,"Positive","Zero")),$AS$7:$AS$15,0))))</f>
        <v>-</v>
      </c>
      <c r="AV33" s="186" t="str">
        <f t="shared" ref="AV33" ca="1" si="238">IF($D33="-","-",IF(LEN(N33)=0,"", INDEX($AT$7:$AT$15,MATCH(IF($V33-INDEX(GridXRange,Q33)&lt;0,"Negative",IF($V33-INDEX(GridXRange,Q33)&gt;0,"Positive","Zero")) &amp; " - " &amp;IF($W33-INDEX(GridYRange,Q33)&lt;0,"Negative",IF($W33-INDEX(GridYRange,Q33)&gt;0,"Positive","Zero")),$AS$7:$AS$15,0))))</f>
        <v>-</v>
      </c>
      <c r="AW33" s="186" t="str">
        <f t="shared" ref="AW33" ca="1" si="239">IF($D33="-","-",IF(LEN(O33)=0,"", INDEX($AT$7:$AT$15,MATCH(IF($V33-INDEX(GridXRange,R33)&lt;0,"Negative",IF($V33-INDEX(GridXRange,R33)&gt;0,"Positive","Zero")) &amp; " - " &amp;IF($W33-INDEX(GridYRange,R33)&lt;0,"Negative",IF($W33-INDEX(GridYRange,R33)&gt;0,"Positive","Zero")),$AS$7:$AS$15,0))))</f>
        <v>-</v>
      </c>
      <c r="AX33" s="187"/>
      <c r="AY33" s="188"/>
      <c r="AZ33" s="188"/>
      <c r="BA33" s="184"/>
      <c r="BB33" s="187" t="str">
        <f t="shared" ca="1" si="191"/>
        <v>-</v>
      </c>
      <c r="BC33" s="188" t="str">
        <f t="shared" ca="1" si="191"/>
        <v>-</v>
      </c>
      <c r="BD33" s="188" t="str">
        <f t="shared" ca="1" si="191"/>
        <v>-</v>
      </c>
      <c r="BE33" s="189" t="str">
        <f t="shared" ca="1" si="191"/>
        <v>-</v>
      </c>
      <c r="BF33" s="202">
        <v>35</v>
      </c>
      <c r="BG33" s="203">
        <v>4</v>
      </c>
      <c r="BH33" s="203">
        <v>2</v>
      </c>
      <c r="BI33" s="202" t="s">
        <v>99</v>
      </c>
      <c r="BK33" s="192" t="str">
        <f t="shared" ref="BK33" ca="1" si="240">IF($D33="-","-",$BK$5 + (V33-StartGridX) * (GapXDiff + $BW$7))</f>
        <v>-</v>
      </c>
      <c r="BL33" s="192" t="str">
        <f t="shared" ref="BL33" ca="1" si="241">IF($D33="-","-",$BL$5 + (W33-StartGridY) * (GapYDiff + $BV$7))</f>
        <v>-</v>
      </c>
      <c r="BM33" s="192" t="str">
        <f t="shared" ca="1" si="14"/>
        <v>-</v>
      </c>
      <c r="BN33" s="192" t="str">
        <f t="shared" ca="1" si="15"/>
        <v>-</v>
      </c>
      <c r="BO33" s="192" t="str">
        <f t="shared" ca="1" si="16"/>
        <v>-</v>
      </c>
      <c r="BP33" s="192" t="str">
        <f t="shared" ca="1" si="17"/>
        <v>-</v>
      </c>
      <c r="BQ33" s="192" t="str">
        <f ca="1">IF($D33="-","-",IF(LEN(K33)=0,1,IFERROR(MATCH(K33,Dashboard!$L$25:$L$31,0),1)))</f>
        <v>-</v>
      </c>
      <c r="BS33" s="193" t="s">
        <v>217</v>
      </c>
      <c r="BT33" s="193" t="s">
        <v>218</v>
      </c>
      <c r="BU33" s="194">
        <v>83</v>
      </c>
      <c r="BV33" s="194">
        <f>Dashboard!$M$16</f>
        <v>50</v>
      </c>
      <c r="BW33" s="194">
        <f>Dashboard!$M$15</f>
        <v>110</v>
      </c>
      <c r="BX33" s="195">
        <v>1</v>
      </c>
      <c r="BY33" s="195">
        <v>2</v>
      </c>
      <c r="BZ33" s="195">
        <v>3</v>
      </c>
      <c r="CA33" s="195">
        <v>4</v>
      </c>
      <c r="CC33" s="143" t="str">
        <f t="shared" ref="CC33" ca="1" si="242">IF($D33="-","-",IF(COUNTIF(IDSourceRange,E33)&gt;1,1,0))</f>
        <v>-</v>
      </c>
      <c r="CD33" s="143" t="str">
        <f t="shared" ref="CD33" ca="1" si="243">IF($D33="-","-",  IF(LEN(M33)=0,0,IF(ISERROR(MATCH(M33,IDSourceRange,0)),1,0)) + IF(LEN(N33)=0,0,IF(ISERROR(MATCH(N33,IDSourceRange,0)),1,0)) + IF(LEN(O33)=0,0,IF(ISERROR(MATCH(O33,IDSourceRange,0)),1,0)) )</f>
        <v>-</v>
      </c>
      <c r="CE33" s="143" t="str">
        <f t="shared" ca="1" si="51"/>
        <v>-</v>
      </c>
      <c r="CF33" s="143" t="s">
        <v>128</v>
      </c>
      <c r="CG33" s="143" t="str">
        <f t="shared" ref="CG33" ca="1" si="244">IF($D33="-","-",IF(X33="-",0,IF(COUNTIF(GridCombinedRange,X33)&gt;1,1,0)))</f>
        <v>-</v>
      </c>
      <c r="CH33" s="143"/>
      <c r="CI33" s="143"/>
      <c r="CJ33" s="143"/>
      <c r="CK33" s="143"/>
      <c r="CL33" s="143"/>
    </row>
    <row r="34" spans="3:90" x14ac:dyDescent="0.3">
      <c r="C34" s="170">
        <v>28</v>
      </c>
      <c r="D34" s="111" t="str">
        <f ca="1">IF(COUNTA(OFFSET(Dashboard!$B$6,C34,0,1,COUNTA(Dashboard!$B$6:$H$6)))&gt;0,"Yes","-")</f>
        <v>-</v>
      </c>
      <c r="E34" s="170" t="str">
        <f ca="1">IF(D34="-","-",IF(LEN(INDEX(Dashboard!B$6:B$206,$C34+1))=0,"x"&amp;C34&amp;"x","x"&amp;INDEX(Dashboard!B$6:B$206,$C34+1)&amp;"x"))</f>
        <v>-</v>
      </c>
      <c r="F34" s="171" t="str">
        <f ca="1">IF(D34="-","-",IF(LEN(INDEX(Dashboard!$C$6:$C$206,C34+1))=0," ",INDEX(Dashboard!$C$6:$C$206,C34+1)))</f>
        <v>-</v>
      </c>
      <c r="G34" s="219" t="str">
        <f ca="1">IF(OR(D34="-",D34=""),"-",IF(LEN(INDEX(Dashboard!$D$6:$D$228,C34+1))=0,"", "x"&amp;SUBSTITUTE(SUBSTITUTE(INDEX(Dashboard!$D$6:$D$228,C34+1)," ",""),",","x,x")&amp;"x"))</f>
        <v>-</v>
      </c>
      <c r="H34" s="111" t="str">
        <f ca="1">IF(D34="-","-",TRIM(INDEX(Dashboard!$E$6:$E$206,C34+1)))</f>
        <v>-</v>
      </c>
      <c r="I34" s="111" t="str">
        <f ca="1">IF(D34="-","-",IF(LEN(INDEX(Dashboard!$F$6:$F$206,C34+1))=0,$BS$8,IF(ISERROR(MATCH(INDEX(Dashboard!$F$6:$F$206,C34+1),$BS$7:$BS$35,0)),$BS$8,INDEX(Dashboard!$F$6:$F$206,C34+1))))</f>
        <v>-</v>
      </c>
      <c r="J34" s="111" t="str">
        <f ca="1">IF(D34="-","-",SUBSTITUTE(INDEX(Dashboard!$G$6:$G$206,C34+1)," ",""))</f>
        <v>-</v>
      </c>
      <c r="K34" s="111" t="str">
        <f ca="1">IF(D34="-","-",IF(LEN(INDEX(Dashboard!$H$6:$H$206,C34+1))=0,"",INDEX(Dashboard!$H$6:$H$206,C34+1)))</f>
        <v>-</v>
      </c>
      <c r="M34" s="172" t="str">
        <f t="shared" ca="1" si="187"/>
        <v>-</v>
      </c>
      <c r="N34" s="172" t="str">
        <f t="shared" ca="1" si="187"/>
        <v>-</v>
      </c>
      <c r="O34" s="172" t="str">
        <f t="shared" ca="1" si="187"/>
        <v>-</v>
      </c>
      <c r="P34" s="173" t="str">
        <f t="shared" ca="1" si="2"/>
        <v>-</v>
      </c>
      <c r="Q34" s="172" t="str">
        <f t="shared" ca="1" si="2"/>
        <v>-</v>
      </c>
      <c r="R34" s="172" t="str">
        <f t="shared" ca="1" si="2"/>
        <v>-</v>
      </c>
      <c r="S34" s="174" t="str">
        <f t="array" aca="1" ref="S34" ca="1">IF($D34="-","-",SUM(IF(LEN(M34:O34)&gt;0,1,0)))</f>
        <v>-</v>
      </c>
      <c r="T34" s="175" t="str">
        <f t="array" aca="1" ref="T34" ca="1">IF(D34="-","-",SUM(IF(ISERROR(SEARCH(E34,$G$7:$G$206)),0,1)))</f>
        <v>-</v>
      </c>
      <c r="V34" s="204"/>
      <c r="W34" s="127"/>
      <c r="X34" s="177" t="str">
        <f t="shared" si="23"/>
        <v>-</v>
      </c>
      <c r="Y34" s="178"/>
      <c r="Z34" s="127"/>
      <c r="AB34" s="179" t="str">
        <f t="shared" ca="1" si="3"/>
        <v>-</v>
      </c>
      <c r="AC34" s="179" t="str">
        <f t="shared" ca="1" si="3"/>
        <v>-</v>
      </c>
      <c r="AD34" s="179" t="str">
        <f t="shared" ca="1" si="3"/>
        <v>-</v>
      </c>
      <c r="AE34" s="201" t="s">
        <v>219</v>
      </c>
      <c r="AF34" s="180" t="s">
        <v>131</v>
      </c>
      <c r="AG34" s="181" t="s">
        <v>125</v>
      </c>
      <c r="AH34" s="181" t="s">
        <v>135</v>
      </c>
      <c r="AI34" s="181" t="s">
        <v>17</v>
      </c>
      <c r="AJ34" s="181" t="str">
        <f t="shared" ca="1" si="5"/>
        <v>-</v>
      </c>
      <c r="AK34" s="179" t="str">
        <f t="shared" ca="1" si="6"/>
        <v>-</v>
      </c>
      <c r="AL34" s="179" t="str">
        <f t="shared" ca="1" si="6"/>
        <v>-</v>
      </c>
      <c r="AM34" s="179" t="str">
        <f t="shared" ca="1" si="6"/>
        <v>-</v>
      </c>
      <c r="AO34" s="182" t="str">
        <f t="shared" ca="1" si="7"/>
        <v>-</v>
      </c>
      <c r="AP34" s="182" t="str">
        <f t="shared" ca="1" si="7"/>
        <v>-</v>
      </c>
      <c r="AQ34" s="182" t="str">
        <f t="shared" ca="1" si="7"/>
        <v>-</v>
      </c>
      <c r="AU34" s="185" t="str">
        <f t="shared" ref="AU34" ca="1" si="245">IF($D34="-","-",IF(LEN(M34)=0,"", INDEX($AT$7:$AT$15,MATCH(IF($V34-INDEX(GridXRange,P34)&lt;0,"Negative",IF($V34-INDEX(GridXRange,P34)&gt;0,"Positive","Zero")) &amp; " - " &amp;IF($W34-INDEX(GridYRange,P34)&lt;0,"Negative",IF($W34-INDEX(GridYRange,P34)&gt;0,"Positive","Zero")),$AS$7:$AS$15,0))))</f>
        <v>-</v>
      </c>
      <c r="AV34" s="186" t="str">
        <f t="shared" ref="AV34" ca="1" si="246">IF($D34="-","-",IF(LEN(N34)=0,"", INDEX($AT$7:$AT$15,MATCH(IF($V34-INDEX(GridXRange,Q34)&lt;0,"Negative",IF($V34-INDEX(GridXRange,Q34)&gt;0,"Positive","Zero")) &amp; " - " &amp;IF($W34-INDEX(GridYRange,Q34)&lt;0,"Negative",IF($W34-INDEX(GridYRange,Q34)&gt;0,"Positive","Zero")),$AS$7:$AS$15,0))))</f>
        <v>-</v>
      </c>
      <c r="AW34" s="186" t="str">
        <f t="shared" ref="AW34" ca="1" si="247">IF($D34="-","-",IF(LEN(O34)=0,"", INDEX($AT$7:$AT$15,MATCH(IF($V34-INDEX(GridXRange,R34)&lt;0,"Negative",IF($V34-INDEX(GridXRange,R34)&gt;0,"Positive","Zero")) &amp; " - " &amp;IF($W34-INDEX(GridYRange,R34)&lt;0,"Negative",IF($W34-INDEX(GridYRange,R34)&gt;0,"Positive","Zero")),$AS$7:$AS$15,0))))</f>
        <v>-</v>
      </c>
      <c r="AX34" s="187"/>
      <c r="AY34" s="188"/>
      <c r="AZ34" s="188"/>
      <c r="BA34" s="184"/>
      <c r="BB34" s="187" t="str">
        <f t="shared" ca="1" si="191"/>
        <v>-</v>
      </c>
      <c r="BC34" s="188" t="str">
        <f t="shared" ca="1" si="191"/>
        <v>-</v>
      </c>
      <c r="BD34" s="188" t="str">
        <f t="shared" ca="1" si="191"/>
        <v>-</v>
      </c>
      <c r="BE34" s="189" t="str">
        <f t="shared" ca="1" si="191"/>
        <v>-</v>
      </c>
      <c r="BF34" s="190">
        <v>40</v>
      </c>
      <c r="BG34" s="191">
        <v>4</v>
      </c>
      <c r="BH34" s="191">
        <v>2</v>
      </c>
      <c r="BI34" s="190"/>
      <c r="BK34" s="192" t="str">
        <f t="shared" ref="BK34" ca="1" si="248">IF($D34="-","-",$BK$5 + (V34-StartGridX) * (GapXDiff + $BW$7))</f>
        <v>-</v>
      </c>
      <c r="BL34" s="192" t="str">
        <f t="shared" ref="BL34" ca="1" si="249">IF($D34="-","-",$BL$5 + (W34-StartGridY) * (GapYDiff + $BV$7))</f>
        <v>-</v>
      </c>
      <c r="BM34" s="192" t="str">
        <f t="shared" ca="1" si="14"/>
        <v>-</v>
      </c>
      <c r="BN34" s="192" t="str">
        <f t="shared" ca="1" si="15"/>
        <v>-</v>
      </c>
      <c r="BO34" s="192" t="str">
        <f t="shared" ca="1" si="16"/>
        <v>-</v>
      </c>
      <c r="BP34" s="192" t="str">
        <f t="shared" ca="1" si="17"/>
        <v>-</v>
      </c>
      <c r="BQ34" s="192" t="str">
        <f ca="1">IF($D34="-","-",IF(LEN(K34)=0,1,IFERROR(MATCH(K34,Dashboard!$L$25:$L$31,0),1)))</f>
        <v>-</v>
      </c>
      <c r="BS34" s="193" t="s">
        <v>220</v>
      </c>
      <c r="BT34" s="193" t="s">
        <v>221</v>
      </c>
      <c r="BU34" s="194">
        <v>65</v>
      </c>
      <c r="BV34" s="194">
        <f>Dashboard!$M$16</f>
        <v>50</v>
      </c>
      <c r="BW34" s="194">
        <f>Dashboard!$M$15</f>
        <v>110</v>
      </c>
      <c r="BX34" s="195">
        <v>1</v>
      </c>
      <c r="BY34" s="195">
        <v>2</v>
      </c>
      <c r="BZ34" s="195">
        <v>3</v>
      </c>
      <c r="CA34" s="195">
        <v>4</v>
      </c>
      <c r="CC34" s="143" t="str">
        <f t="shared" ref="CC34" ca="1" si="250">IF($D34="-","-",IF(COUNTIF(IDSourceRange,E34)&gt;1,1,0))</f>
        <v>-</v>
      </c>
      <c r="CD34" s="143" t="str">
        <f t="shared" ref="CD34" ca="1" si="251">IF($D34="-","-",  IF(LEN(M34)=0,0,IF(ISERROR(MATCH(M34,IDSourceRange,0)),1,0)) + IF(LEN(N34)=0,0,IF(ISERROR(MATCH(N34,IDSourceRange,0)),1,0)) + IF(LEN(O34)=0,0,IF(ISERROR(MATCH(O34,IDSourceRange,0)),1,0)) )</f>
        <v>-</v>
      </c>
      <c r="CE34" s="143" t="str">
        <f t="shared" ca="1" si="51"/>
        <v>-</v>
      </c>
      <c r="CF34" s="143" t="s">
        <v>128</v>
      </c>
      <c r="CG34" s="143" t="str">
        <f t="shared" ref="CG34" ca="1" si="252">IF($D34="-","-",IF(X34="-",0,IF(COUNTIF(GridCombinedRange,X34)&gt;1,1,0)))</f>
        <v>-</v>
      </c>
      <c r="CH34" s="143"/>
      <c r="CI34" s="143"/>
      <c r="CJ34" s="143"/>
      <c r="CK34" s="143"/>
      <c r="CL34" s="143"/>
    </row>
    <row r="35" spans="3:90" x14ac:dyDescent="0.3">
      <c r="C35" s="170">
        <v>29</v>
      </c>
      <c r="D35" s="111" t="str">
        <f ca="1">IF(COUNTA(OFFSET(Dashboard!$B$6,C35,0,1,COUNTA(Dashboard!$B$6:$H$6)))&gt;0,"Yes","-")</f>
        <v>-</v>
      </c>
      <c r="E35" s="170" t="str">
        <f ca="1">IF(D35="-","-",IF(LEN(INDEX(Dashboard!B$6:B$206,$C35+1))=0,"x"&amp;C35&amp;"x","x"&amp;INDEX(Dashboard!B$6:B$206,$C35+1)&amp;"x"))</f>
        <v>-</v>
      </c>
      <c r="F35" s="171" t="str">
        <f ca="1">IF(D35="-","-",IF(LEN(INDEX(Dashboard!$C$6:$C$206,C35+1))=0," ",INDEX(Dashboard!$C$6:$C$206,C35+1)))</f>
        <v>-</v>
      </c>
      <c r="G35" s="219" t="str">
        <f ca="1">IF(OR(D35="-",D35=""),"-",IF(LEN(INDEX(Dashboard!$D$6:$D$228,C35+1))=0,"", "x"&amp;SUBSTITUTE(SUBSTITUTE(INDEX(Dashboard!$D$6:$D$228,C35+1)," ",""),",","x,x")&amp;"x"))</f>
        <v>-</v>
      </c>
      <c r="H35" s="111" t="str">
        <f ca="1">IF(D35="-","-",TRIM(INDEX(Dashboard!$E$6:$E$206,C35+1)))</f>
        <v>-</v>
      </c>
      <c r="I35" s="111" t="str">
        <f ca="1">IF(D35="-","-",IF(LEN(INDEX(Dashboard!$F$6:$F$206,C35+1))=0,$BS$8,IF(ISERROR(MATCH(INDEX(Dashboard!$F$6:$F$206,C35+1),$BS$7:$BS$35,0)),$BS$8,INDEX(Dashboard!$F$6:$F$206,C35+1))))</f>
        <v>-</v>
      </c>
      <c r="J35" s="111" t="str">
        <f ca="1">IF(D35="-","-",SUBSTITUTE(INDEX(Dashboard!$G$6:$G$206,C35+1)," ",""))</f>
        <v>-</v>
      </c>
      <c r="K35" s="111" t="str">
        <f ca="1">IF(D35="-","-",IF(LEN(INDEX(Dashboard!$H$6:$H$206,C35+1))=0,"",INDEX(Dashboard!$H$6:$H$206,C35+1)))</f>
        <v>-</v>
      </c>
      <c r="M35" s="172" t="str">
        <f t="shared" ca="1" si="187"/>
        <v>-</v>
      </c>
      <c r="N35" s="172" t="str">
        <f t="shared" ca="1" si="187"/>
        <v>-</v>
      </c>
      <c r="O35" s="172" t="str">
        <f t="shared" ca="1" si="187"/>
        <v>-</v>
      </c>
      <c r="P35" s="173" t="str">
        <f t="shared" ca="1" si="2"/>
        <v>-</v>
      </c>
      <c r="Q35" s="172" t="str">
        <f t="shared" ca="1" si="2"/>
        <v>-</v>
      </c>
      <c r="R35" s="172" t="str">
        <f t="shared" ca="1" si="2"/>
        <v>-</v>
      </c>
      <c r="S35" s="174" t="str">
        <f t="array" aca="1" ref="S35" ca="1">IF($D35="-","-",SUM(IF(LEN(M35:O35)&gt;0,1,0)))</f>
        <v>-</v>
      </c>
      <c r="T35" s="175" t="str">
        <f t="array" aca="1" ref="T35" ca="1">IF(D35="-","-",SUM(IF(ISERROR(SEARCH(E35,$G$7:$G$206)),0,1)))</f>
        <v>-</v>
      </c>
      <c r="V35" s="204"/>
      <c r="W35" s="127"/>
      <c r="X35" s="177" t="str">
        <f t="shared" si="23"/>
        <v>-</v>
      </c>
      <c r="Y35" s="178"/>
      <c r="Z35" s="127"/>
      <c r="AB35" s="179" t="str">
        <f t="shared" ca="1" si="3"/>
        <v>-</v>
      </c>
      <c r="AC35" s="179" t="str">
        <f t="shared" ca="1" si="3"/>
        <v>-</v>
      </c>
      <c r="AD35" s="179" t="str">
        <f t="shared" ca="1" si="3"/>
        <v>-</v>
      </c>
      <c r="AE35" s="201" t="s">
        <v>222</v>
      </c>
      <c r="AF35" s="180" t="s">
        <v>135</v>
      </c>
      <c r="AG35" s="181" t="s">
        <v>125</v>
      </c>
      <c r="AH35" s="181" t="s">
        <v>135</v>
      </c>
      <c r="AI35" s="181" t="s">
        <v>144</v>
      </c>
      <c r="AJ35" s="181" t="str">
        <f t="shared" ca="1" si="5"/>
        <v>-</v>
      </c>
      <c r="AK35" s="179" t="str">
        <f t="shared" ca="1" si="6"/>
        <v>-</v>
      </c>
      <c r="AL35" s="179" t="str">
        <f t="shared" ca="1" si="6"/>
        <v>-</v>
      </c>
      <c r="AM35" s="179" t="str">
        <f t="shared" ca="1" si="6"/>
        <v>-</v>
      </c>
      <c r="AO35" s="182" t="str">
        <f t="shared" ca="1" si="7"/>
        <v>-</v>
      </c>
      <c r="AP35" s="182" t="str">
        <f t="shared" ca="1" si="7"/>
        <v>-</v>
      </c>
      <c r="AQ35" s="182" t="str">
        <f t="shared" ca="1" si="7"/>
        <v>-</v>
      </c>
      <c r="AU35" s="185" t="str">
        <f t="shared" ref="AU35" ca="1" si="253">IF($D35="-","-",IF(LEN(M35)=0,"", INDEX($AT$7:$AT$15,MATCH(IF($V35-INDEX(GridXRange,P35)&lt;0,"Negative",IF($V35-INDEX(GridXRange,P35)&gt;0,"Positive","Zero")) &amp; " - " &amp;IF($W35-INDEX(GridYRange,P35)&lt;0,"Negative",IF($W35-INDEX(GridYRange,P35)&gt;0,"Positive","Zero")),$AS$7:$AS$15,0))))</f>
        <v>-</v>
      </c>
      <c r="AV35" s="186" t="str">
        <f t="shared" ref="AV35" ca="1" si="254">IF($D35="-","-",IF(LEN(N35)=0,"", INDEX($AT$7:$AT$15,MATCH(IF($V35-INDEX(GridXRange,Q35)&lt;0,"Negative",IF($V35-INDEX(GridXRange,Q35)&gt;0,"Positive","Zero")) &amp; " - " &amp;IF($W35-INDEX(GridYRange,Q35)&lt;0,"Negative",IF($W35-INDEX(GridYRange,Q35)&gt;0,"Positive","Zero")),$AS$7:$AS$15,0))))</f>
        <v>-</v>
      </c>
      <c r="AW35" s="186" t="str">
        <f t="shared" ref="AW35" ca="1" si="255">IF($D35="-","-",IF(LEN(O35)=0,"", INDEX($AT$7:$AT$15,MATCH(IF($V35-INDEX(GridXRange,R35)&lt;0,"Negative",IF($V35-INDEX(GridXRange,R35)&gt;0,"Positive","Zero")) &amp; " - " &amp;IF($W35-INDEX(GridYRange,R35)&lt;0,"Negative",IF($W35-INDEX(GridYRange,R35)&gt;0,"Positive","Zero")),$AS$7:$AS$15,0))))</f>
        <v>-</v>
      </c>
      <c r="AX35" s="187"/>
      <c r="AY35" s="188"/>
      <c r="AZ35" s="188"/>
      <c r="BA35" s="184"/>
      <c r="BB35" s="187" t="str">
        <f t="shared" ca="1" si="191"/>
        <v>-</v>
      </c>
      <c r="BC35" s="188" t="str">
        <f t="shared" ca="1" si="191"/>
        <v>-</v>
      </c>
      <c r="BD35" s="188" t="str">
        <f t="shared" ca="1" si="191"/>
        <v>-</v>
      </c>
      <c r="BE35" s="189" t="str">
        <f t="shared" ca="1" si="191"/>
        <v>-</v>
      </c>
      <c r="BF35" s="199">
        <v>40</v>
      </c>
      <c r="BG35" s="200">
        <v>3</v>
      </c>
      <c r="BH35" s="200">
        <v>3</v>
      </c>
      <c r="BI35" s="199"/>
      <c r="BK35" s="192" t="str">
        <f t="shared" ref="BK35" ca="1" si="256">IF($D35="-","-",$BK$5 + (V35-StartGridX) * (GapXDiff + $BW$7))</f>
        <v>-</v>
      </c>
      <c r="BL35" s="192" t="str">
        <f t="shared" ref="BL35" ca="1" si="257">IF($D35="-","-",$BL$5 + (W35-StartGridY) * (GapYDiff + $BV$7))</f>
        <v>-</v>
      </c>
      <c r="BM35" s="192" t="str">
        <f t="shared" ca="1" si="14"/>
        <v>-</v>
      </c>
      <c r="BN35" s="192" t="str">
        <f t="shared" ca="1" si="15"/>
        <v>-</v>
      </c>
      <c r="BO35" s="192" t="str">
        <f t="shared" ca="1" si="16"/>
        <v>-</v>
      </c>
      <c r="BP35" s="192" t="str">
        <f t="shared" ca="1" si="17"/>
        <v>-</v>
      </c>
      <c r="BQ35" s="192" t="str">
        <f ca="1">IF($D35="-","-",IF(LEN(K35)=0,1,IFERROR(MATCH(K35,Dashboard!$L$25:$L$31,0),1)))</f>
        <v>-</v>
      </c>
      <c r="BS35" s="193" t="s">
        <v>223</v>
      </c>
      <c r="BT35" s="193" t="s">
        <v>224</v>
      </c>
      <c r="BU35" s="194">
        <v>77</v>
      </c>
      <c r="BV35" s="194">
        <f>Dashboard!$M$16</f>
        <v>50</v>
      </c>
      <c r="BW35" s="194">
        <f>Dashboard!$M$15</f>
        <v>110</v>
      </c>
      <c r="BX35" s="195">
        <v>1</v>
      </c>
      <c r="BY35" s="195">
        <v>3</v>
      </c>
      <c r="BZ35" s="195">
        <v>5</v>
      </c>
      <c r="CA35" s="195">
        <v>7</v>
      </c>
      <c r="CC35" s="143" t="str">
        <f t="shared" ref="CC35" ca="1" si="258">IF($D35="-","-",IF(COUNTIF(IDSourceRange,E35)&gt;1,1,0))</f>
        <v>-</v>
      </c>
      <c r="CD35" s="143" t="str">
        <f t="shared" ref="CD35" ca="1" si="259">IF($D35="-","-",  IF(LEN(M35)=0,0,IF(ISERROR(MATCH(M35,IDSourceRange,0)),1,0)) + IF(LEN(N35)=0,0,IF(ISERROR(MATCH(N35,IDSourceRange,0)),1,0)) + IF(LEN(O35)=0,0,IF(ISERROR(MATCH(O35,IDSourceRange,0)),1,0)) )</f>
        <v>-</v>
      </c>
      <c r="CE35" s="143" t="str">
        <f t="shared" ca="1" si="51"/>
        <v>-</v>
      </c>
      <c r="CF35" s="143" t="s">
        <v>128</v>
      </c>
      <c r="CG35" s="143" t="str">
        <f t="shared" ref="CG35" ca="1" si="260">IF($D35="-","-",IF(X35="-",0,IF(COUNTIF(GridCombinedRange,X35)&gt;1,1,0)))</f>
        <v>-</v>
      </c>
      <c r="CH35" s="143"/>
      <c r="CI35" s="143"/>
      <c r="CJ35" s="143"/>
      <c r="CK35" s="143"/>
      <c r="CL35" s="143"/>
    </row>
    <row r="36" spans="3:90" x14ac:dyDescent="0.3">
      <c r="C36" s="170">
        <v>30</v>
      </c>
      <c r="D36" s="111" t="str">
        <f ca="1">IF(COUNTA(OFFSET(Dashboard!$B$6,C36,0,1,COUNTA(Dashboard!$B$6:$H$6)))&gt;0,"Yes","-")</f>
        <v>-</v>
      </c>
      <c r="E36" s="221" t="str">
        <f ca="1">IF(D36="-","-",IF(LEN(INDEX(Dashboard!B$6:B$228,$C36+1))=0,"x"&amp;C36&amp;"x","x"&amp;INDEX(Dashboard!B$6:B$228,$C36+1)&amp;"x"))</f>
        <v>-</v>
      </c>
      <c r="F36" s="171" t="str">
        <f ca="1">IF(D36="-","-",IF(LEN(INDEX(Dashboard!$C$6:$C$206,C36+1))=0," ",INDEX(Dashboard!$C$6:$C$206,C36+1)))</f>
        <v>-</v>
      </c>
      <c r="G36" s="219" t="str">
        <f ca="1">IF(OR(D36="-",D36=""),"-",IF(LEN(INDEX(Dashboard!$D$6:$D$228,C36+1))=0,"", "x"&amp;SUBSTITUTE(SUBSTITUTE(INDEX(Dashboard!$D$6:$D$228,C36+1)," ",""),",","x,x")&amp;"x"))</f>
        <v>-</v>
      </c>
      <c r="H36" s="111" t="str">
        <f ca="1">IF(D36="-","-",TRIM(INDEX(Dashboard!$E$6:$E$206,C36+1)))</f>
        <v>-</v>
      </c>
      <c r="I36" s="111" t="str">
        <f ca="1">IF(D36="-","-",IF(LEN(INDEX(Dashboard!$F$6:$F$206,C36+1))=0,$BS$8,IF(ISERROR(MATCH(INDEX(Dashboard!$F$6:$F$206,C36+1),$BS$7:$BS$35,0)),$BS$8,INDEX(Dashboard!$F$6:$F$206,C36+1))))</f>
        <v>-</v>
      </c>
      <c r="J36" s="111" t="str">
        <f ca="1">IF(D36="-","-",SUBSTITUTE(INDEX(Dashboard!$G$6:$G$206,C36+1)," ",""))</f>
        <v>-</v>
      </c>
      <c r="K36" s="111" t="str">
        <f ca="1">IF(D36="-","-",IF(LEN(INDEX(Dashboard!$H$6:$H$206,C36+1))=0,"",INDEX(Dashboard!$H$6:$H$206,C36+1)))</f>
        <v>-</v>
      </c>
      <c r="M36" s="172" t="str">
        <f t="shared" ca="1" si="187"/>
        <v>-</v>
      </c>
      <c r="N36" s="172" t="str">
        <f t="shared" ca="1" si="187"/>
        <v>-</v>
      </c>
      <c r="O36" s="172" t="str">
        <f t="shared" ca="1" si="187"/>
        <v>-</v>
      </c>
      <c r="P36" s="173" t="str">
        <f t="shared" ca="1" si="2"/>
        <v>-</v>
      </c>
      <c r="Q36" s="172" t="str">
        <f t="shared" ca="1" si="2"/>
        <v>-</v>
      </c>
      <c r="R36" s="172" t="str">
        <f t="shared" ca="1" si="2"/>
        <v>-</v>
      </c>
      <c r="S36" s="174" t="str">
        <f t="array" aca="1" ref="S36" ca="1">IF($D36="-","-",SUM(IF(LEN(M36:O36)&gt;0,1,0)))</f>
        <v>-</v>
      </c>
      <c r="T36" s="175" t="str">
        <f t="array" aca="1" ref="T36" ca="1">IF(D36="-","-",SUM(IF(ISERROR(SEARCH(E36,$G$7:$G$206)),0,1)))</f>
        <v>-</v>
      </c>
      <c r="V36" s="204"/>
      <c r="W36" s="127"/>
      <c r="X36" s="177" t="str">
        <f t="shared" si="23"/>
        <v>-</v>
      </c>
      <c r="Y36" s="178"/>
      <c r="Z36" s="127"/>
      <c r="AB36" s="179" t="str">
        <f t="shared" ca="1" si="3"/>
        <v>-</v>
      </c>
      <c r="AC36" s="179" t="str">
        <f t="shared" ca="1" si="3"/>
        <v>-</v>
      </c>
      <c r="AD36" s="179" t="str">
        <f t="shared" ca="1" si="3"/>
        <v>-</v>
      </c>
      <c r="AE36" s="201" t="s">
        <v>225</v>
      </c>
      <c r="AF36" s="180" t="s">
        <v>139</v>
      </c>
      <c r="AG36" s="181" t="s">
        <v>144</v>
      </c>
      <c r="AH36" s="181" t="s">
        <v>135</v>
      </c>
      <c r="AI36" s="181" t="s">
        <v>17</v>
      </c>
      <c r="AJ36" s="181" t="str">
        <f t="shared" ca="1" si="5"/>
        <v>-</v>
      </c>
      <c r="AK36" s="179" t="str">
        <f t="shared" ca="1" si="6"/>
        <v>-</v>
      </c>
      <c r="AL36" s="179" t="str">
        <f t="shared" ca="1" si="6"/>
        <v>-</v>
      </c>
      <c r="AM36" s="179" t="str">
        <f t="shared" ca="1" si="6"/>
        <v>-</v>
      </c>
      <c r="AO36" s="182" t="str">
        <f t="shared" ca="1" si="7"/>
        <v>-</v>
      </c>
      <c r="AP36" s="182" t="str">
        <f t="shared" ca="1" si="7"/>
        <v>-</v>
      </c>
      <c r="AQ36" s="182" t="str">
        <f t="shared" ca="1" si="7"/>
        <v>-</v>
      </c>
      <c r="AU36" s="185" t="str">
        <f t="shared" ref="AU36" ca="1" si="261">IF($D36="-","-",IF(LEN(M36)=0,"", INDEX($AT$7:$AT$15,MATCH(IF($V36-INDEX(GridXRange,P36)&lt;0,"Negative",IF($V36-INDEX(GridXRange,P36)&gt;0,"Positive","Zero")) &amp; " - " &amp;IF($W36-INDEX(GridYRange,P36)&lt;0,"Negative",IF($W36-INDEX(GridYRange,P36)&gt;0,"Positive","Zero")),$AS$7:$AS$15,0))))</f>
        <v>-</v>
      </c>
      <c r="AV36" s="186" t="str">
        <f t="shared" ref="AV36" ca="1" si="262">IF($D36="-","-",IF(LEN(N36)=0,"", INDEX($AT$7:$AT$15,MATCH(IF($V36-INDEX(GridXRange,Q36)&lt;0,"Negative",IF($V36-INDEX(GridXRange,Q36)&gt;0,"Positive","Zero")) &amp; " - " &amp;IF($W36-INDEX(GridYRange,Q36)&lt;0,"Negative",IF($W36-INDEX(GridYRange,Q36)&gt;0,"Positive","Zero")),$AS$7:$AS$15,0))))</f>
        <v>-</v>
      </c>
      <c r="AW36" s="186" t="str">
        <f t="shared" ref="AW36" ca="1" si="263">IF($D36="-","-",IF(LEN(O36)=0,"", INDEX($AT$7:$AT$15,MATCH(IF($V36-INDEX(GridXRange,R36)&lt;0,"Negative",IF($V36-INDEX(GridXRange,R36)&gt;0,"Positive","Zero")) &amp; " - " &amp;IF($W36-INDEX(GridYRange,R36)&lt;0,"Negative",IF($W36-INDEX(GridYRange,R36)&gt;0,"Positive","Zero")),$AS$7:$AS$15,0))))</f>
        <v>-</v>
      </c>
      <c r="AX36" s="187"/>
      <c r="AY36" s="188"/>
      <c r="AZ36" s="188"/>
      <c r="BA36" s="184"/>
      <c r="BB36" s="187" t="str">
        <f t="shared" ca="1" si="191"/>
        <v>-</v>
      </c>
      <c r="BC36" s="188" t="str">
        <f t="shared" ca="1" si="191"/>
        <v>-</v>
      </c>
      <c r="BD36" s="188" t="str">
        <f t="shared" ca="1" si="191"/>
        <v>-</v>
      </c>
      <c r="BE36" s="189" t="str">
        <f t="shared" ca="1" si="191"/>
        <v>-</v>
      </c>
      <c r="BF36" s="199">
        <v>40</v>
      </c>
      <c r="BG36" s="200">
        <v>1</v>
      </c>
      <c r="BH36" s="200">
        <v>1</v>
      </c>
      <c r="BI36" s="199"/>
      <c r="BK36" s="192" t="str">
        <f t="shared" ref="BK36" ca="1" si="264">IF($D36="-","-",$BK$5 + (V36-StartGridX) * (GapXDiff + $BW$7))</f>
        <v>-</v>
      </c>
      <c r="BL36" s="192" t="str">
        <f t="shared" ref="BL36" ca="1" si="265">IF($D36="-","-",$BL$5 + (W36-StartGridY) * (GapYDiff + $BV$7))</f>
        <v>-</v>
      </c>
      <c r="BM36" s="192" t="str">
        <f t="shared" ca="1" si="14"/>
        <v>-</v>
      </c>
      <c r="BN36" s="192" t="str">
        <f t="shared" ca="1" si="15"/>
        <v>-</v>
      </c>
      <c r="BO36" s="192" t="str">
        <f t="shared" ca="1" si="16"/>
        <v>-</v>
      </c>
      <c r="BP36" s="192" t="str">
        <f t="shared" ca="1" si="17"/>
        <v>-</v>
      </c>
      <c r="BQ36" s="192" t="str">
        <f ca="1">IF($D36="-","-",IF(LEN(K36)=0,1,IFERROR(MATCH(K36,Dashboard!$L$25:$L$31,0),1)))</f>
        <v>-</v>
      </c>
      <c r="CC36" s="143" t="str">
        <f t="shared" ref="CC36" ca="1" si="266">IF($D36="-","-",IF(COUNTIF(IDSourceRange,E36)&gt;1,1,0))</f>
        <v>-</v>
      </c>
      <c r="CD36" s="143" t="str">
        <f t="shared" ref="CD36" ca="1" si="267">IF($D36="-","-",  IF(LEN(M36)=0,0,IF(ISERROR(MATCH(M36,IDSourceRange,0)),1,0)) + IF(LEN(N36)=0,0,IF(ISERROR(MATCH(N36,IDSourceRange,0)),1,0)) + IF(LEN(O36)=0,0,IF(ISERROR(MATCH(O36,IDSourceRange,0)),1,0)) )</f>
        <v>-</v>
      </c>
      <c r="CE36" s="143" t="str">
        <f t="shared" ca="1" si="51"/>
        <v>-</v>
      </c>
      <c r="CF36" s="143" t="s">
        <v>128</v>
      </c>
      <c r="CG36" s="143" t="str">
        <f t="shared" ref="CG36" ca="1" si="268">IF($D36="-","-",IF(X36="-",0,IF(COUNTIF(GridCombinedRange,X36)&gt;1,1,0)))</f>
        <v>-</v>
      </c>
      <c r="CH36" s="143"/>
      <c r="CI36" s="143"/>
      <c r="CJ36" s="143"/>
      <c r="CK36" s="143"/>
      <c r="CL36" s="143"/>
    </row>
    <row r="37" spans="3:90" x14ac:dyDescent="0.3">
      <c r="C37" s="170">
        <v>31</v>
      </c>
      <c r="D37" s="111" t="str">
        <f ca="1">IF(COUNTA(OFFSET(Dashboard!$B$6,C37,0,1,COUNTA(Dashboard!$B$6:$H$6)))&gt;0,"Yes","-")</f>
        <v>-</v>
      </c>
      <c r="E37" s="170" t="str">
        <f ca="1">IF(D37="-","-",IF(LEN(INDEX(Dashboard!B$6:B$206,$C37+1))=0,"x"&amp;C37&amp;"x","x"&amp;INDEX(Dashboard!B$6:B$206,$C37+1)&amp;"x"))</f>
        <v>-</v>
      </c>
      <c r="F37" s="171" t="str">
        <f ca="1">IF(D37="-","-",IF(LEN(INDEX(Dashboard!$C$6:$C$206,C37+1))=0," ",INDEX(Dashboard!$C$6:$C$206,C37+1)))</f>
        <v>-</v>
      </c>
      <c r="G37" s="219" t="str">
        <f ca="1">IF(OR(D37="-",D37=""),"-",IF(LEN(INDEX(Dashboard!$D$6:$D$228,C37+1))=0,"", "x"&amp;SUBSTITUTE(SUBSTITUTE(INDEX(Dashboard!$D$6:$D$228,C37+1)," ",""),",","x,x")&amp;"x"))</f>
        <v>-</v>
      </c>
      <c r="H37" s="111" t="str">
        <f ca="1">IF(D37="-","-",TRIM(INDEX(Dashboard!$E$6:$E$206,C37+1)))</f>
        <v>-</v>
      </c>
      <c r="I37" s="111" t="str">
        <f ca="1">IF(D37="-","-",IF(LEN(INDEX(Dashboard!$F$6:$F$206,C37+1))=0,$BS$8,IF(ISERROR(MATCH(INDEX(Dashboard!$F$6:$F$206,C37+1),$BS$7:$BS$35,0)),$BS$8,INDEX(Dashboard!$F$6:$F$206,C37+1))))</f>
        <v>-</v>
      </c>
      <c r="J37" s="111" t="str">
        <f ca="1">IF(D37="-","-",SUBSTITUTE(INDEX(Dashboard!$G$6:$G$206,C37+1)," ",""))</f>
        <v>-</v>
      </c>
      <c r="K37" s="111" t="str">
        <f ca="1">IF(D37="-","-",IF(LEN(INDEX(Dashboard!$H$6:$H$206,C37+1))=0,"",INDEX(Dashboard!$H$6:$H$206,C37+1)))</f>
        <v>-</v>
      </c>
      <c r="M37" s="172" t="str">
        <f t="shared" ca="1" si="187"/>
        <v>-</v>
      </c>
      <c r="N37" s="172" t="str">
        <f t="shared" ca="1" si="187"/>
        <v>-</v>
      </c>
      <c r="O37" s="172" t="str">
        <f t="shared" ca="1" si="187"/>
        <v>-</v>
      </c>
      <c r="P37" s="173" t="str">
        <f t="shared" ca="1" si="2"/>
        <v>-</v>
      </c>
      <c r="Q37" s="172" t="str">
        <f t="shared" ca="1" si="2"/>
        <v>-</v>
      </c>
      <c r="R37" s="172" t="str">
        <f t="shared" ca="1" si="2"/>
        <v>-</v>
      </c>
      <c r="S37" s="174" t="str">
        <f t="array" aca="1" ref="S37" ca="1">IF($D37="-","-",SUM(IF(LEN(M37:O37)&gt;0,1,0)))</f>
        <v>-</v>
      </c>
      <c r="T37" s="175" t="str">
        <f t="array" aca="1" ref="T37" ca="1">IF(D37="-","-",SUM(IF(ISERROR(SEARCH(E37,$G$7:$G$206)),0,1)))</f>
        <v>-</v>
      </c>
      <c r="V37" s="204"/>
      <c r="W37" s="127"/>
      <c r="X37" s="177" t="str">
        <f t="shared" si="23"/>
        <v>-</v>
      </c>
      <c r="Y37" s="178"/>
      <c r="Z37" s="127"/>
      <c r="AB37" s="179" t="str">
        <f t="shared" ca="1" si="3"/>
        <v>-</v>
      </c>
      <c r="AC37" s="179" t="str">
        <f t="shared" ca="1" si="3"/>
        <v>-</v>
      </c>
      <c r="AD37" s="179" t="str">
        <f t="shared" ca="1" si="3"/>
        <v>-</v>
      </c>
      <c r="AE37" s="201" t="s">
        <v>226</v>
      </c>
      <c r="AF37" s="180" t="s">
        <v>144</v>
      </c>
      <c r="AG37" s="181" t="s">
        <v>144</v>
      </c>
      <c r="AH37" s="181" t="s">
        <v>135</v>
      </c>
      <c r="AI37" s="181" t="s">
        <v>17</v>
      </c>
      <c r="AJ37" s="181" t="str">
        <f t="shared" ca="1" si="5"/>
        <v>-</v>
      </c>
      <c r="AK37" s="179" t="str">
        <f t="shared" ca="1" si="6"/>
        <v>-</v>
      </c>
      <c r="AL37" s="179" t="str">
        <f t="shared" ca="1" si="6"/>
        <v>-</v>
      </c>
      <c r="AM37" s="179" t="str">
        <f t="shared" ca="1" si="6"/>
        <v>-</v>
      </c>
      <c r="AO37" s="182" t="str">
        <f t="shared" ca="1" si="7"/>
        <v>-</v>
      </c>
      <c r="AP37" s="182" t="str">
        <f t="shared" ca="1" si="7"/>
        <v>-</v>
      </c>
      <c r="AQ37" s="182" t="str">
        <f t="shared" ca="1" si="7"/>
        <v>-</v>
      </c>
      <c r="AU37" s="185" t="str">
        <f t="shared" ref="AU37" ca="1" si="269">IF($D37="-","-",IF(LEN(M37)=0,"", INDEX($AT$7:$AT$15,MATCH(IF($V37-INDEX(GridXRange,P37)&lt;0,"Negative",IF($V37-INDEX(GridXRange,P37)&gt;0,"Positive","Zero")) &amp; " - " &amp;IF($W37-INDEX(GridYRange,P37)&lt;0,"Negative",IF($W37-INDEX(GridYRange,P37)&gt;0,"Positive","Zero")),$AS$7:$AS$15,0))))</f>
        <v>-</v>
      </c>
      <c r="AV37" s="186" t="str">
        <f t="shared" ref="AV37" ca="1" si="270">IF($D37="-","-",IF(LEN(N37)=0,"", INDEX($AT$7:$AT$15,MATCH(IF($V37-INDEX(GridXRange,Q37)&lt;0,"Negative",IF($V37-INDEX(GridXRange,Q37)&gt;0,"Positive","Zero")) &amp; " - " &amp;IF($W37-INDEX(GridYRange,Q37)&lt;0,"Negative",IF($W37-INDEX(GridYRange,Q37)&gt;0,"Positive","Zero")),$AS$7:$AS$15,0))))</f>
        <v>-</v>
      </c>
      <c r="AW37" s="186" t="str">
        <f t="shared" ref="AW37" ca="1" si="271">IF($D37="-","-",IF(LEN(O37)=0,"", INDEX($AT$7:$AT$15,MATCH(IF($V37-INDEX(GridXRange,R37)&lt;0,"Negative",IF($V37-INDEX(GridXRange,R37)&gt;0,"Positive","Zero")) &amp; " - " &amp;IF($W37-INDEX(GridYRange,R37)&lt;0,"Negative",IF($W37-INDEX(GridYRange,R37)&gt;0,"Positive","Zero")),$AS$7:$AS$15,0))))</f>
        <v>-</v>
      </c>
      <c r="AX37" s="187"/>
      <c r="AY37" s="188"/>
      <c r="AZ37" s="188"/>
      <c r="BA37" s="184"/>
      <c r="BB37" s="187" t="str">
        <f t="shared" ca="1" si="191"/>
        <v>-</v>
      </c>
      <c r="BC37" s="188" t="str">
        <f t="shared" ca="1" si="191"/>
        <v>-</v>
      </c>
      <c r="BD37" s="188" t="str">
        <f t="shared" ca="1" si="191"/>
        <v>-</v>
      </c>
      <c r="BE37" s="189" t="str">
        <f t="shared" ca="1" si="191"/>
        <v>-</v>
      </c>
      <c r="BF37" s="202">
        <v>40</v>
      </c>
      <c r="BG37" s="203">
        <v>3</v>
      </c>
      <c r="BH37" s="203">
        <v>3</v>
      </c>
      <c r="BI37" s="202" t="s">
        <v>99</v>
      </c>
      <c r="BK37" s="192" t="str">
        <f t="shared" ref="BK37" ca="1" si="272">IF($D37="-","-",$BK$5 + (V37-StartGridX) * (GapXDiff + $BW$7))</f>
        <v>-</v>
      </c>
      <c r="BL37" s="192" t="str">
        <f t="shared" ref="BL37" ca="1" si="273">IF($D37="-","-",$BL$5 + (W37-StartGridY) * (GapYDiff + $BV$7))</f>
        <v>-</v>
      </c>
      <c r="BM37" s="192" t="str">
        <f t="shared" ca="1" si="14"/>
        <v>-</v>
      </c>
      <c r="BN37" s="192" t="str">
        <f t="shared" ca="1" si="15"/>
        <v>-</v>
      </c>
      <c r="BO37" s="192" t="str">
        <f t="shared" ca="1" si="16"/>
        <v>-</v>
      </c>
      <c r="BP37" s="192" t="str">
        <f t="shared" ca="1" si="17"/>
        <v>-</v>
      </c>
      <c r="BQ37" s="192" t="str">
        <f ca="1">IF($D37="-","-",IF(LEN(K37)=0,1,IFERROR(MATCH(K37,Dashboard!$L$25:$L$31,0),1)))</f>
        <v>-</v>
      </c>
      <c r="CC37" s="143" t="str">
        <f t="shared" ref="CC37" ca="1" si="274">IF($D37="-","-",IF(COUNTIF(IDSourceRange,E37)&gt;1,1,0))</f>
        <v>-</v>
      </c>
      <c r="CD37" s="143" t="str">
        <f t="shared" ref="CD37" ca="1" si="275">IF($D37="-","-",  IF(LEN(M37)=0,0,IF(ISERROR(MATCH(M37,IDSourceRange,0)),1,0)) + IF(LEN(N37)=0,0,IF(ISERROR(MATCH(N37,IDSourceRange,0)),1,0)) + IF(LEN(O37)=0,0,IF(ISERROR(MATCH(O37,IDSourceRange,0)),1,0)) )</f>
        <v>-</v>
      </c>
      <c r="CE37" s="143" t="str">
        <f t="shared" ca="1" si="51"/>
        <v>-</v>
      </c>
      <c r="CF37" s="143" t="s">
        <v>128</v>
      </c>
      <c r="CG37" s="143" t="str">
        <f t="shared" ref="CG37" ca="1" si="276">IF($D37="-","-",IF(X37="-",0,IF(COUNTIF(GridCombinedRange,X37)&gt;1,1,0)))</f>
        <v>-</v>
      </c>
      <c r="CH37" s="143"/>
      <c r="CI37" s="143"/>
      <c r="CJ37" s="143"/>
      <c r="CK37" s="143"/>
      <c r="CL37" s="143"/>
    </row>
    <row r="38" spans="3:90" x14ac:dyDescent="0.3">
      <c r="C38" s="170">
        <v>32</v>
      </c>
      <c r="D38" s="111" t="str">
        <f ca="1">IF(COUNTA(OFFSET(Dashboard!$B$6,C38,0,1,COUNTA(Dashboard!$B$6:$H$6)))&gt;0,"Yes","-")</f>
        <v>-</v>
      </c>
      <c r="E38" s="170" t="str">
        <f ca="1">IF(D38="-","-",IF(LEN(INDEX(Dashboard!B$6:B$206,$C38+1))=0,"x"&amp;C38&amp;"x","x"&amp;INDEX(Dashboard!B$6:B$206,$C38+1)&amp;"x"))</f>
        <v>-</v>
      </c>
      <c r="F38" s="171" t="str">
        <f ca="1">IF(D38="-","-",IF(LEN(INDEX(Dashboard!$C$6:$C$206,C38+1))=0," ",INDEX(Dashboard!$C$6:$C$206,C38+1)))</f>
        <v>-</v>
      </c>
      <c r="G38" s="219" t="str">
        <f ca="1">IF(OR(D38="-",D38=""),"-",IF(LEN(INDEX(Dashboard!$D$6:$D$228,C38+1))=0,"", "x"&amp;SUBSTITUTE(SUBSTITUTE(INDEX(Dashboard!$D$6:$D$228,C38+1)," ",""),",","x,x")&amp;"x"))</f>
        <v>-</v>
      </c>
      <c r="H38" s="111" t="str">
        <f ca="1">IF(D38="-","-",TRIM(INDEX(Dashboard!$E$6:$E$206,C38+1)))</f>
        <v>-</v>
      </c>
      <c r="I38" s="111" t="str">
        <f ca="1">IF(D38="-","-",IF(LEN(INDEX(Dashboard!$F$6:$F$206,C38+1))=0,$BS$8,IF(ISERROR(MATCH(INDEX(Dashboard!$F$6:$F$206,C38+1),$BS$7:$BS$35,0)),$BS$8,INDEX(Dashboard!$F$6:$F$206,C38+1))))</f>
        <v>-</v>
      </c>
      <c r="J38" s="111" t="str">
        <f ca="1">IF(D38="-","-",SUBSTITUTE(INDEX(Dashboard!$G$6:$G$206,C38+1)," ",""))</f>
        <v>-</v>
      </c>
      <c r="K38" s="111" t="str">
        <f ca="1">IF(D38="-","-",IF(LEN(INDEX(Dashboard!$H$6:$H$206,C38+1))=0,"",INDEX(Dashboard!$H$6:$H$206,C38+1)))</f>
        <v>-</v>
      </c>
      <c r="M38" s="172" t="str">
        <f t="shared" ca="1" si="187"/>
        <v>-</v>
      </c>
      <c r="N38" s="172" t="str">
        <f t="shared" ca="1" si="187"/>
        <v>-</v>
      </c>
      <c r="O38" s="172" t="str">
        <f t="shared" ca="1" si="187"/>
        <v>-</v>
      </c>
      <c r="P38" s="173" t="str">
        <f t="shared" ca="1" si="2"/>
        <v>-</v>
      </c>
      <c r="Q38" s="172" t="str">
        <f t="shared" ca="1" si="2"/>
        <v>-</v>
      </c>
      <c r="R38" s="172" t="str">
        <f t="shared" ca="1" si="2"/>
        <v>-</v>
      </c>
      <c r="S38" s="174" t="str">
        <f t="array" aca="1" ref="S38" ca="1">IF($D38="-","-",SUM(IF(LEN(M38:O38)&gt;0,1,0)))</f>
        <v>-</v>
      </c>
      <c r="T38" s="175" t="str">
        <f t="array" aca="1" ref="T38" ca="1">IF(D38="-","-",SUM(IF(ISERROR(SEARCH(E38,$G$7:$G$206)),0,1)))</f>
        <v>-</v>
      </c>
      <c r="V38" s="204"/>
      <c r="W38" s="127"/>
      <c r="X38" s="177" t="str">
        <f t="shared" si="23"/>
        <v>-</v>
      </c>
      <c r="Y38" s="178"/>
      <c r="Z38" s="127"/>
      <c r="AB38" s="179" t="str">
        <f t="shared" ca="1" si="3"/>
        <v>-</v>
      </c>
      <c r="AC38" s="179" t="str">
        <f t="shared" ca="1" si="3"/>
        <v>-</v>
      </c>
      <c r="AD38" s="179" t="str">
        <f t="shared" ca="1" si="3"/>
        <v>-</v>
      </c>
      <c r="AE38" s="201" t="s">
        <v>227</v>
      </c>
      <c r="AF38" s="180" t="s">
        <v>149</v>
      </c>
      <c r="AG38" s="181" t="s">
        <v>144</v>
      </c>
      <c r="AH38" s="181" t="s">
        <v>135</v>
      </c>
      <c r="AI38" s="181" t="s">
        <v>17</v>
      </c>
      <c r="AJ38" s="181" t="str">
        <f t="shared" ca="1" si="5"/>
        <v>-</v>
      </c>
      <c r="AK38" s="179" t="str">
        <f t="shared" ca="1" si="6"/>
        <v>-</v>
      </c>
      <c r="AL38" s="179" t="str">
        <f t="shared" ca="1" si="6"/>
        <v>-</v>
      </c>
      <c r="AM38" s="179" t="str">
        <f t="shared" ca="1" si="6"/>
        <v>-</v>
      </c>
      <c r="AO38" s="182" t="str">
        <f t="shared" ca="1" si="7"/>
        <v>-</v>
      </c>
      <c r="AP38" s="182" t="str">
        <f t="shared" ca="1" si="7"/>
        <v>-</v>
      </c>
      <c r="AQ38" s="182" t="str">
        <f t="shared" ca="1" si="7"/>
        <v>-</v>
      </c>
      <c r="AU38" s="185" t="str">
        <f t="shared" ref="AU38" ca="1" si="277">IF($D38="-","-",IF(LEN(M38)=0,"", INDEX($AT$7:$AT$15,MATCH(IF($V38-INDEX(GridXRange,P38)&lt;0,"Negative",IF($V38-INDEX(GridXRange,P38)&gt;0,"Positive","Zero")) &amp; " - " &amp;IF($W38-INDEX(GridYRange,P38)&lt;0,"Negative",IF($W38-INDEX(GridYRange,P38)&gt;0,"Positive","Zero")),$AS$7:$AS$15,0))))</f>
        <v>-</v>
      </c>
      <c r="AV38" s="186" t="str">
        <f t="shared" ref="AV38" ca="1" si="278">IF($D38="-","-",IF(LEN(N38)=0,"", INDEX($AT$7:$AT$15,MATCH(IF($V38-INDEX(GridXRange,Q38)&lt;0,"Negative",IF($V38-INDEX(GridXRange,Q38)&gt;0,"Positive","Zero")) &amp; " - " &amp;IF($W38-INDEX(GridYRange,Q38)&lt;0,"Negative",IF($W38-INDEX(GridYRange,Q38)&gt;0,"Positive","Zero")),$AS$7:$AS$15,0))))</f>
        <v>-</v>
      </c>
      <c r="AW38" s="186" t="str">
        <f t="shared" ref="AW38" ca="1" si="279">IF($D38="-","-",IF(LEN(O38)=0,"", INDEX($AT$7:$AT$15,MATCH(IF($V38-INDEX(GridXRange,R38)&lt;0,"Negative",IF($V38-INDEX(GridXRange,R38)&gt;0,"Positive","Zero")) &amp; " - " &amp;IF($W38-INDEX(GridYRange,R38)&lt;0,"Negative",IF($W38-INDEX(GridYRange,R38)&gt;0,"Positive","Zero")),$AS$7:$AS$15,0))))</f>
        <v>-</v>
      </c>
      <c r="AX38" s="187"/>
      <c r="AY38" s="188"/>
      <c r="AZ38" s="188"/>
      <c r="BA38" s="184"/>
      <c r="BB38" s="187" t="str">
        <f t="shared" ca="1" si="191"/>
        <v>-</v>
      </c>
      <c r="BC38" s="188" t="str">
        <f t="shared" ca="1" si="191"/>
        <v>-</v>
      </c>
      <c r="BD38" s="188" t="str">
        <f t="shared" ca="1" si="191"/>
        <v>-</v>
      </c>
      <c r="BE38" s="189" t="str">
        <f t="shared" ca="1" si="191"/>
        <v>-</v>
      </c>
      <c r="BF38" s="190">
        <v>45</v>
      </c>
      <c r="BG38" s="191">
        <v>4</v>
      </c>
      <c r="BH38" s="191">
        <v>2</v>
      </c>
      <c r="BI38" s="190"/>
      <c r="BK38" s="192" t="str">
        <f t="shared" ref="BK38" ca="1" si="280">IF($D38="-","-",$BK$5 + (V38-StartGridX) * (GapXDiff + $BW$7))</f>
        <v>-</v>
      </c>
      <c r="BL38" s="192" t="str">
        <f t="shared" ref="BL38" ca="1" si="281">IF($D38="-","-",$BL$5 + (W38-StartGridY) * (GapYDiff + $BV$7))</f>
        <v>-</v>
      </c>
      <c r="BM38" s="192" t="str">
        <f t="shared" ca="1" si="14"/>
        <v>-</v>
      </c>
      <c r="BN38" s="192" t="str">
        <f t="shared" ca="1" si="15"/>
        <v>-</v>
      </c>
      <c r="BO38" s="192" t="str">
        <f t="shared" ca="1" si="16"/>
        <v>-</v>
      </c>
      <c r="BP38" s="192" t="str">
        <f t="shared" ca="1" si="17"/>
        <v>-</v>
      </c>
      <c r="BQ38" s="192" t="str">
        <f ca="1">IF($D38="-","-",IF(LEN(K38)=0,1,IFERROR(MATCH(K38,Dashboard!$L$25:$L$31,0),1)))</f>
        <v>-</v>
      </c>
      <c r="CC38" s="143" t="str">
        <f t="shared" ref="CC38" ca="1" si="282">IF($D38="-","-",IF(COUNTIF(IDSourceRange,E38)&gt;1,1,0))</f>
        <v>-</v>
      </c>
      <c r="CD38" s="143" t="str">
        <f t="shared" ref="CD38" ca="1" si="283">IF($D38="-","-",  IF(LEN(M38)=0,0,IF(ISERROR(MATCH(M38,IDSourceRange,0)),1,0)) + IF(LEN(N38)=0,0,IF(ISERROR(MATCH(N38,IDSourceRange,0)),1,0)) + IF(LEN(O38)=0,0,IF(ISERROR(MATCH(O38,IDSourceRange,0)),1,0)) )</f>
        <v>-</v>
      </c>
      <c r="CE38" s="143" t="str">
        <f t="shared" ca="1" si="51"/>
        <v>-</v>
      </c>
      <c r="CF38" s="143" t="s">
        <v>128</v>
      </c>
      <c r="CG38" s="143" t="str">
        <f t="shared" ref="CG38" ca="1" si="284">IF($D38="-","-",IF(X38="-",0,IF(COUNTIF(GridCombinedRange,X38)&gt;1,1,0)))</f>
        <v>-</v>
      </c>
      <c r="CH38" s="143"/>
      <c r="CI38" s="143"/>
      <c r="CJ38" s="143"/>
      <c r="CK38" s="143"/>
      <c r="CL38" s="143"/>
    </row>
    <row r="39" spans="3:90" x14ac:dyDescent="0.3">
      <c r="C39" s="170">
        <v>33</v>
      </c>
      <c r="D39" s="111" t="str">
        <f ca="1">IF(COUNTA(OFFSET(Dashboard!$B$6,C39,0,1,COUNTA(Dashboard!$B$6:$H$6)))&gt;0,"Yes","-")</f>
        <v>-</v>
      </c>
      <c r="E39" s="170" t="str">
        <f ca="1">IF(D39="-","-",IF(LEN(INDEX(Dashboard!B$6:B$206,$C39+1))=0,"x"&amp;C39&amp;"x","x"&amp;INDEX(Dashboard!B$6:B$206,$C39+1)&amp;"x"))</f>
        <v>-</v>
      </c>
      <c r="F39" s="171" t="str">
        <f ca="1">IF(D39="-","-",IF(LEN(INDEX(Dashboard!$C$6:$C$206,C39+1))=0," ",INDEX(Dashboard!$C$6:$C$206,C39+1)))</f>
        <v>-</v>
      </c>
      <c r="G39" s="219" t="str">
        <f ca="1">IF(OR(D39="-",D39=""),"-",IF(LEN(INDEX(Dashboard!$D$6:$D$228,C39+1))=0,"", "x"&amp;SUBSTITUTE(SUBSTITUTE(INDEX(Dashboard!$D$6:$D$228,C39+1)," ",""),",","x,x")&amp;"x"))</f>
        <v>-</v>
      </c>
      <c r="H39" s="111" t="str">
        <f ca="1">IF(D39="-","-",TRIM(INDEX(Dashboard!$E$6:$E$206,C39+1)))</f>
        <v>-</v>
      </c>
      <c r="I39" s="111" t="str">
        <f ca="1">IF(D39="-","-",IF(LEN(INDEX(Dashboard!$F$6:$F$206,C39+1))=0,$BS$8,IF(ISERROR(MATCH(INDEX(Dashboard!$F$6:$F$206,C39+1),$BS$7:$BS$35,0)),$BS$8,INDEX(Dashboard!$F$6:$F$206,C39+1))))</f>
        <v>-</v>
      </c>
      <c r="J39" s="111" t="str">
        <f ca="1">IF(D39="-","-",SUBSTITUTE(INDEX(Dashboard!$G$6:$G$206,C39+1)," ",""))</f>
        <v>-</v>
      </c>
      <c r="K39" s="111" t="str">
        <f ca="1">IF(D39="-","-",IF(LEN(INDEX(Dashboard!$H$6:$H$206,C39+1))=0,"",INDEX(Dashboard!$H$6:$H$206,C39+1)))</f>
        <v>-</v>
      </c>
      <c r="M39" s="172" t="str">
        <f t="shared" ca="1" si="187"/>
        <v>-</v>
      </c>
      <c r="N39" s="172" t="str">
        <f t="shared" ca="1" si="187"/>
        <v>-</v>
      </c>
      <c r="O39" s="172" t="str">
        <f t="shared" ca="1" si="187"/>
        <v>-</v>
      </c>
      <c r="P39" s="173" t="str">
        <f t="shared" ref="P39:R70" ca="1" si="285">IF($D39="-","-",IF(LEN(M39)=0,"",MATCH(M39,$E$7:$E$206,0)))</f>
        <v>-</v>
      </c>
      <c r="Q39" s="172" t="str">
        <f t="shared" ca="1" si="285"/>
        <v>-</v>
      </c>
      <c r="R39" s="172" t="str">
        <f t="shared" ca="1" si="285"/>
        <v>-</v>
      </c>
      <c r="S39" s="174" t="str">
        <f t="array" aca="1" ref="S39" ca="1">IF($D39="-","-",SUM(IF(LEN(M39:O39)&gt;0,1,0)))</f>
        <v>-</v>
      </c>
      <c r="T39" s="175" t="str">
        <f t="array" aca="1" ref="T39" ca="1">IF(D39="-","-",SUM(IF(ISERROR(SEARCH(E39,$G$7:$G$206)),0,1)))</f>
        <v>-</v>
      </c>
      <c r="V39" s="204"/>
      <c r="W39" s="127"/>
      <c r="X39" s="177" t="str">
        <f t="shared" si="23"/>
        <v>-</v>
      </c>
      <c r="Y39" s="178"/>
      <c r="Z39" s="127"/>
      <c r="AB39" s="179" t="str">
        <f t="shared" ref="AB39:AD70" ca="1" si="286">IF($D39="-","-",IF(LEN(M39)=0,"",TRIM(MID(SUBSTITUTE($J39,",",REPT(" ",LEN($J39))),(AB$6-1)*LEN($J39)+1,LEN($J39)))))</f>
        <v>-</v>
      </c>
      <c r="AC39" s="179" t="str">
        <f t="shared" ca="1" si="286"/>
        <v>-</v>
      </c>
      <c r="AD39" s="179" t="str">
        <f t="shared" ca="1" si="286"/>
        <v>-</v>
      </c>
      <c r="AE39" s="201" t="s">
        <v>228</v>
      </c>
      <c r="AF39" s="180" t="s">
        <v>17</v>
      </c>
      <c r="AG39" s="181" t="s">
        <v>125</v>
      </c>
      <c r="AH39" s="181" t="s">
        <v>17</v>
      </c>
      <c r="AI39" s="181" t="s">
        <v>144</v>
      </c>
      <c r="AJ39" s="181" t="str">
        <f t="shared" ca="1" si="5"/>
        <v>-</v>
      </c>
      <c r="AK39" s="179" t="str">
        <f t="shared" ca="1" si="6"/>
        <v>-</v>
      </c>
      <c r="AL39" s="179" t="str">
        <f t="shared" ca="1" si="6"/>
        <v>-</v>
      </c>
      <c r="AM39" s="179" t="str">
        <f t="shared" ca="1" si="6"/>
        <v>-</v>
      </c>
      <c r="AO39" s="182" t="str">
        <f t="shared" ref="AO39:AQ70" ca="1" si="287">IF($D39="-","-",IF(LEN(M39)=0,"",TRIM(MID(SUBSTITUTE($H39,",",REPT(" ",LEN($H39))),(M$6-1)*LEN($H39)+1,LEN($H39)))))</f>
        <v>-</v>
      </c>
      <c r="AP39" s="182" t="str">
        <f t="shared" ca="1" si="287"/>
        <v>-</v>
      </c>
      <c r="AQ39" s="182" t="str">
        <f t="shared" ca="1" si="287"/>
        <v>-</v>
      </c>
      <c r="AU39" s="185" t="str">
        <f t="shared" ref="AU39" ca="1" si="288">IF($D39="-","-",IF(LEN(M39)=0,"", INDEX($AT$7:$AT$15,MATCH(IF($V39-INDEX(GridXRange,P39)&lt;0,"Negative",IF($V39-INDEX(GridXRange,P39)&gt;0,"Positive","Zero")) &amp; " - " &amp;IF($W39-INDEX(GridYRange,P39)&lt;0,"Negative",IF($W39-INDEX(GridYRange,P39)&gt;0,"Positive","Zero")),$AS$7:$AS$15,0))))</f>
        <v>-</v>
      </c>
      <c r="AV39" s="186" t="str">
        <f t="shared" ref="AV39" ca="1" si="289">IF($D39="-","-",IF(LEN(N39)=0,"", INDEX($AT$7:$AT$15,MATCH(IF($V39-INDEX(GridXRange,Q39)&lt;0,"Negative",IF($V39-INDEX(GridXRange,Q39)&gt;0,"Positive","Zero")) &amp; " - " &amp;IF($W39-INDEX(GridYRange,Q39)&lt;0,"Negative",IF($W39-INDEX(GridYRange,Q39)&gt;0,"Positive","Zero")),$AS$7:$AS$15,0))))</f>
        <v>-</v>
      </c>
      <c r="AW39" s="186" t="str">
        <f t="shared" ref="AW39" ca="1" si="290">IF($D39="-","-",IF(LEN(O39)=0,"", INDEX($AT$7:$AT$15,MATCH(IF($V39-INDEX(GridXRange,R39)&lt;0,"Negative",IF($V39-INDEX(GridXRange,R39)&gt;0,"Positive","Zero")) &amp; " - " &amp;IF($W39-INDEX(GridYRange,R39)&lt;0,"Negative",IF($W39-INDEX(GridYRange,R39)&gt;0,"Positive","Zero")),$AS$7:$AS$15,0))))</f>
        <v>-</v>
      </c>
      <c r="AX39" s="187"/>
      <c r="AY39" s="188"/>
      <c r="AZ39" s="188"/>
      <c r="BA39" s="184"/>
      <c r="BB39" s="187" t="str">
        <f t="shared" ca="1" si="191"/>
        <v>-</v>
      </c>
      <c r="BC39" s="188" t="str">
        <f t="shared" ca="1" si="191"/>
        <v>-</v>
      </c>
      <c r="BD39" s="188" t="str">
        <f t="shared" ca="1" si="191"/>
        <v>-</v>
      </c>
      <c r="BE39" s="189" t="str">
        <f t="shared" ca="1" si="191"/>
        <v>-</v>
      </c>
      <c r="BF39" s="199">
        <v>45</v>
      </c>
      <c r="BG39" s="200">
        <v>1</v>
      </c>
      <c r="BH39" s="200">
        <v>3</v>
      </c>
      <c r="BI39" s="199"/>
      <c r="BK39" s="192" t="str">
        <f t="shared" ref="BK39" ca="1" si="291">IF($D39="-","-",$BK$5 + (V39-StartGridX) * (GapXDiff + $BW$7))</f>
        <v>-</v>
      </c>
      <c r="BL39" s="192" t="str">
        <f t="shared" ref="BL39" ca="1" si="292">IF($D39="-","-",$BL$5 + (W39-StartGridY) * (GapYDiff + $BV$7))</f>
        <v>-</v>
      </c>
      <c r="BM39" s="192" t="str">
        <f t="shared" ca="1" si="14"/>
        <v>-</v>
      </c>
      <c r="BN39" s="192" t="str">
        <f t="shared" ca="1" si="15"/>
        <v>-</v>
      </c>
      <c r="BO39" s="192" t="str">
        <f t="shared" ca="1" si="16"/>
        <v>-</v>
      </c>
      <c r="BP39" s="192" t="str">
        <f t="shared" ca="1" si="17"/>
        <v>-</v>
      </c>
      <c r="BQ39" s="192" t="str">
        <f ca="1">IF($D39="-","-",IF(LEN(K39)=0,1,IFERROR(MATCH(K39,Dashboard!$L$25:$L$31,0),1)))</f>
        <v>-</v>
      </c>
      <c r="CC39" s="143" t="str">
        <f t="shared" ref="CC39" ca="1" si="293">IF($D39="-","-",IF(COUNTIF(IDSourceRange,E39)&gt;1,1,0))</f>
        <v>-</v>
      </c>
      <c r="CD39" s="143" t="str">
        <f t="shared" ref="CD39" ca="1" si="294">IF($D39="-","-",  IF(LEN(M39)=0,0,IF(ISERROR(MATCH(M39,IDSourceRange,0)),1,0)) + IF(LEN(N39)=0,0,IF(ISERROR(MATCH(N39,IDSourceRange,0)),1,0)) + IF(LEN(O39)=0,0,IF(ISERROR(MATCH(O39,IDSourceRange,0)),1,0)) )</f>
        <v>-</v>
      </c>
      <c r="CE39" s="143" t="str">
        <f t="shared" ca="1" si="51"/>
        <v>-</v>
      </c>
      <c r="CF39" s="143" t="s">
        <v>128</v>
      </c>
      <c r="CG39" s="143" t="str">
        <f t="shared" ref="CG39" ca="1" si="295">IF($D39="-","-",IF(X39="-",0,IF(COUNTIF(GridCombinedRange,X39)&gt;1,1,0)))</f>
        <v>-</v>
      </c>
      <c r="CH39" s="143"/>
      <c r="CI39" s="143"/>
      <c r="CJ39" s="143"/>
      <c r="CK39" s="143"/>
      <c r="CL39" s="143"/>
    </row>
    <row r="40" spans="3:90" x14ac:dyDescent="0.3">
      <c r="C40" s="170">
        <v>34</v>
      </c>
      <c r="D40" s="111" t="str">
        <f ca="1">IF(COUNTA(OFFSET(Dashboard!$B$6,C40,0,1,COUNTA(Dashboard!$B$6:$H$6)))&gt;0,"Yes","-")</f>
        <v>-</v>
      </c>
      <c r="E40" s="170" t="str">
        <f ca="1">IF(D40="-","-",IF(LEN(INDEX(Dashboard!B$6:B$206,$C40+1))=0,"x"&amp;C40&amp;"x","x"&amp;INDEX(Dashboard!B$6:B$206,$C40+1)&amp;"x"))</f>
        <v>-</v>
      </c>
      <c r="F40" s="171" t="str">
        <f ca="1">IF(D40="-","-",IF(LEN(INDEX(Dashboard!$C$6:$C$206,C40+1))=0," ",INDEX(Dashboard!$C$6:$C$206,C40+1)))</f>
        <v>-</v>
      </c>
      <c r="G40" s="219" t="str">
        <f ca="1">IF(OR(D40="-",D40=""),"-",IF(LEN(INDEX(Dashboard!$D$6:$D$228,C40+1))=0,"", "x"&amp;SUBSTITUTE(SUBSTITUTE(INDEX(Dashboard!$D$6:$D$228,C40+1)," ",""),",","x,x")&amp;"x"))</f>
        <v>-</v>
      </c>
      <c r="H40" s="111" t="str">
        <f ca="1">IF(D40="-","-",TRIM(INDEX(Dashboard!$E$6:$E$206,C40+1)))</f>
        <v>-</v>
      </c>
      <c r="I40" s="111" t="str">
        <f ca="1">IF(D40="-","-",IF(LEN(INDEX(Dashboard!$F$6:$F$206,C40+1))=0,$BS$8,IF(ISERROR(MATCH(INDEX(Dashboard!$F$6:$F$206,C40+1),$BS$7:$BS$35,0)),$BS$8,INDEX(Dashboard!$F$6:$F$206,C40+1))))</f>
        <v>-</v>
      </c>
      <c r="J40" s="111" t="str">
        <f ca="1">IF(D40="-","-",SUBSTITUTE(INDEX(Dashboard!$G$6:$G$206,C40+1)," ",""))</f>
        <v>-</v>
      </c>
      <c r="K40" s="111" t="str">
        <f ca="1">IF(D40="-","-",IF(LEN(INDEX(Dashboard!$H$6:$H$206,C40+1))=0,"",INDEX(Dashboard!$H$6:$H$206,C40+1)))</f>
        <v>-</v>
      </c>
      <c r="M40" s="172" t="str">
        <f t="shared" ca="1" si="187"/>
        <v>-</v>
      </c>
      <c r="N40" s="172" t="str">
        <f t="shared" ca="1" si="187"/>
        <v>-</v>
      </c>
      <c r="O40" s="172" t="str">
        <f t="shared" ca="1" si="187"/>
        <v>-</v>
      </c>
      <c r="P40" s="173" t="str">
        <f t="shared" ca="1" si="285"/>
        <v>-</v>
      </c>
      <c r="Q40" s="172" t="str">
        <f t="shared" ca="1" si="285"/>
        <v>-</v>
      </c>
      <c r="R40" s="172" t="str">
        <f t="shared" ca="1" si="285"/>
        <v>-</v>
      </c>
      <c r="S40" s="174" t="str">
        <f t="array" aca="1" ref="S40" ca="1">IF($D40="-","-",SUM(IF(LEN(M40:O40)&gt;0,1,0)))</f>
        <v>-</v>
      </c>
      <c r="T40" s="175" t="str">
        <f t="array" aca="1" ref="T40" ca="1">IF(D40="-","-",SUM(IF(ISERROR(SEARCH(E40,$G$7:$G$206)),0,1)))</f>
        <v>-</v>
      </c>
      <c r="V40" s="204"/>
      <c r="W40" s="127"/>
      <c r="X40" s="177" t="str">
        <f t="shared" si="23"/>
        <v>-</v>
      </c>
      <c r="Y40" s="178"/>
      <c r="Z40" s="127"/>
      <c r="AB40" s="179" t="str">
        <f t="shared" ca="1" si="286"/>
        <v>-</v>
      </c>
      <c r="AC40" s="179" t="str">
        <f t="shared" ca="1" si="286"/>
        <v>-</v>
      </c>
      <c r="AD40" s="179" t="str">
        <f t="shared" ca="1" si="286"/>
        <v>-</v>
      </c>
      <c r="AE40" s="201" t="s">
        <v>229</v>
      </c>
      <c r="AF40" s="180" t="s">
        <v>21</v>
      </c>
      <c r="AG40" s="181" t="s">
        <v>125</v>
      </c>
      <c r="AH40" s="181" t="s">
        <v>17</v>
      </c>
      <c r="AI40" s="181" t="s">
        <v>135</v>
      </c>
      <c r="AJ40" s="181" t="str">
        <f t="shared" ca="1" si="5"/>
        <v>-</v>
      </c>
      <c r="AK40" s="179" t="str">
        <f t="shared" ca="1" si="6"/>
        <v>-</v>
      </c>
      <c r="AL40" s="179" t="str">
        <f t="shared" ca="1" si="6"/>
        <v>-</v>
      </c>
      <c r="AM40" s="179" t="str">
        <f t="shared" ca="1" si="6"/>
        <v>-</v>
      </c>
      <c r="AO40" s="182" t="str">
        <f t="shared" ca="1" si="287"/>
        <v>-</v>
      </c>
      <c r="AP40" s="182" t="str">
        <f t="shared" ca="1" si="287"/>
        <v>-</v>
      </c>
      <c r="AQ40" s="182" t="str">
        <f t="shared" ca="1" si="287"/>
        <v>-</v>
      </c>
      <c r="AU40" s="185" t="str">
        <f t="shared" ref="AU40" ca="1" si="296">IF($D40="-","-",IF(LEN(M40)=0,"", INDEX($AT$7:$AT$15,MATCH(IF($V40-INDEX(GridXRange,P40)&lt;0,"Negative",IF($V40-INDEX(GridXRange,P40)&gt;0,"Positive","Zero")) &amp; " - " &amp;IF($W40-INDEX(GridYRange,P40)&lt;0,"Negative",IF($W40-INDEX(GridYRange,P40)&gt;0,"Positive","Zero")),$AS$7:$AS$15,0))))</f>
        <v>-</v>
      </c>
      <c r="AV40" s="186" t="str">
        <f t="shared" ref="AV40" ca="1" si="297">IF($D40="-","-",IF(LEN(N40)=0,"", INDEX($AT$7:$AT$15,MATCH(IF($V40-INDEX(GridXRange,Q40)&lt;0,"Negative",IF($V40-INDEX(GridXRange,Q40)&gt;0,"Positive","Zero")) &amp; " - " &amp;IF($W40-INDEX(GridYRange,Q40)&lt;0,"Negative",IF($W40-INDEX(GridYRange,Q40)&gt;0,"Positive","Zero")),$AS$7:$AS$15,0))))</f>
        <v>-</v>
      </c>
      <c r="AW40" s="186" t="str">
        <f t="shared" ref="AW40" ca="1" si="298">IF($D40="-","-",IF(LEN(O40)=0,"", INDEX($AT$7:$AT$15,MATCH(IF($V40-INDEX(GridXRange,R40)&lt;0,"Negative",IF($V40-INDEX(GridXRange,R40)&gt;0,"Positive","Zero")) &amp; " - " &amp;IF($W40-INDEX(GridYRange,R40)&lt;0,"Negative",IF($W40-INDEX(GridYRange,R40)&gt;0,"Positive","Zero")),$AS$7:$AS$15,0))))</f>
        <v>-</v>
      </c>
      <c r="AX40" s="187"/>
      <c r="AY40" s="188"/>
      <c r="AZ40" s="188"/>
      <c r="BA40" s="184"/>
      <c r="BB40" s="187" t="str">
        <f t="shared" ca="1" si="191"/>
        <v>-</v>
      </c>
      <c r="BC40" s="188" t="str">
        <f t="shared" ca="1" si="191"/>
        <v>-</v>
      </c>
      <c r="BD40" s="188" t="str">
        <f t="shared" ca="1" si="191"/>
        <v>-</v>
      </c>
      <c r="BE40" s="189" t="str">
        <f t="shared" ca="1" si="191"/>
        <v>-</v>
      </c>
      <c r="BF40" s="199">
        <v>45</v>
      </c>
      <c r="BG40" s="200">
        <v>4</v>
      </c>
      <c r="BH40" s="200">
        <v>3</v>
      </c>
      <c r="BI40" s="199"/>
      <c r="BK40" s="192" t="str">
        <f t="shared" ref="BK40" ca="1" si="299">IF($D40="-","-",$BK$5 + (V40-StartGridX) * (GapXDiff + $BW$7))</f>
        <v>-</v>
      </c>
      <c r="BL40" s="192" t="str">
        <f t="shared" ref="BL40" ca="1" si="300">IF($D40="-","-",$BL$5 + (W40-StartGridY) * (GapYDiff + $BV$7))</f>
        <v>-</v>
      </c>
      <c r="BM40" s="192" t="str">
        <f t="shared" ca="1" si="14"/>
        <v>-</v>
      </c>
      <c r="BN40" s="192" t="str">
        <f t="shared" ca="1" si="15"/>
        <v>-</v>
      </c>
      <c r="BO40" s="192" t="str">
        <f t="shared" ca="1" si="16"/>
        <v>-</v>
      </c>
      <c r="BP40" s="192" t="str">
        <f t="shared" ca="1" si="17"/>
        <v>-</v>
      </c>
      <c r="BQ40" s="192" t="str">
        <f ca="1">IF($D40="-","-",IF(LEN(K40)=0,1,IFERROR(MATCH(K40,Dashboard!$L$25:$L$31,0),1)))</f>
        <v>-</v>
      </c>
      <c r="CC40" s="143" t="str">
        <f t="shared" ref="CC40" ca="1" si="301">IF($D40="-","-",IF(COUNTIF(IDSourceRange,E40)&gt;1,1,0))</f>
        <v>-</v>
      </c>
      <c r="CD40" s="143" t="str">
        <f t="shared" ref="CD40" ca="1" si="302">IF($D40="-","-",  IF(LEN(M40)=0,0,IF(ISERROR(MATCH(M40,IDSourceRange,0)),1,0)) + IF(LEN(N40)=0,0,IF(ISERROR(MATCH(N40,IDSourceRange,0)),1,0)) + IF(LEN(O40)=0,0,IF(ISERROR(MATCH(O40,IDSourceRange,0)),1,0)) )</f>
        <v>-</v>
      </c>
      <c r="CE40" s="143" t="str">
        <f t="shared" ca="1" si="51"/>
        <v>-</v>
      </c>
      <c r="CF40" s="143" t="s">
        <v>128</v>
      </c>
      <c r="CG40" s="143" t="str">
        <f t="shared" ref="CG40" ca="1" si="303">IF($D40="-","-",IF(X40="-",0,IF(COUNTIF(GridCombinedRange,X40)&gt;1,1,0)))</f>
        <v>-</v>
      </c>
      <c r="CH40" s="143"/>
      <c r="CI40" s="143"/>
      <c r="CJ40" s="143"/>
      <c r="CK40" s="143"/>
      <c r="CL40" s="143"/>
    </row>
    <row r="41" spans="3:90" x14ac:dyDescent="0.3">
      <c r="C41" s="170">
        <v>35</v>
      </c>
      <c r="D41" s="111" t="str">
        <f ca="1">IF(COUNTA(OFFSET(Dashboard!$B$6,C41,0,1,COUNTA(Dashboard!$B$6:$H$6)))&gt;0,"Yes","-")</f>
        <v>-</v>
      </c>
      <c r="E41" s="170" t="str">
        <f ca="1">IF(D41="-","-",IF(LEN(INDEX(Dashboard!B$6:B$206,$C41+1))=0,"x"&amp;C41&amp;"x","x"&amp;INDEX(Dashboard!B$6:B$206,$C41+1)&amp;"x"))</f>
        <v>-</v>
      </c>
      <c r="F41" s="171" t="str">
        <f ca="1">IF(D41="-","-",IF(LEN(INDEX(Dashboard!$C$6:$C$206,C41+1))=0," ",INDEX(Dashboard!$C$6:$C$206,C41+1)))</f>
        <v>-</v>
      </c>
      <c r="G41" s="219" t="str">
        <f ca="1">IF(OR(D41="-",D41=""),"-",IF(LEN(INDEX(Dashboard!$D$6:$D$228,C41+1))=0,"", "x"&amp;SUBSTITUTE(SUBSTITUTE(INDEX(Dashboard!$D$6:$D$228,C41+1)," ",""),",","x,x")&amp;"x"))</f>
        <v>-</v>
      </c>
      <c r="H41" s="111" t="str">
        <f ca="1">IF(D41="-","-",TRIM(INDEX(Dashboard!$E$6:$E$206,C41+1)))</f>
        <v>-</v>
      </c>
      <c r="I41" s="111" t="str">
        <f ca="1">IF(D41="-","-",IF(LEN(INDEX(Dashboard!$F$6:$F$206,C41+1))=0,$BS$8,IF(ISERROR(MATCH(INDEX(Dashboard!$F$6:$F$206,C41+1),$BS$7:$BS$35,0)),$BS$8,INDEX(Dashboard!$F$6:$F$206,C41+1))))</f>
        <v>-</v>
      </c>
      <c r="J41" s="111" t="str">
        <f ca="1">IF(D41="-","-",SUBSTITUTE(INDEX(Dashboard!$G$6:$G$206,C41+1)," ",""))</f>
        <v>-</v>
      </c>
      <c r="K41" s="111" t="str">
        <f ca="1">IF(D41="-","-",IF(LEN(INDEX(Dashboard!$H$6:$H$206,C41+1))=0,"",INDEX(Dashboard!$H$6:$H$206,C41+1)))</f>
        <v>-</v>
      </c>
      <c r="M41" s="172" t="str">
        <f t="shared" ca="1" si="187"/>
        <v>-</v>
      </c>
      <c r="N41" s="172" t="str">
        <f t="shared" ca="1" si="187"/>
        <v>-</v>
      </c>
      <c r="O41" s="172" t="str">
        <f t="shared" ca="1" si="187"/>
        <v>-</v>
      </c>
      <c r="P41" s="173" t="str">
        <f t="shared" ca="1" si="285"/>
        <v>-</v>
      </c>
      <c r="Q41" s="172" t="str">
        <f t="shared" ca="1" si="285"/>
        <v>-</v>
      </c>
      <c r="R41" s="172" t="str">
        <f t="shared" ca="1" si="285"/>
        <v>-</v>
      </c>
      <c r="S41" s="174" t="str">
        <f t="array" aca="1" ref="S41" ca="1">IF($D41="-","-",SUM(IF(LEN(M41:O41)&gt;0,1,0)))</f>
        <v>-</v>
      </c>
      <c r="T41" s="175" t="str">
        <f t="array" aca="1" ref="T41" ca="1">IF(D41="-","-",SUM(IF(ISERROR(SEARCH(E41,$G$7:$G$206)),0,1)))</f>
        <v>-</v>
      </c>
      <c r="V41" s="204"/>
      <c r="W41" s="127"/>
      <c r="X41" s="177" t="str">
        <f t="shared" si="23"/>
        <v>-</v>
      </c>
      <c r="Y41" s="178"/>
      <c r="Z41" s="127"/>
      <c r="AB41" s="179" t="str">
        <f t="shared" ca="1" si="286"/>
        <v>-</v>
      </c>
      <c r="AC41" s="179" t="str">
        <f t="shared" ca="1" si="286"/>
        <v>-</v>
      </c>
      <c r="AD41" s="179" t="str">
        <f t="shared" ca="1" si="286"/>
        <v>-</v>
      </c>
      <c r="AE41" s="201" t="s">
        <v>230</v>
      </c>
      <c r="AJ41" s="181" t="str">
        <f t="shared" ca="1" si="5"/>
        <v>-</v>
      </c>
      <c r="AK41" s="179" t="str">
        <f t="shared" ca="1" si="6"/>
        <v>-</v>
      </c>
      <c r="AL41" s="179" t="str">
        <f t="shared" ca="1" si="6"/>
        <v>-</v>
      </c>
      <c r="AM41" s="179" t="str">
        <f t="shared" ca="1" si="6"/>
        <v>-</v>
      </c>
      <c r="AO41" s="182" t="str">
        <f t="shared" ca="1" si="287"/>
        <v>-</v>
      </c>
      <c r="AP41" s="182" t="str">
        <f t="shared" ca="1" si="287"/>
        <v>-</v>
      </c>
      <c r="AQ41" s="182" t="str">
        <f t="shared" ca="1" si="287"/>
        <v>-</v>
      </c>
      <c r="AU41" s="185" t="str">
        <f t="shared" ref="AU41" ca="1" si="304">IF($D41="-","-",IF(LEN(M41)=0,"", INDEX($AT$7:$AT$15,MATCH(IF($V41-INDEX(GridXRange,P41)&lt;0,"Negative",IF($V41-INDEX(GridXRange,P41)&gt;0,"Positive","Zero")) &amp; " - " &amp;IF($W41-INDEX(GridYRange,P41)&lt;0,"Negative",IF($W41-INDEX(GridYRange,P41)&gt;0,"Positive","Zero")),$AS$7:$AS$15,0))))</f>
        <v>-</v>
      </c>
      <c r="AV41" s="186" t="str">
        <f t="shared" ref="AV41" ca="1" si="305">IF($D41="-","-",IF(LEN(N41)=0,"", INDEX($AT$7:$AT$15,MATCH(IF($V41-INDEX(GridXRange,Q41)&lt;0,"Negative",IF($V41-INDEX(GridXRange,Q41)&gt;0,"Positive","Zero")) &amp; " - " &amp;IF($W41-INDEX(GridYRange,Q41)&lt;0,"Negative",IF($W41-INDEX(GridYRange,Q41)&gt;0,"Positive","Zero")),$AS$7:$AS$15,0))))</f>
        <v>-</v>
      </c>
      <c r="AW41" s="186" t="str">
        <f t="shared" ref="AW41" ca="1" si="306">IF($D41="-","-",IF(LEN(O41)=0,"", INDEX($AT$7:$AT$15,MATCH(IF($V41-INDEX(GridXRange,R41)&lt;0,"Negative",IF($V41-INDEX(GridXRange,R41)&gt;0,"Positive","Zero")) &amp; " - " &amp;IF($W41-INDEX(GridYRange,R41)&lt;0,"Negative",IF($W41-INDEX(GridYRange,R41)&gt;0,"Positive","Zero")),$AS$7:$AS$15,0))))</f>
        <v>-</v>
      </c>
      <c r="AX41" s="187"/>
      <c r="AY41" s="188"/>
      <c r="AZ41" s="188"/>
      <c r="BA41" s="184"/>
      <c r="BB41" s="187" t="str">
        <f t="shared" ca="1" si="191"/>
        <v>-</v>
      </c>
      <c r="BC41" s="188" t="str">
        <f t="shared" ca="1" si="191"/>
        <v>-</v>
      </c>
      <c r="BD41" s="188" t="str">
        <f t="shared" ca="1" si="191"/>
        <v>-</v>
      </c>
      <c r="BE41" s="189" t="str">
        <f t="shared" ca="1" si="191"/>
        <v>-</v>
      </c>
      <c r="BF41" s="199">
        <v>45</v>
      </c>
      <c r="BG41" s="200">
        <v>1</v>
      </c>
      <c r="BH41" s="200">
        <v>2</v>
      </c>
      <c r="BI41" s="199"/>
      <c r="BK41" s="192" t="str">
        <f t="shared" ref="BK41" ca="1" si="307">IF($D41="-","-",$BK$5 + (V41-StartGridX) * (GapXDiff + $BW$7))</f>
        <v>-</v>
      </c>
      <c r="BL41" s="192" t="str">
        <f t="shared" ref="BL41" ca="1" si="308">IF($D41="-","-",$BL$5 + (W41-StartGridY) * (GapYDiff + $BV$7))</f>
        <v>-</v>
      </c>
      <c r="BM41" s="192" t="str">
        <f t="shared" ca="1" si="14"/>
        <v>-</v>
      </c>
      <c r="BN41" s="192" t="str">
        <f t="shared" ca="1" si="15"/>
        <v>-</v>
      </c>
      <c r="BO41" s="192" t="str">
        <f t="shared" ca="1" si="16"/>
        <v>-</v>
      </c>
      <c r="BP41" s="192" t="str">
        <f t="shared" ca="1" si="17"/>
        <v>-</v>
      </c>
      <c r="BQ41" s="192" t="str">
        <f ca="1">IF($D41="-","-",IF(LEN(K41)=0,1,IFERROR(MATCH(K41,Dashboard!$L$25:$L$31,0),1)))</f>
        <v>-</v>
      </c>
      <c r="CC41" s="143" t="str">
        <f t="shared" ref="CC41" ca="1" si="309">IF($D41="-","-",IF(COUNTIF(IDSourceRange,E41)&gt;1,1,0))</f>
        <v>-</v>
      </c>
      <c r="CD41" s="143" t="str">
        <f t="shared" ref="CD41" ca="1" si="310">IF($D41="-","-",  IF(LEN(M41)=0,0,IF(ISERROR(MATCH(M41,IDSourceRange,0)),1,0)) + IF(LEN(N41)=0,0,IF(ISERROR(MATCH(N41,IDSourceRange,0)),1,0)) + IF(LEN(O41)=0,0,IF(ISERROR(MATCH(O41,IDSourceRange,0)),1,0)) )</f>
        <v>-</v>
      </c>
      <c r="CE41" s="143" t="str">
        <f t="shared" ca="1" si="51"/>
        <v>-</v>
      </c>
      <c r="CF41" s="143" t="s">
        <v>128</v>
      </c>
      <c r="CG41" s="143" t="str">
        <f t="shared" ref="CG41" ca="1" si="311">IF($D41="-","-",IF(X41="-",0,IF(COUNTIF(GridCombinedRange,X41)&gt;1,1,0)))</f>
        <v>-</v>
      </c>
      <c r="CH41" s="143"/>
      <c r="CI41" s="143"/>
      <c r="CJ41" s="143"/>
      <c r="CK41" s="143"/>
      <c r="CL41" s="143"/>
    </row>
    <row r="42" spans="3:90" x14ac:dyDescent="0.3">
      <c r="C42" s="170">
        <v>36</v>
      </c>
      <c r="D42" s="111" t="str">
        <f ca="1">IF(COUNTA(OFFSET(Dashboard!$B$6,C42,0,1,COUNTA(Dashboard!$B$6:$H$6)))&gt;0,"Yes","-")</f>
        <v>-</v>
      </c>
      <c r="E42" s="170" t="str">
        <f ca="1">IF(D42="-","-",IF(LEN(INDEX(Dashboard!B$6:B$206,$C42+1))=0,"x"&amp;C42&amp;"x","x"&amp;INDEX(Dashboard!B$6:B$206,$C42+1)&amp;"x"))</f>
        <v>-</v>
      </c>
      <c r="F42" s="171" t="str">
        <f ca="1">IF(D42="-","-",IF(LEN(INDEX(Dashboard!$C$6:$C$206,C42+1))=0," ",INDEX(Dashboard!$C$6:$C$206,C42+1)))</f>
        <v>-</v>
      </c>
      <c r="G42" s="219" t="str">
        <f ca="1">IF(OR(D42="-",D42=""),"-",IF(LEN(INDEX(Dashboard!$D$6:$D$228,C42+1))=0,"", "x"&amp;SUBSTITUTE(SUBSTITUTE(INDEX(Dashboard!$D$6:$D$228,C42+1)," ",""),",","x,x")&amp;"x"))</f>
        <v>-</v>
      </c>
      <c r="H42" s="111" t="str">
        <f ca="1">IF(D42="-","-",TRIM(INDEX(Dashboard!$E$6:$E$206,C42+1)))</f>
        <v>-</v>
      </c>
      <c r="I42" s="111" t="str">
        <f ca="1">IF(D42="-","-",IF(LEN(INDEX(Dashboard!$F$6:$F$206,C42+1))=0,$BS$8,IF(ISERROR(MATCH(INDEX(Dashboard!$F$6:$F$206,C42+1),$BS$7:$BS$35,0)),$BS$8,INDEX(Dashboard!$F$6:$F$206,C42+1))))</f>
        <v>-</v>
      </c>
      <c r="J42" s="111" t="str">
        <f ca="1">IF(D42="-","-",SUBSTITUTE(INDEX(Dashboard!$G$6:$G$206,C42+1)," ",""))</f>
        <v>-</v>
      </c>
      <c r="K42" s="111" t="str">
        <f ca="1">IF(D42="-","-",IF(LEN(INDEX(Dashboard!$H$6:$H$206,C42+1))=0,"",INDEX(Dashboard!$H$6:$H$206,C42+1)))</f>
        <v>-</v>
      </c>
      <c r="M42" s="172" t="str">
        <f t="shared" ca="1" si="187"/>
        <v>-</v>
      </c>
      <c r="N42" s="172" t="str">
        <f t="shared" ca="1" si="187"/>
        <v>-</v>
      </c>
      <c r="O42" s="172" t="str">
        <f t="shared" ca="1" si="187"/>
        <v>-</v>
      </c>
      <c r="P42" s="173" t="str">
        <f t="shared" ca="1" si="285"/>
        <v>-</v>
      </c>
      <c r="Q42" s="172" t="str">
        <f t="shared" ca="1" si="285"/>
        <v>-</v>
      </c>
      <c r="R42" s="172" t="str">
        <f t="shared" ca="1" si="285"/>
        <v>-</v>
      </c>
      <c r="S42" s="174" t="str">
        <f t="array" aca="1" ref="S42" ca="1">IF($D42="-","-",SUM(IF(LEN(M42:O42)&gt;0,1,0)))</f>
        <v>-</v>
      </c>
      <c r="T42" s="175" t="str">
        <f t="array" aca="1" ref="T42" ca="1">IF(D42="-","-",SUM(IF(ISERROR(SEARCH(E42,$G$7:$G$206)),0,1)))</f>
        <v>-</v>
      </c>
      <c r="V42" s="204"/>
      <c r="W42" s="127"/>
      <c r="X42" s="177" t="str">
        <f t="shared" si="23"/>
        <v>-</v>
      </c>
      <c r="Y42" s="178"/>
      <c r="Z42" s="127"/>
      <c r="AB42" s="179" t="str">
        <f t="shared" ca="1" si="286"/>
        <v>-</v>
      </c>
      <c r="AC42" s="179" t="str">
        <f t="shared" ca="1" si="286"/>
        <v>-</v>
      </c>
      <c r="AD42" s="179" t="str">
        <f t="shared" ca="1" si="286"/>
        <v>-</v>
      </c>
      <c r="AE42" s="201" t="s">
        <v>231</v>
      </c>
      <c r="AJ42" s="181" t="str">
        <f t="shared" ca="1" si="5"/>
        <v>-</v>
      </c>
      <c r="AK42" s="179" t="str">
        <f t="shared" ca="1" si="6"/>
        <v>-</v>
      </c>
      <c r="AL42" s="179" t="str">
        <f t="shared" ca="1" si="6"/>
        <v>-</v>
      </c>
      <c r="AM42" s="179" t="str">
        <f t="shared" ca="1" si="6"/>
        <v>-</v>
      </c>
      <c r="AO42" s="182" t="str">
        <f t="shared" ca="1" si="287"/>
        <v>-</v>
      </c>
      <c r="AP42" s="182" t="str">
        <f t="shared" ca="1" si="287"/>
        <v>-</v>
      </c>
      <c r="AQ42" s="182" t="str">
        <f t="shared" ca="1" si="287"/>
        <v>-</v>
      </c>
      <c r="AU42" s="185" t="str">
        <f t="shared" ref="AU42" ca="1" si="312">IF($D42="-","-",IF(LEN(M42)=0,"", INDEX($AT$7:$AT$15,MATCH(IF($V42-INDEX(GridXRange,P42)&lt;0,"Negative",IF($V42-INDEX(GridXRange,P42)&gt;0,"Positive","Zero")) &amp; " - " &amp;IF($W42-INDEX(GridYRange,P42)&lt;0,"Negative",IF($W42-INDEX(GridYRange,P42)&gt;0,"Positive","Zero")),$AS$7:$AS$15,0))))</f>
        <v>-</v>
      </c>
      <c r="AV42" s="186" t="str">
        <f t="shared" ref="AV42" ca="1" si="313">IF($D42="-","-",IF(LEN(N42)=0,"", INDEX($AT$7:$AT$15,MATCH(IF($V42-INDEX(GridXRange,Q42)&lt;0,"Negative",IF($V42-INDEX(GridXRange,Q42)&gt;0,"Positive","Zero")) &amp; " - " &amp;IF($W42-INDEX(GridYRange,Q42)&lt;0,"Negative",IF($W42-INDEX(GridYRange,Q42)&gt;0,"Positive","Zero")),$AS$7:$AS$15,0))))</f>
        <v>-</v>
      </c>
      <c r="AW42" s="186" t="str">
        <f t="shared" ref="AW42" ca="1" si="314">IF($D42="-","-",IF(LEN(O42)=0,"", INDEX($AT$7:$AT$15,MATCH(IF($V42-INDEX(GridXRange,R42)&lt;0,"Negative",IF($V42-INDEX(GridXRange,R42)&gt;0,"Positive","Zero")) &amp; " - " &amp;IF($W42-INDEX(GridYRange,R42)&lt;0,"Negative",IF($W42-INDEX(GridYRange,R42)&gt;0,"Positive","Zero")),$AS$7:$AS$15,0))))</f>
        <v>-</v>
      </c>
      <c r="AX42" s="187"/>
      <c r="AY42" s="188"/>
      <c r="AZ42" s="188"/>
      <c r="BA42" s="184"/>
      <c r="BB42" s="187" t="str">
        <f t="shared" ca="1" si="191"/>
        <v>-</v>
      </c>
      <c r="BC42" s="188" t="str">
        <f t="shared" ca="1" si="191"/>
        <v>-</v>
      </c>
      <c r="BD42" s="188" t="str">
        <f t="shared" ca="1" si="191"/>
        <v>-</v>
      </c>
      <c r="BE42" s="189" t="str">
        <f t="shared" ca="1" si="191"/>
        <v>-</v>
      </c>
      <c r="BF42" s="202">
        <v>45</v>
      </c>
      <c r="BG42" s="203">
        <v>4</v>
      </c>
      <c r="BH42" s="203">
        <v>2</v>
      </c>
      <c r="BI42" s="202" t="s">
        <v>99</v>
      </c>
      <c r="BK42" s="192" t="str">
        <f t="shared" ref="BK42" ca="1" si="315">IF($D42="-","-",$BK$5 + (V42-StartGridX) * (GapXDiff + $BW$7))</f>
        <v>-</v>
      </c>
      <c r="BL42" s="192" t="str">
        <f t="shared" ref="BL42" ca="1" si="316">IF($D42="-","-",$BL$5 + (W42-StartGridY) * (GapYDiff + $BV$7))</f>
        <v>-</v>
      </c>
      <c r="BM42" s="192" t="str">
        <f t="shared" ca="1" si="14"/>
        <v>-</v>
      </c>
      <c r="BN42" s="192" t="str">
        <f t="shared" ca="1" si="15"/>
        <v>-</v>
      </c>
      <c r="BO42" s="192" t="str">
        <f t="shared" ca="1" si="16"/>
        <v>-</v>
      </c>
      <c r="BP42" s="192" t="str">
        <f t="shared" ca="1" si="17"/>
        <v>-</v>
      </c>
      <c r="BQ42" s="192" t="str">
        <f ca="1">IF($D42="-","-",IF(LEN(K42)=0,1,IFERROR(MATCH(K42,Dashboard!$L$25:$L$31,0),1)))</f>
        <v>-</v>
      </c>
      <c r="CC42" s="143" t="str">
        <f t="shared" ref="CC42" ca="1" si="317">IF($D42="-","-",IF(COUNTIF(IDSourceRange,E42)&gt;1,1,0))</f>
        <v>-</v>
      </c>
      <c r="CD42" s="143" t="str">
        <f t="shared" ref="CD42" ca="1" si="318">IF($D42="-","-",  IF(LEN(M42)=0,0,IF(ISERROR(MATCH(M42,IDSourceRange,0)),1,0)) + IF(LEN(N42)=0,0,IF(ISERROR(MATCH(N42,IDSourceRange,0)),1,0)) + IF(LEN(O42)=0,0,IF(ISERROR(MATCH(O42,IDSourceRange,0)),1,0)) )</f>
        <v>-</v>
      </c>
      <c r="CE42" s="143" t="str">
        <f t="shared" ca="1" si="51"/>
        <v>-</v>
      </c>
      <c r="CF42" s="143" t="s">
        <v>128</v>
      </c>
      <c r="CG42" s="143" t="str">
        <f t="shared" ref="CG42" ca="1" si="319">IF($D42="-","-",IF(X42="-",0,IF(COUNTIF(GridCombinedRange,X42)&gt;1,1,0)))</f>
        <v>-</v>
      </c>
      <c r="CH42" s="143"/>
      <c r="CI42" s="143"/>
      <c r="CJ42" s="143"/>
      <c r="CK42" s="143"/>
      <c r="CL42" s="143"/>
    </row>
    <row r="43" spans="3:90" x14ac:dyDescent="0.3">
      <c r="C43" s="170">
        <v>37</v>
      </c>
      <c r="D43" s="111" t="str">
        <f ca="1">IF(COUNTA(OFFSET(Dashboard!$B$6,C43,0,1,COUNTA(Dashboard!$B$6:$H$6)))&gt;0,"Yes","-")</f>
        <v>-</v>
      </c>
      <c r="E43" s="170" t="str">
        <f ca="1">IF(D43="-","-",IF(LEN(INDEX(Dashboard!B$6:B$206,$C43+1))=0,"x"&amp;C43&amp;"x","x"&amp;INDEX(Dashboard!B$6:B$206,$C43+1)&amp;"x"))</f>
        <v>-</v>
      </c>
      <c r="F43" s="171" t="str">
        <f ca="1">IF(D43="-","-",IF(LEN(INDEX(Dashboard!$C$6:$C$206,C43+1))=0," ",INDEX(Dashboard!$C$6:$C$206,C43+1)))</f>
        <v>-</v>
      </c>
      <c r="G43" s="219" t="str">
        <f ca="1">IF(OR(D43="-",D43=""),"-",IF(LEN(INDEX(Dashboard!$D$6:$D$228,C43+1))=0,"", "x"&amp;SUBSTITUTE(SUBSTITUTE(INDEX(Dashboard!$D$6:$D$228,C43+1)," ",""),",","x,x")&amp;"x"))</f>
        <v>-</v>
      </c>
      <c r="H43" s="111" t="str">
        <f ca="1">IF(D43="-","-",TRIM(INDEX(Dashboard!$E$6:$E$206,C43+1)))</f>
        <v>-</v>
      </c>
      <c r="I43" s="111" t="str">
        <f ca="1">IF(D43="-","-",IF(LEN(INDEX(Dashboard!$F$6:$F$206,C43+1))=0,$BS$8,IF(ISERROR(MATCH(INDEX(Dashboard!$F$6:$F$206,C43+1),$BS$7:$BS$35,0)),$BS$8,INDEX(Dashboard!$F$6:$F$206,C43+1))))</f>
        <v>-</v>
      </c>
      <c r="J43" s="111" t="str">
        <f ca="1">IF(D43="-","-",SUBSTITUTE(INDEX(Dashboard!$G$6:$G$206,C43+1)," ",""))</f>
        <v>-</v>
      </c>
      <c r="K43" s="111" t="str">
        <f ca="1">IF(D43="-","-",IF(LEN(INDEX(Dashboard!$H$6:$H$206,C43+1))=0,"",INDEX(Dashboard!$H$6:$H$206,C43+1)))</f>
        <v>-</v>
      </c>
      <c r="M43" s="172" t="str">
        <f t="shared" ca="1" si="187"/>
        <v>-</v>
      </c>
      <c r="N43" s="172" t="str">
        <f t="shared" ca="1" si="187"/>
        <v>-</v>
      </c>
      <c r="O43" s="172" t="str">
        <f t="shared" ca="1" si="187"/>
        <v>-</v>
      </c>
      <c r="P43" s="173" t="str">
        <f t="shared" ca="1" si="285"/>
        <v>-</v>
      </c>
      <c r="Q43" s="172" t="str">
        <f t="shared" ca="1" si="285"/>
        <v>-</v>
      </c>
      <c r="R43" s="172" t="str">
        <f t="shared" ca="1" si="285"/>
        <v>-</v>
      </c>
      <c r="S43" s="174" t="str">
        <f t="array" aca="1" ref="S43" ca="1">IF($D43="-","-",SUM(IF(LEN(M43:O43)&gt;0,1,0)))</f>
        <v>-</v>
      </c>
      <c r="T43" s="175" t="str">
        <f t="array" aca="1" ref="T43" ca="1">IF(D43="-","-",SUM(IF(ISERROR(SEARCH(E43,$G$7:$G$206)),0,1)))</f>
        <v>-</v>
      </c>
      <c r="V43" s="204"/>
      <c r="W43" s="127"/>
      <c r="X43" s="177" t="str">
        <f t="shared" si="23"/>
        <v>-</v>
      </c>
      <c r="Y43" s="178"/>
      <c r="Z43" s="127"/>
      <c r="AB43" s="179" t="str">
        <f t="shared" ca="1" si="286"/>
        <v>-</v>
      </c>
      <c r="AC43" s="179" t="str">
        <f t="shared" ca="1" si="286"/>
        <v>-</v>
      </c>
      <c r="AD43" s="179" t="str">
        <f t="shared" ca="1" si="286"/>
        <v>-</v>
      </c>
      <c r="AE43" s="201" t="s">
        <v>232</v>
      </c>
      <c r="AJ43" s="181" t="str">
        <f t="shared" ca="1" si="5"/>
        <v>-</v>
      </c>
      <c r="AK43" s="179" t="str">
        <f t="shared" ca="1" si="6"/>
        <v>-</v>
      </c>
      <c r="AL43" s="179" t="str">
        <f t="shared" ca="1" si="6"/>
        <v>-</v>
      </c>
      <c r="AM43" s="179" t="str">
        <f t="shared" ca="1" si="6"/>
        <v>-</v>
      </c>
      <c r="AO43" s="182" t="str">
        <f t="shared" ca="1" si="287"/>
        <v>-</v>
      </c>
      <c r="AP43" s="182" t="str">
        <f t="shared" ca="1" si="287"/>
        <v>-</v>
      </c>
      <c r="AQ43" s="182" t="str">
        <f t="shared" ca="1" si="287"/>
        <v>-</v>
      </c>
      <c r="AU43" s="185" t="str">
        <f t="shared" ref="AU43" ca="1" si="320">IF($D43="-","-",IF(LEN(M43)=0,"", INDEX($AT$7:$AT$15,MATCH(IF($V43-INDEX(GridXRange,P43)&lt;0,"Negative",IF($V43-INDEX(GridXRange,P43)&gt;0,"Positive","Zero")) &amp; " - " &amp;IF($W43-INDEX(GridYRange,P43)&lt;0,"Negative",IF($W43-INDEX(GridYRange,P43)&gt;0,"Positive","Zero")),$AS$7:$AS$15,0))))</f>
        <v>-</v>
      </c>
      <c r="AV43" s="186" t="str">
        <f t="shared" ref="AV43" ca="1" si="321">IF($D43="-","-",IF(LEN(N43)=0,"", INDEX($AT$7:$AT$15,MATCH(IF($V43-INDEX(GridXRange,Q43)&lt;0,"Negative",IF($V43-INDEX(GridXRange,Q43)&gt;0,"Positive","Zero")) &amp; " - " &amp;IF($W43-INDEX(GridYRange,Q43)&lt;0,"Negative",IF($W43-INDEX(GridYRange,Q43)&gt;0,"Positive","Zero")),$AS$7:$AS$15,0))))</f>
        <v>-</v>
      </c>
      <c r="AW43" s="186" t="str">
        <f t="shared" ref="AW43" ca="1" si="322">IF($D43="-","-",IF(LEN(O43)=0,"", INDEX($AT$7:$AT$15,MATCH(IF($V43-INDEX(GridXRange,R43)&lt;0,"Negative",IF($V43-INDEX(GridXRange,R43)&gt;0,"Positive","Zero")) &amp; " - " &amp;IF($W43-INDEX(GridYRange,R43)&lt;0,"Negative",IF($W43-INDEX(GridYRange,R43)&gt;0,"Positive","Zero")),$AS$7:$AS$15,0))))</f>
        <v>-</v>
      </c>
      <c r="AX43" s="187"/>
      <c r="AY43" s="188"/>
      <c r="AZ43" s="188"/>
      <c r="BA43" s="184"/>
      <c r="BB43" s="187" t="str">
        <f t="shared" ca="1" si="191"/>
        <v>-</v>
      </c>
      <c r="BC43" s="188" t="str">
        <f t="shared" ca="1" si="191"/>
        <v>-</v>
      </c>
      <c r="BD43" s="188" t="str">
        <f t="shared" ca="1" si="191"/>
        <v>-</v>
      </c>
      <c r="BE43" s="189" t="str">
        <f t="shared" ca="1" si="191"/>
        <v>-</v>
      </c>
      <c r="BF43" s="213" t="s">
        <v>128</v>
      </c>
      <c r="BG43" s="188" t="s">
        <v>128</v>
      </c>
      <c r="BH43" s="188" t="s">
        <v>128</v>
      </c>
      <c r="BI43" s="213"/>
      <c r="BK43" s="192" t="str">
        <f t="shared" ref="BK43" ca="1" si="323">IF($D43="-","-",$BK$5 + (V43-StartGridX) * (GapXDiff + $BW$7))</f>
        <v>-</v>
      </c>
      <c r="BL43" s="192" t="str">
        <f t="shared" ref="BL43" ca="1" si="324">IF($D43="-","-",$BL$5 + (W43-StartGridY) * (GapYDiff + $BV$7))</f>
        <v>-</v>
      </c>
      <c r="BM43" s="192" t="str">
        <f t="shared" ca="1" si="14"/>
        <v>-</v>
      </c>
      <c r="BN43" s="192" t="str">
        <f t="shared" ca="1" si="15"/>
        <v>-</v>
      </c>
      <c r="BO43" s="192" t="str">
        <f t="shared" ca="1" si="16"/>
        <v>-</v>
      </c>
      <c r="BP43" s="192" t="str">
        <f t="shared" ca="1" si="17"/>
        <v>-</v>
      </c>
      <c r="BQ43" s="192" t="str">
        <f ca="1">IF($D43="-","-",IF(LEN(K43)=0,1,IFERROR(MATCH(K43,Dashboard!$L$25:$L$31,0),1)))</f>
        <v>-</v>
      </c>
      <c r="CC43" s="143" t="str">
        <f t="shared" ref="CC43" ca="1" si="325">IF($D43="-","-",IF(COUNTIF(IDSourceRange,E43)&gt;1,1,0))</f>
        <v>-</v>
      </c>
      <c r="CD43" s="143" t="str">
        <f t="shared" ref="CD43" ca="1" si="326">IF($D43="-","-",  IF(LEN(M43)=0,0,IF(ISERROR(MATCH(M43,IDSourceRange,0)),1,0)) + IF(LEN(N43)=0,0,IF(ISERROR(MATCH(N43,IDSourceRange,0)),1,0)) + IF(LEN(O43)=0,0,IF(ISERROR(MATCH(O43,IDSourceRange,0)),1,0)) )</f>
        <v>-</v>
      </c>
      <c r="CE43" s="143" t="str">
        <f t="shared" ca="1" si="51"/>
        <v>-</v>
      </c>
      <c r="CF43" s="143" t="s">
        <v>128</v>
      </c>
      <c r="CG43" s="143" t="str">
        <f t="shared" ref="CG43" ca="1" si="327">IF($D43="-","-",IF(X43="-",0,IF(COUNTIF(GridCombinedRange,X43)&gt;1,1,0)))</f>
        <v>-</v>
      </c>
      <c r="CH43" s="143"/>
      <c r="CI43" s="143"/>
      <c r="CJ43" s="143"/>
      <c r="CK43" s="143"/>
      <c r="CL43" s="143"/>
    </row>
    <row r="44" spans="3:90" x14ac:dyDescent="0.3">
      <c r="C44" s="170">
        <v>38</v>
      </c>
      <c r="D44" s="111" t="str">
        <f ca="1">IF(COUNTA(OFFSET(Dashboard!$B$6,C44,0,1,COUNTA(Dashboard!$B$6:$H$6)))&gt;0,"Yes","-")</f>
        <v>-</v>
      </c>
      <c r="E44" s="221" t="str">
        <f ca="1">IF(D44="-","-",IF(LEN(INDEX(Dashboard!B$6:B$228,$C44+1))=0,"x"&amp;C44&amp;"x","x"&amp;INDEX(Dashboard!B$6:B$228,$C44+1)&amp;"x"))</f>
        <v>-</v>
      </c>
      <c r="F44" s="171" t="str">
        <f ca="1">IF(D44="-","-",IF(LEN(INDEX(Dashboard!$C$6:$C$206,C44+1))=0," ",INDEX(Dashboard!$C$6:$C$206,C44+1)))</f>
        <v>-</v>
      </c>
      <c r="G44" s="219" t="str">
        <f ca="1">IF(OR(D44="-",D44=""),"-",IF(LEN(INDEX(Dashboard!$D$6:$D$228,C44+1))=0,"", "x"&amp;SUBSTITUTE(SUBSTITUTE(INDEX(Dashboard!$D$6:$D$228,C44+1)," ",""),",","x,x")&amp;"x"))</f>
        <v>-</v>
      </c>
      <c r="H44" s="111" t="str">
        <f ca="1">IF(D44="-","-",TRIM(INDEX(Dashboard!$E$6:$E$206,C44+1)))</f>
        <v>-</v>
      </c>
      <c r="I44" s="111" t="str">
        <f ca="1">IF(D44="-","-",IF(LEN(INDEX(Dashboard!$F$6:$F$206,C44+1))=0,$BS$8,IF(ISERROR(MATCH(INDEX(Dashboard!$F$6:$F$206,C44+1),$BS$7:$BS$35,0)),$BS$8,INDEX(Dashboard!$F$6:$F$206,C44+1))))</f>
        <v>-</v>
      </c>
      <c r="J44" s="111" t="str">
        <f ca="1">IF(D44="-","-",SUBSTITUTE(INDEX(Dashboard!$G$6:$G$206,C44+1)," ",""))</f>
        <v>-</v>
      </c>
      <c r="K44" s="111" t="str">
        <f ca="1">IF(D44="-","-",IF(LEN(INDEX(Dashboard!$H$6:$H$206,C44+1))=0,"",INDEX(Dashboard!$H$6:$H$206,C44+1)))</f>
        <v>-</v>
      </c>
      <c r="M44" s="172" t="str">
        <f t="shared" ca="1" si="187"/>
        <v>-</v>
      </c>
      <c r="N44" s="172" t="str">
        <f t="shared" ca="1" si="187"/>
        <v>-</v>
      </c>
      <c r="O44" s="172" t="str">
        <f t="shared" ca="1" si="187"/>
        <v>-</v>
      </c>
      <c r="P44" s="173" t="str">
        <f t="shared" ca="1" si="285"/>
        <v>-</v>
      </c>
      <c r="Q44" s="172" t="str">
        <f t="shared" ca="1" si="285"/>
        <v>-</v>
      </c>
      <c r="R44" s="172" t="str">
        <f t="shared" ca="1" si="285"/>
        <v>-</v>
      </c>
      <c r="S44" s="174" t="str">
        <f t="array" aca="1" ref="S44" ca="1">IF($D44="-","-",SUM(IF(LEN(M44:O44)&gt;0,1,0)))</f>
        <v>-</v>
      </c>
      <c r="T44" s="175" t="str">
        <f t="array" aca="1" ref="T44" ca="1">IF(D44="-","-",SUM(IF(ISERROR(SEARCH(E44,$G$7:$G$206)),0,1)))</f>
        <v>-</v>
      </c>
      <c r="V44" s="204"/>
      <c r="W44" s="127"/>
      <c r="X44" s="177" t="str">
        <f t="shared" si="23"/>
        <v>-</v>
      </c>
      <c r="Y44" s="178"/>
      <c r="Z44" s="127"/>
      <c r="AB44" s="179" t="str">
        <f t="shared" ca="1" si="286"/>
        <v>-</v>
      </c>
      <c r="AC44" s="179" t="str">
        <f t="shared" ca="1" si="286"/>
        <v>-</v>
      </c>
      <c r="AD44" s="179" t="str">
        <f t="shared" ca="1" si="286"/>
        <v>-</v>
      </c>
      <c r="AE44" s="201" t="s">
        <v>233</v>
      </c>
      <c r="AJ44" s="181" t="str">
        <f t="shared" ca="1" si="5"/>
        <v>-</v>
      </c>
      <c r="AK44" s="179" t="str">
        <f t="shared" ca="1" si="6"/>
        <v>-</v>
      </c>
      <c r="AL44" s="179" t="str">
        <f t="shared" ca="1" si="6"/>
        <v>-</v>
      </c>
      <c r="AM44" s="179" t="str">
        <f t="shared" ca="1" si="6"/>
        <v>-</v>
      </c>
      <c r="AO44" s="182" t="str">
        <f t="shared" ca="1" si="287"/>
        <v>-</v>
      </c>
      <c r="AP44" s="182" t="str">
        <f t="shared" ca="1" si="287"/>
        <v>-</v>
      </c>
      <c r="AQ44" s="182" t="str">
        <f t="shared" ca="1" si="287"/>
        <v>-</v>
      </c>
      <c r="AU44" s="185" t="str">
        <f t="shared" ref="AU44" ca="1" si="328">IF($D44="-","-",IF(LEN(M44)=0,"", INDEX($AT$7:$AT$15,MATCH(IF($V44-INDEX(GridXRange,P44)&lt;0,"Negative",IF($V44-INDEX(GridXRange,P44)&gt;0,"Positive","Zero")) &amp; " - " &amp;IF($W44-INDEX(GridYRange,P44)&lt;0,"Negative",IF($W44-INDEX(GridYRange,P44)&gt;0,"Positive","Zero")),$AS$7:$AS$15,0))))</f>
        <v>-</v>
      </c>
      <c r="AV44" s="186" t="str">
        <f t="shared" ref="AV44" ca="1" si="329">IF($D44="-","-",IF(LEN(N44)=0,"", INDEX($AT$7:$AT$15,MATCH(IF($V44-INDEX(GridXRange,Q44)&lt;0,"Negative",IF($V44-INDEX(GridXRange,Q44)&gt;0,"Positive","Zero")) &amp; " - " &amp;IF($W44-INDEX(GridYRange,Q44)&lt;0,"Negative",IF($W44-INDEX(GridYRange,Q44)&gt;0,"Positive","Zero")),$AS$7:$AS$15,0))))</f>
        <v>-</v>
      </c>
      <c r="AW44" s="186" t="str">
        <f t="shared" ref="AW44" ca="1" si="330">IF($D44="-","-",IF(LEN(O44)=0,"", INDEX($AT$7:$AT$15,MATCH(IF($V44-INDEX(GridXRange,R44)&lt;0,"Negative",IF($V44-INDEX(GridXRange,R44)&gt;0,"Positive","Zero")) &amp; " - " &amp;IF($W44-INDEX(GridYRange,R44)&lt;0,"Negative",IF($W44-INDEX(GridYRange,R44)&gt;0,"Positive","Zero")),$AS$7:$AS$15,0))))</f>
        <v>-</v>
      </c>
      <c r="AX44" s="187"/>
      <c r="AY44" s="188"/>
      <c r="AZ44" s="188"/>
      <c r="BA44" s="184"/>
      <c r="BB44" s="187" t="str">
        <f t="shared" ca="1" si="191"/>
        <v>-</v>
      </c>
      <c r="BC44" s="188" t="str">
        <f t="shared" ca="1" si="191"/>
        <v>-</v>
      </c>
      <c r="BD44" s="188" t="str">
        <f t="shared" ca="1" si="191"/>
        <v>-</v>
      </c>
      <c r="BE44" s="189" t="str">
        <f t="shared" ca="1" si="191"/>
        <v>-</v>
      </c>
      <c r="BF44" s="213" t="s">
        <v>128</v>
      </c>
      <c r="BG44" s="188" t="s">
        <v>128</v>
      </c>
      <c r="BH44" s="188" t="s">
        <v>128</v>
      </c>
      <c r="BI44" s="213"/>
      <c r="BK44" s="192" t="str">
        <f t="shared" ref="BK44" ca="1" si="331">IF($D44="-","-",$BK$5 + (V44-StartGridX) * (GapXDiff + $BW$7))</f>
        <v>-</v>
      </c>
      <c r="BL44" s="192" t="str">
        <f t="shared" ref="BL44" ca="1" si="332">IF($D44="-","-",$BL$5 + (W44-StartGridY) * (GapYDiff + $BV$7))</f>
        <v>-</v>
      </c>
      <c r="BM44" s="192" t="str">
        <f t="shared" ca="1" si="14"/>
        <v>-</v>
      </c>
      <c r="BN44" s="192" t="str">
        <f t="shared" ca="1" si="15"/>
        <v>-</v>
      </c>
      <c r="BO44" s="192" t="str">
        <f t="shared" ca="1" si="16"/>
        <v>-</v>
      </c>
      <c r="BP44" s="192" t="str">
        <f t="shared" ca="1" si="17"/>
        <v>-</v>
      </c>
      <c r="BQ44" s="192" t="str">
        <f ca="1">IF($D44="-","-",IF(LEN(K44)=0,1,IFERROR(MATCH(K44,Dashboard!$L$25:$L$31,0),1)))</f>
        <v>-</v>
      </c>
      <c r="CC44" s="143" t="str">
        <f t="shared" ref="CC44" ca="1" si="333">IF($D44="-","-",IF(COUNTIF(IDSourceRange,E44)&gt;1,1,0))</f>
        <v>-</v>
      </c>
      <c r="CD44" s="143" t="str">
        <f t="shared" ref="CD44" ca="1" si="334">IF($D44="-","-",  IF(LEN(M44)=0,0,IF(ISERROR(MATCH(M44,IDSourceRange,0)),1,0)) + IF(LEN(N44)=0,0,IF(ISERROR(MATCH(N44,IDSourceRange,0)),1,0)) + IF(LEN(O44)=0,0,IF(ISERROR(MATCH(O44,IDSourceRange,0)),1,0)) )</f>
        <v>-</v>
      </c>
      <c r="CE44" s="143" t="str">
        <f t="shared" ca="1" si="51"/>
        <v>-</v>
      </c>
      <c r="CF44" s="143" t="s">
        <v>128</v>
      </c>
      <c r="CG44" s="143" t="str">
        <f t="shared" ref="CG44" ca="1" si="335">IF($D44="-","-",IF(X44="-",0,IF(COUNTIF(GridCombinedRange,X44)&gt;1,1,0)))</f>
        <v>-</v>
      </c>
      <c r="CH44" s="143"/>
      <c r="CI44" s="143"/>
      <c r="CJ44" s="143"/>
      <c r="CK44" s="143"/>
      <c r="CL44" s="143"/>
    </row>
    <row r="45" spans="3:90" x14ac:dyDescent="0.3">
      <c r="C45" s="170">
        <v>39</v>
      </c>
      <c r="D45" s="111" t="str">
        <f ca="1">IF(COUNTA(OFFSET(Dashboard!$B$6,C45,0,1,COUNTA(Dashboard!$B$6:$H$6)))&gt;0,"Yes","-")</f>
        <v>-</v>
      </c>
      <c r="E45" s="170" t="str">
        <f ca="1">IF(D45="-","-",IF(LEN(INDEX(Dashboard!B$6:B$206,$C45+1))=0,"x"&amp;C45&amp;"x","x"&amp;INDEX(Dashboard!B$6:B$206,$C45+1)&amp;"x"))</f>
        <v>-</v>
      </c>
      <c r="F45" s="171" t="str">
        <f ca="1">IF(D45="-","-",IF(LEN(INDEX(Dashboard!$C$6:$C$206,C45+1))=0," ",INDEX(Dashboard!$C$6:$C$206,C45+1)))</f>
        <v>-</v>
      </c>
      <c r="G45" s="219" t="str">
        <f ca="1">IF(OR(D45="-",D45=""),"-",IF(LEN(INDEX(Dashboard!$D$6:$D$228,C45+1))=0,"", "x"&amp;SUBSTITUTE(SUBSTITUTE(INDEX(Dashboard!$D$6:$D$228,C45+1)," ",""),",","x,x")&amp;"x"))</f>
        <v>-</v>
      </c>
      <c r="H45" s="111" t="str">
        <f ca="1">IF(D45="-","-",TRIM(INDEX(Dashboard!$E$6:$E$206,C45+1)))</f>
        <v>-</v>
      </c>
      <c r="I45" s="111" t="str">
        <f ca="1">IF(D45="-","-",IF(LEN(INDEX(Dashboard!$F$6:$F$206,C45+1))=0,$BS$8,IF(ISERROR(MATCH(INDEX(Dashboard!$F$6:$F$206,C45+1),$BS$7:$BS$35,0)),$BS$8,INDEX(Dashboard!$F$6:$F$206,C45+1))))</f>
        <v>-</v>
      </c>
      <c r="J45" s="111" t="str">
        <f ca="1">IF(D45="-","-",SUBSTITUTE(INDEX(Dashboard!$G$6:$G$206,C45+1)," ",""))</f>
        <v>-</v>
      </c>
      <c r="K45" s="111" t="str">
        <f ca="1">IF(D45="-","-",IF(LEN(INDEX(Dashboard!$H$6:$H$206,C45+1))=0,"",INDEX(Dashboard!$H$6:$H$206,C45+1)))</f>
        <v>-</v>
      </c>
      <c r="M45" s="172" t="str">
        <f t="shared" ca="1" si="187"/>
        <v>-</v>
      </c>
      <c r="N45" s="172" t="str">
        <f t="shared" ca="1" si="187"/>
        <v>-</v>
      </c>
      <c r="O45" s="172" t="str">
        <f t="shared" ca="1" si="187"/>
        <v>-</v>
      </c>
      <c r="P45" s="173" t="str">
        <f t="shared" ca="1" si="285"/>
        <v>-</v>
      </c>
      <c r="Q45" s="172" t="str">
        <f t="shared" ca="1" si="285"/>
        <v>-</v>
      </c>
      <c r="R45" s="172" t="str">
        <f t="shared" ca="1" si="285"/>
        <v>-</v>
      </c>
      <c r="S45" s="174" t="str">
        <f t="array" aca="1" ref="S45" ca="1">IF($D45="-","-",SUM(IF(LEN(M45:O45)&gt;0,1,0)))</f>
        <v>-</v>
      </c>
      <c r="T45" s="175" t="str">
        <f t="array" aca="1" ref="T45" ca="1">IF(D45="-","-",SUM(IF(ISERROR(SEARCH(E45,$G$7:$G$206)),0,1)))</f>
        <v>-</v>
      </c>
      <c r="V45" s="204"/>
      <c r="W45" s="127"/>
      <c r="X45" s="177" t="str">
        <f t="shared" si="23"/>
        <v>-</v>
      </c>
      <c r="Y45" s="178"/>
      <c r="Z45" s="127"/>
      <c r="AB45" s="179" t="str">
        <f t="shared" ca="1" si="286"/>
        <v>-</v>
      </c>
      <c r="AC45" s="179" t="str">
        <f t="shared" ca="1" si="286"/>
        <v>-</v>
      </c>
      <c r="AD45" s="179" t="str">
        <f t="shared" ca="1" si="286"/>
        <v>-</v>
      </c>
      <c r="AE45" s="201" t="s">
        <v>234</v>
      </c>
      <c r="AJ45" s="181" t="str">
        <f t="shared" ca="1" si="5"/>
        <v>-</v>
      </c>
      <c r="AK45" s="179" t="str">
        <f t="shared" ca="1" si="6"/>
        <v>-</v>
      </c>
      <c r="AL45" s="179" t="str">
        <f t="shared" ca="1" si="6"/>
        <v>-</v>
      </c>
      <c r="AM45" s="179" t="str">
        <f t="shared" ca="1" si="6"/>
        <v>-</v>
      </c>
      <c r="AO45" s="182" t="str">
        <f t="shared" ca="1" si="287"/>
        <v>-</v>
      </c>
      <c r="AP45" s="182" t="str">
        <f t="shared" ca="1" si="287"/>
        <v>-</v>
      </c>
      <c r="AQ45" s="182" t="str">
        <f t="shared" ca="1" si="287"/>
        <v>-</v>
      </c>
      <c r="AU45" s="185" t="str">
        <f t="shared" ref="AU45" ca="1" si="336">IF($D45="-","-",IF(LEN(M45)=0,"", INDEX($AT$7:$AT$15,MATCH(IF($V45-INDEX(GridXRange,P45)&lt;0,"Negative",IF($V45-INDEX(GridXRange,P45)&gt;0,"Positive","Zero")) &amp; " - " &amp;IF($W45-INDEX(GridYRange,P45)&lt;0,"Negative",IF($W45-INDEX(GridYRange,P45)&gt;0,"Positive","Zero")),$AS$7:$AS$15,0))))</f>
        <v>-</v>
      </c>
      <c r="AV45" s="186" t="str">
        <f t="shared" ref="AV45" ca="1" si="337">IF($D45="-","-",IF(LEN(N45)=0,"", INDEX($AT$7:$AT$15,MATCH(IF($V45-INDEX(GridXRange,Q45)&lt;0,"Negative",IF($V45-INDEX(GridXRange,Q45)&gt;0,"Positive","Zero")) &amp; " - " &amp;IF($W45-INDEX(GridYRange,Q45)&lt;0,"Negative",IF($W45-INDEX(GridYRange,Q45)&gt;0,"Positive","Zero")),$AS$7:$AS$15,0))))</f>
        <v>-</v>
      </c>
      <c r="AW45" s="186" t="str">
        <f t="shared" ref="AW45" ca="1" si="338">IF($D45="-","-",IF(LEN(O45)=0,"", INDEX($AT$7:$AT$15,MATCH(IF($V45-INDEX(GridXRange,R45)&lt;0,"Negative",IF($V45-INDEX(GridXRange,R45)&gt;0,"Positive","Zero")) &amp; " - " &amp;IF($W45-INDEX(GridYRange,R45)&lt;0,"Negative",IF($W45-INDEX(GridYRange,R45)&gt;0,"Positive","Zero")),$AS$7:$AS$15,0))))</f>
        <v>-</v>
      </c>
      <c r="AX45" s="187"/>
      <c r="AY45" s="188"/>
      <c r="AZ45" s="188"/>
      <c r="BA45" s="184"/>
      <c r="BB45" s="187" t="str">
        <f t="shared" ca="1" si="191"/>
        <v>-</v>
      </c>
      <c r="BC45" s="188" t="str">
        <f t="shared" ca="1" si="191"/>
        <v>-</v>
      </c>
      <c r="BD45" s="188" t="str">
        <f t="shared" ca="1" si="191"/>
        <v>-</v>
      </c>
      <c r="BE45" s="189" t="str">
        <f t="shared" ca="1" si="191"/>
        <v>-</v>
      </c>
      <c r="BF45" s="213" t="s">
        <v>128</v>
      </c>
      <c r="BG45" s="188" t="s">
        <v>128</v>
      </c>
      <c r="BH45" s="188" t="s">
        <v>128</v>
      </c>
      <c r="BI45" s="213"/>
      <c r="BK45" s="192" t="str">
        <f t="shared" ref="BK45" ca="1" si="339">IF($D45="-","-",$BK$5 + (V45-StartGridX) * (GapXDiff + $BW$7))</f>
        <v>-</v>
      </c>
      <c r="BL45" s="192" t="str">
        <f t="shared" ref="BL45" ca="1" si="340">IF($D45="-","-",$BL$5 + (W45-StartGridY) * (GapYDiff + $BV$7))</f>
        <v>-</v>
      </c>
      <c r="BM45" s="192" t="str">
        <f t="shared" ca="1" si="14"/>
        <v>-</v>
      </c>
      <c r="BN45" s="192" t="str">
        <f t="shared" ca="1" si="15"/>
        <v>-</v>
      </c>
      <c r="BO45" s="192" t="str">
        <f t="shared" ca="1" si="16"/>
        <v>-</v>
      </c>
      <c r="BP45" s="192" t="str">
        <f t="shared" ca="1" si="17"/>
        <v>-</v>
      </c>
      <c r="BQ45" s="192" t="str">
        <f ca="1">IF($D45="-","-",IF(LEN(K45)=0,1,IFERROR(MATCH(K45,Dashboard!$L$25:$L$31,0),1)))</f>
        <v>-</v>
      </c>
      <c r="CC45" s="143" t="str">
        <f t="shared" ref="CC45" ca="1" si="341">IF($D45="-","-",IF(COUNTIF(IDSourceRange,E45)&gt;1,1,0))</f>
        <v>-</v>
      </c>
      <c r="CD45" s="143" t="str">
        <f t="shared" ref="CD45" ca="1" si="342">IF($D45="-","-",  IF(LEN(M45)=0,0,IF(ISERROR(MATCH(M45,IDSourceRange,0)),1,0)) + IF(LEN(N45)=0,0,IF(ISERROR(MATCH(N45,IDSourceRange,0)),1,0)) + IF(LEN(O45)=0,0,IF(ISERROR(MATCH(O45,IDSourceRange,0)),1,0)) )</f>
        <v>-</v>
      </c>
      <c r="CE45" s="143" t="str">
        <f t="shared" ca="1" si="51"/>
        <v>-</v>
      </c>
      <c r="CF45" s="143" t="s">
        <v>128</v>
      </c>
      <c r="CG45" s="143" t="str">
        <f t="shared" ref="CG45" ca="1" si="343">IF($D45="-","-",IF(X45="-",0,IF(COUNTIF(GridCombinedRange,X45)&gt;1,1,0)))</f>
        <v>-</v>
      </c>
      <c r="CH45" s="143"/>
      <c r="CI45" s="143"/>
      <c r="CJ45" s="143"/>
      <c r="CK45" s="143"/>
      <c r="CL45" s="143"/>
    </row>
    <row r="46" spans="3:90" x14ac:dyDescent="0.3">
      <c r="C46" s="170">
        <v>40</v>
      </c>
      <c r="D46" s="111" t="str">
        <f ca="1">IF(COUNTA(OFFSET(Dashboard!$B$6,C46,0,1,COUNTA(Dashboard!$B$6:$H$6)))&gt;0,"Yes","-")</f>
        <v>-</v>
      </c>
      <c r="E46" s="170" t="str">
        <f ca="1">IF(D46="-","-",IF(LEN(INDEX(Dashboard!B$6:B$206,$C46+1))=0,"x"&amp;C46&amp;"x","x"&amp;INDEX(Dashboard!B$6:B$206,$C46+1)&amp;"x"))</f>
        <v>-</v>
      </c>
      <c r="F46" s="171" t="str">
        <f ca="1">IF(D46="-","-",IF(LEN(INDEX(Dashboard!$C$6:$C$206,C46+1))=0," ",INDEX(Dashboard!$C$6:$C$206,C46+1)))</f>
        <v>-</v>
      </c>
      <c r="G46" s="219" t="str">
        <f ca="1">IF(OR(D46="-",D46=""),"-",IF(LEN(INDEX(Dashboard!$D$6:$D$228,C46+1))=0,"", "x"&amp;SUBSTITUTE(SUBSTITUTE(INDEX(Dashboard!$D$6:$D$228,C46+1)," ",""),",","x,x")&amp;"x"))</f>
        <v>-</v>
      </c>
      <c r="H46" s="111" t="str">
        <f ca="1">IF(D46="-","-",TRIM(INDEX(Dashboard!$E$6:$E$206,C46+1)))</f>
        <v>-</v>
      </c>
      <c r="I46" s="111" t="str">
        <f ca="1">IF(D46="-","-",IF(LEN(INDEX(Dashboard!$F$6:$F$206,C46+1))=0,$BS$8,IF(ISERROR(MATCH(INDEX(Dashboard!$F$6:$F$206,C46+1),$BS$7:$BS$35,0)),$BS$8,INDEX(Dashboard!$F$6:$F$206,C46+1))))</f>
        <v>-</v>
      </c>
      <c r="J46" s="111" t="str">
        <f ca="1">IF(D46="-","-",SUBSTITUTE(INDEX(Dashboard!$G$6:$G$206,C46+1)," ",""))</f>
        <v>-</v>
      </c>
      <c r="K46" s="111" t="str">
        <f ca="1">IF(D46="-","-",IF(LEN(INDEX(Dashboard!$H$6:$H$206,C46+1))=0,"",INDEX(Dashboard!$H$6:$H$206,C46+1)))</f>
        <v>-</v>
      </c>
      <c r="M46" s="172" t="str">
        <f t="shared" ca="1" si="187"/>
        <v>-</v>
      </c>
      <c r="N46" s="172" t="str">
        <f t="shared" ca="1" si="187"/>
        <v>-</v>
      </c>
      <c r="O46" s="172" t="str">
        <f t="shared" ca="1" si="187"/>
        <v>-</v>
      </c>
      <c r="P46" s="173" t="str">
        <f t="shared" ca="1" si="285"/>
        <v>-</v>
      </c>
      <c r="Q46" s="172" t="str">
        <f t="shared" ca="1" si="285"/>
        <v>-</v>
      </c>
      <c r="R46" s="172" t="str">
        <f t="shared" ca="1" si="285"/>
        <v>-</v>
      </c>
      <c r="S46" s="174" t="str">
        <f t="array" aca="1" ref="S46" ca="1">IF($D46="-","-",SUM(IF(LEN(M46:O46)&gt;0,1,0)))</f>
        <v>-</v>
      </c>
      <c r="T46" s="175" t="str">
        <f t="array" aca="1" ref="T46" ca="1">IF(D46="-","-",SUM(IF(ISERROR(SEARCH(E46,$G$7:$G$206)),0,1)))</f>
        <v>-</v>
      </c>
      <c r="V46" s="204"/>
      <c r="W46" s="127"/>
      <c r="X46" s="177" t="str">
        <f t="shared" si="23"/>
        <v>-</v>
      </c>
      <c r="Y46" s="178"/>
      <c r="Z46" s="127"/>
      <c r="AB46" s="179" t="str">
        <f t="shared" ca="1" si="286"/>
        <v>-</v>
      </c>
      <c r="AC46" s="179" t="str">
        <f t="shared" ca="1" si="286"/>
        <v>-</v>
      </c>
      <c r="AD46" s="179" t="str">
        <f t="shared" ca="1" si="286"/>
        <v>-</v>
      </c>
      <c r="AE46" s="201" t="s">
        <v>235</v>
      </c>
      <c r="AJ46" s="181" t="str">
        <f t="shared" ca="1" si="5"/>
        <v>-</v>
      </c>
      <c r="AK46" s="179" t="str">
        <f t="shared" ca="1" si="6"/>
        <v>-</v>
      </c>
      <c r="AL46" s="179" t="str">
        <f t="shared" ca="1" si="6"/>
        <v>-</v>
      </c>
      <c r="AM46" s="179" t="str">
        <f t="shared" ca="1" si="6"/>
        <v>-</v>
      </c>
      <c r="AO46" s="182" t="str">
        <f t="shared" ca="1" si="287"/>
        <v>-</v>
      </c>
      <c r="AP46" s="182" t="str">
        <f t="shared" ca="1" si="287"/>
        <v>-</v>
      </c>
      <c r="AQ46" s="182" t="str">
        <f t="shared" ca="1" si="287"/>
        <v>-</v>
      </c>
      <c r="AU46" s="185" t="str">
        <f t="shared" ref="AU46" ca="1" si="344">IF($D46="-","-",IF(LEN(M46)=0,"", INDEX($AT$7:$AT$15,MATCH(IF($V46-INDEX(GridXRange,P46)&lt;0,"Negative",IF($V46-INDEX(GridXRange,P46)&gt;0,"Positive","Zero")) &amp; " - " &amp;IF($W46-INDEX(GridYRange,P46)&lt;0,"Negative",IF($W46-INDEX(GridYRange,P46)&gt;0,"Positive","Zero")),$AS$7:$AS$15,0))))</f>
        <v>-</v>
      </c>
      <c r="AV46" s="186" t="str">
        <f t="shared" ref="AV46" ca="1" si="345">IF($D46="-","-",IF(LEN(N46)=0,"", INDEX($AT$7:$AT$15,MATCH(IF($V46-INDEX(GridXRange,Q46)&lt;0,"Negative",IF($V46-INDEX(GridXRange,Q46)&gt;0,"Positive","Zero")) &amp; " - " &amp;IF($W46-INDEX(GridYRange,Q46)&lt;0,"Negative",IF($W46-INDEX(GridYRange,Q46)&gt;0,"Positive","Zero")),$AS$7:$AS$15,0))))</f>
        <v>-</v>
      </c>
      <c r="AW46" s="186" t="str">
        <f t="shared" ref="AW46" ca="1" si="346">IF($D46="-","-",IF(LEN(O46)=0,"", INDEX($AT$7:$AT$15,MATCH(IF($V46-INDEX(GridXRange,R46)&lt;0,"Negative",IF($V46-INDEX(GridXRange,R46)&gt;0,"Positive","Zero")) &amp; " - " &amp;IF($W46-INDEX(GridYRange,R46)&lt;0,"Negative",IF($W46-INDEX(GridYRange,R46)&gt;0,"Positive","Zero")),$AS$7:$AS$15,0))))</f>
        <v>-</v>
      </c>
      <c r="AX46" s="187"/>
      <c r="AY46" s="188"/>
      <c r="AZ46" s="188"/>
      <c r="BA46" s="184"/>
      <c r="BB46" s="187" t="str">
        <f t="shared" ca="1" si="191"/>
        <v>-</v>
      </c>
      <c r="BC46" s="188" t="str">
        <f t="shared" ca="1" si="191"/>
        <v>-</v>
      </c>
      <c r="BD46" s="188" t="str">
        <f t="shared" ca="1" si="191"/>
        <v>-</v>
      </c>
      <c r="BE46" s="189" t="str">
        <f t="shared" ca="1" si="191"/>
        <v>-</v>
      </c>
      <c r="BF46" s="213" t="s">
        <v>128</v>
      </c>
      <c r="BG46" s="188" t="s">
        <v>128</v>
      </c>
      <c r="BH46" s="188" t="s">
        <v>128</v>
      </c>
      <c r="BI46" s="213"/>
      <c r="BK46" s="192" t="str">
        <f t="shared" ref="BK46" ca="1" si="347">IF($D46="-","-",$BK$5 + (V46-StartGridX) * (GapXDiff + $BW$7))</f>
        <v>-</v>
      </c>
      <c r="BL46" s="192" t="str">
        <f t="shared" ref="BL46" ca="1" si="348">IF($D46="-","-",$BL$5 + (W46-StartGridY) * (GapYDiff + $BV$7))</f>
        <v>-</v>
      </c>
      <c r="BM46" s="192" t="str">
        <f t="shared" ca="1" si="14"/>
        <v>-</v>
      </c>
      <c r="BN46" s="192" t="str">
        <f t="shared" ca="1" si="15"/>
        <v>-</v>
      </c>
      <c r="BO46" s="192" t="str">
        <f t="shared" ca="1" si="16"/>
        <v>-</v>
      </c>
      <c r="BP46" s="192" t="str">
        <f t="shared" ca="1" si="17"/>
        <v>-</v>
      </c>
      <c r="BQ46" s="192" t="str">
        <f ca="1">IF($D46="-","-",IF(LEN(K46)=0,1,IFERROR(MATCH(K46,Dashboard!$L$25:$L$31,0),1)))</f>
        <v>-</v>
      </c>
      <c r="CC46" s="143" t="str">
        <f t="shared" ref="CC46" ca="1" si="349">IF($D46="-","-",IF(COUNTIF(IDSourceRange,E46)&gt;1,1,0))</f>
        <v>-</v>
      </c>
      <c r="CD46" s="143" t="str">
        <f t="shared" ref="CD46" ca="1" si="350">IF($D46="-","-",  IF(LEN(M46)=0,0,IF(ISERROR(MATCH(M46,IDSourceRange,0)),1,0)) + IF(LEN(N46)=0,0,IF(ISERROR(MATCH(N46,IDSourceRange,0)),1,0)) + IF(LEN(O46)=0,0,IF(ISERROR(MATCH(O46,IDSourceRange,0)),1,0)) )</f>
        <v>-</v>
      </c>
      <c r="CE46" s="143" t="str">
        <f t="shared" ca="1" si="51"/>
        <v>-</v>
      </c>
      <c r="CF46" s="143" t="s">
        <v>128</v>
      </c>
      <c r="CG46" s="143" t="str">
        <f t="shared" ref="CG46" ca="1" si="351">IF($D46="-","-",IF(X46="-",0,IF(COUNTIF(GridCombinedRange,X46)&gt;1,1,0)))</f>
        <v>-</v>
      </c>
      <c r="CH46" s="143"/>
      <c r="CI46" s="143"/>
      <c r="CJ46" s="143"/>
      <c r="CK46" s="143"/>
      <c r="CL46" s="143"/>
    </row>
    <row r="47" spans="3:90" x14ac:dyDescent="0.3">
      <c r="C47" s="170">
        <v>41</v>
      </c>
      <c r="D47" s="111" t="str">
        <f ca="1">IF(COUNTA(OFFSET(Dashboard!$B$6,C47,0,1,COUNTA(Dashboard!$B$6:$H$6)))&gt;0,"Yes","-")</f>
        <v>-</v>
      </c>
      <c r="E47" s="170" t="str">
        <f ca="1">IF(D47="-","-",IF(LEN(INDEX(Dashboard!B$6:B$206,$C47+1))=0,"x"&amp;C47&amp;"x","x"&amp;INDEX(Dashboard!B$6:B$206,$C47+1)&amp;"x"))</f>
        <v>-</v>
      </c>
      <c r="F47" s="171" t="str">
        <f ca="1">IF(D47="-","-",IF(LEN(INDEX(Dashboard!$C$6:$C$206,C47+1))=0," ",INDEX(Dashboard!$C$6:$C$206,C47+1)))</f>
        <v>-</v>
      </c>
      <c r="G47" s="219" t="str">
        <f ca="1">IF(OR(D47="-",D47=""),"-",IF(LEN(INDEX(Dashboard!$D$6:$D$228,C47+1))=0,"", "x"&amp;SUBSTITUTE(SUBSTITUTE(INDEX(Dashboard!$D$6:$D$228,C47+1)," ",""),",","x,x")&amp;"x"))</f>
        <v>-</v>
      </c>
      <c r="H47" s="111" t="str">
        <f ca="1">IF(D47="-","-",TRIM(INDEX(Dashboard!$E$6:$E$206,C47+1)))</f>
        <v>-</v>
      </c>
      <c r="I47" s="111" t="str">
        <f ca="1">IF(D47="-","-",IF(LEN(INDEX(Dashboard!$F$6:$F$206,C47+1))=0,$BS$8,IF(ISERROR(MATCH(INDEX(Dashboard!$F$6:$F$206,C47+1),$BS$7:$BS$35,0)),$BS$8,INDEX(Dashboard!$F$6:$F$206,C47+1))))</f>
        <v>-</v>
      </c>
      <c r="J47" s="111" t="str">
        <f ca="1">IF(D47="-","-",SUBSTITUTE(INDEX(Dashboard!$G$6:$G$206,C47+1)," ",""))</f>
        <v>-</v>
      </c>
      <c r="K47" s="111" t="str">
        <f ca="1">IF(D47="-","-",IF(LEN(INDEX(Dashboard!$H$6:$H$206,C47+1))=0,"",INDEX(Dashboard!$H$6:$H$206,C47+1)))</f>
        <v>-</v>
      </c>
      <c r="M47" s="172" t="str">
        <f t="shared" ref="M47:O66" ca="1" si="352">IF($D47="-","-",TRIM(MID(SUBSTITUTE($G47,",",REPT(" ",LEN($G47))),(M$6-1)*LEN($G47)+1,LEN($G47))))</f>
        <v>-</v>
      </c>
      <c r="N47" s="172" t="str">
        <f t="shared" ca="1" si="352"/>
        <v>-</v>
      </c>
      <c r="O47" s="172" t="str">
        <f t="shared" ca="1" si="352"/>
        <v>-</v>
      </c>
      <c r="P47" s="173" t="str">
        <f t="shared" ca="1" si="285"/>
        <v>-</v>
      </c>
      <c r="Q47" s="172" t="str">
        <f t="shared" ca="1" si="285"/>
        <v>-</v>
      </c>
      <c r="R47" s="172" t="str">
        <f t="shared" ca="1" si="285"/>
        <v>-</v>
      </c>
      <c r="S47" s="174" t="str">
        <f t="array" aca="1" ref="S47" ca="1">IF($D47="-","-",SUM(IF(LEN(M47:O47)&gt;0,1,0)))</f>
        <v>-</v>
      </c>
      <c r="T47" s="175" t="str">
        <f t="array" aca="1" ref="T47" ca="1">IF(D47="-","-",SUM(IF(ISERROR(SEARCH(E47,$G$7:$G$206)),0,1)))</f>
        <v>-</v>
      </c>
      <c r="V47" s="204"/>
      <c r="W47" s="127"/>
      <c r="X47" s="177" t="str">
        <f t="shared" si="23"/>
        <v>-</v>
      </c>
      <c r="Y47" s="178"/>
      <c r="Z47" s="127"/>
      <c r="AB47" s="179" t="str">
        <f t="shared" ca="1" si="286"/>
        <v>-</v>
      </c>
      <c r="AC47" s="179" t="str">
        <f t="shared" ca="1" si="286"/>
        <v>-</v>
      </c>
      <c r="AD47" s="179" t="str">
        <f t="shared" ca="1" si="286"/>
        <v>-</v>
      </c>
      <c r="AE47" s="201" t="s">
        <v>236</v>
      </c>
      <c r="AJ47" s="181" t="str">
        <f t="shared" ca="1" si="5"/>
        <v>-</v>
      </c>
      <c r="AK47" s="179" t="str">
        <f t="shared" ca="1" si="6"/>
        <v>-</v>
      </c>
      <c r="AL47" s="179" t="str">
        <f t="shared" ca="1" si="6"/>
        <v>-</v>
      </c>
      <c r="AM47" s="179" t="str">
        <f t="shared" ca="1" si="6"/>
        <v>-</v>
      </c>
      <c r="AO47" s="182" t="str">
        <f t="shared" ca="1" si="287"/>
        <v>-</v>
      </c>
      <c r="AP47" s="182" t="str">
        <f t="shared" ca="1" si="287"/>
        <v>-</v>
      </c>
      <c r="AQ47" s="182" t="str">
        <f t="shared" ca="1" si="287"/>
        <v>-</v>
      </c>
      <c r="AU47" s="185" t="str">
        <f t="shared" ref="AU47" ca="1" si="353">IF($D47="-","-",IF(LEN(M47)=0,"", INDEX($AT$7:$AT$15,MATCH(IF($V47-INDEX(GridXRange,P47)&lt;0,"Negative",IF($V47-INDEX(GridXRange,P47)&gt;0,"Positive","Zero")) &amp; " - " &amp;IF($W47-INDEX(GridYRange,P47)&lt;0,"Negative",IF($W47-INDEX(GridYRange,P47)&gt;0,"Positive","Zero")),$AS$7:$AS$15,0))))</f>
        <v>-</v>
      </c>
      <c r="AV47" s="186" t="str">
        <f t="shared" ref="AV47" ca="1" si="354">IF($D47="-","-",IF(LEN(N47)=0,"", INDEX($AT$7:$AT$15,MATCH(IF($V47-INDEX(GridXRange,Q47)&lt;0,"Negative",IF($V47-INDEX(GridXRange,Q47)&gt;0,"Positive","Zero")) &amp; " - " &amp;IF($W47-INDEX(GridYRange,Q47)&lt;0,"Negative",IF($W47-INDEX(GridYRange,Q47)&gt;0,"Positive","Zero")),$AS$7:$AS$15,0))))</f>
        <v>-</v>
      </c>
      <c r="AW47" s="186" t="str">
        <f t="shared" ref="AW47" ca="1" si="355">IF($D47="-","-",IF(LEN(O47)=0,"", INDEX($AT$7:$AT$15,MATCH(IF($V47-INDEX(GridXRange,R47)&lt;0,"Negative",IF($V47-INDEX(GridXRange,R47)&gt;0,"Positive","Zero")) &amp; " - " &amp;IF($W47-INDEX(GridYRange,R47)&lt;0,"Negative",IF($W47-INDEX(GridYRange,R47)&gt;0,"Positive","Zero")),$AS$7:$AS$15,0))))</f>
        <v>-</v>
      </c>
      <c r="AX47" s="187"/>
      <c r="AY47" s="188"/>
      <c r="AZ47" s="188"/>
      <c r="BA47" s="184"/>
      <c r="BB47" s="187" t="str">
        <f t="shared" ref="BB47:BE66" ca="1" si="356">IF($D47="-","-",INDEX($BX$7:$CA$35,MATCH($I47,$BS$7:$BS$35,0),BB$6))</f>
        <v>-</v>
      </c>
      <c r="BC47" s="188" t="str">
        <f t="shared" ca="1" si="356"/>
        <v>-</v>
      </c>
      <c r="BD47" s="188" t="str">
        <f t="shared" ca="1" si="356"/>
        <v>-</v>
      </c>
      <c r="BE47" s="189" t="str">
        <f t="shared" ca="1" si="356"/>
        <v>-</v>
      </c>
      <c r="BF47" s="213" t="s">
        <v>128</v>
      </c>
      <c r="BG47" s="188" t="s">
        <v>128</v>
      </c>
      <c r="BH47" s="188" t="s">
        <v>128</v>
      </c>
      <c r="BI47" s="213"/>
      <c r="BK47" s="192" t="str">
        <f t="shared" ref="BK47" ca="1" si="357">IF($D47="-","-",$BK$5 + (V47-StartGridX) * (GapXDiff + $BW$7))</f>
        <v>-</v>
      </c>
      <c r="BL47" s="192" t="str">
        <f t="shared" ref="BL47" ca="1" si="358">IF($D47="-","-",$BL$5 + (W47-StartGridY) * (GapYDiff + $BV$7))</f>
        <v>-</v>
      </c>
      <c r="BM47" s="192" t="str">
        <f t="shared" ca="1" si="14"/>
        <v>-</v>
      </c>
      <c r="BN47" s="192" t="str">
        <f t="shared" ca="1" si="15"/>
        <v>-</v>
      </c>
      <c r="BO47" s="192" t="str">
        <f t="shared" ca="1" si="16"/>
        <v>-</v>
      </c>
      <c r="BP47" s="192" t="str">
        <f t="shared" ca="1" si="17"/>
        <v>-</v>
      </c>
      <c r="BQ47" s="192" t="str">
        <f ca="1">IF($D47="-","-",IF(LEN(K47)=0,1,IFERROR(MATCH(K47,Dashboard!$L$25:$L$31,0),1)))</f>
        <v>-</v>
      </c>
      <c r="CC47" s="143" t="str">
        <f t="shared" ref="CC47" ca="1" si="359">IF($D47="-","-",IF(COUNTIF(IDSourceRange,E47)&gt;1,1,0))</f>
        <v>-</v>
      </c>
      <c r="CD47" s="143" t="str">
        <f t="shared" ref="CD47" ca="1" si="360">IF($D47="-","-",  IF(LEN(M47)=0,0,IF(ISERROR(MATCH(M47,IDSourceRange,0)),1,0)) + IF(LEN(N47)=0,0,IF(ISERROR(MATCH(N47,IDSourceRange,0)),1,0)) + IF(LEN(O47)=0,0,IF(ISERROR(MATCH(O47,IDSourceRange,0)),1,0)) )</f>
        <v>-</v>
      </c>
      <c r="CE47" s="143" t="str">
        <f t="shared" ca="1" si="51"/>
        <v>-</v>
      </c>
      <c r="CF47" s="143" t="s">
        <v>128</v>
      </c>
      <c r="CG47" s="143" t="str">
        <f t="shared" ref="CG47" ca="1" si="361">IF($D47="-","-",IF(X47="-",0,IF(COUNTIF(GridCombinedRange,X47)&gt;1,1,0)))</f>
        <v>-</v>
      </c>
      <c r="CH47" s="143"/>
      <c r="CI47" s="143"/>
      <c r="CJ47" s="143"/>
      <c r="CK47" s="143"/>
      <c r="CL47" s="143"/>
    </row>
    <row r="48" spans="3:90" x14ac:dyDescent="0.3">
      <c r="C48" s="170">
        <v>42</v>
      </c>
      <c r="D48" s="111" t="str">
        <f ca="1">IF(COUNTA(OFFSET(Dashboard!$B$6,C48,0,1,COUNTA(Dashboard!$B$6:$H$6)))&gt;0,"Yes","-")</f>
        <v>-</v>
      </c>
      <c r="E48" s="170" t="str">
        <f ca="1">IF(D48="-","-",IF(LEN(INDEX(Dashboard!B$6:B$206,$C48+1))=0,"x"&amp;C48&amp;"x","x"&amp;INDEX(Dashboard!B$6:B$206,$C48+1)&amp;"x"))</f>
        <v>-</v>
      </c>
      <c r="F48" s="171" t="str">
        <f ca="1">IF(D48="-","-",IF(LEN(INDEX(Dashboard!$C$6:$C$206,C48+1))=0," ",INDEX(Dashboard!$C$6:$C$206,C48+1)))</f>
        <v>-</v>
      </c>
      <c r="G48" s="219" t="str">
        <f ca="1">IF(OR(D48="-",D48=""),"-",IF(LEN(INDEX(Dashboard!$D$6:$D$228,C48+1))=0,"", "x"&amp;SUBSTITUTE(SUBSTITUTE(INDEX(Dashboard!$D$6:$D$228,C48+1)," ",""),",","x,x")&amp;"x"))</f>
        <v>-</v>
      </c>
      <c r="H48" s="111" t="str">
        <f ca="1">IF(D48="-","-",TRIM(INDEX(Dashboard!$E$6:$E$206,C48+1)))</f>
        <v>-</v>
      </c>
      <c r="I48" s="111" t="str">
        <f ca="1">IF(D48="-","-",IF(LEN(INDEX(Dashboard!$F$6:$F$206,C48+1))=0,$BS$8,IF(ISERROR(MATCH(INDEX(Dashboard!$F$6:$F$206,C48+1),$BS$7:$BS$35,0)),$BS$8,INDEX(Dashboard!$F$6:$F$206,C48+1))))</f>
        <v>-</v>
      </c>
      <c r="J48" s="111" t="str">
        <f ca="1">IF(D48="-","-",SUBSTITUTE(INDEX(Dashboard!$G$6:$G$206,C48+1)," ",""))</f>
        <v>-</v>
      </c>
      <c r="K48" s="111" t="str">
        <f ca="1">IF(D48="-","-",IF(LEN(INDEX(Dashboard!$H$6:$H$206,C48+1))=0,"",INDEX(Dashboard!$H$6:$H$206,C48+1)))</f>
        <v>-</v>
      </c>
      <c r="M48" s="172" t="str">
        <f t="shared" ca="1" si="352"/>
        <v>-</v>
      </c>
      <c r="N48" s="172" t="str">
        <f t="shared" ca="1" si="352"/>
        <v>-</v>
      </c>
      <c r="O48" s="172" t="str">
        <f t="shared" ca="1" si="352"/>
        <v>-</v>
      </c>
      <c r="P48" s="173" t="str">
        <f t="shared" ca="1" si="285"/>
        <v>-</v>
      </c>
      <c r="Q48" s="172" t="str">
        <f t="shared" ca="1" si="285"/>
        <v>-</v>
      </c>
      <c r="R48" s="172" t="str">
        <f t="shared" ca="1" si="285"/>
        <v>-</v>
      </c>
      <c r="S48" s="174" t="str">
        <f t="array" aca="1" ref="S48" ca="1">IF($D48="-","-",SUM(IF(LEN(M48:O48)&gt;0,1,0)))</f>
        <v>-</v>
      </c>
      <c r="T48" s="175" t="str">
        <f t="array" aca="1" ref="T48" ca="1">IF(D48="-","-",SUM(IF(ISERROR(SEARCH(E48,$G$7:$G$206)),0,1)))</f>
        <v>-</v>
      </c>
      <c r="V48" s="204"/>
      <c r="W48" s="127"/>
      <c r="X48" s="177" t="str">
        <f t="shared" si="23"/>
        <v>-</v>
      </c>
      <c r="Y48" s="178"/>
      <c r="Z48" s="127"/>
      <c r="AB48" s="179" t="str">
        <f t="shared" ca="1" si="286"/>
        <v>-</v>
      </c>
      <c r="AC48" s="179" t="str">
        <f t="shared" ca="1" si="286"/>
        <v>-</v>
      </c>
      <c r="AD48" s="179" t="str">
        <f t="shared" ca="1" si="286"/>
        <v>-</v>
      </c>
      <c r="AE48" s="201" t="s">
        <v>237</v>
      </c>
      <c r="AJ48" s="181" t="str">
        <f t="shared" ca="1" si="5"/>
        <v>-</v>
      </c>
      <c r="AK48" s="179" t="str">
        <f t="shared" ca="1" si="6"/>
        <v>-</v>
      </c>
      <c r="AL48" s="179" t="str">
        <f t="shared" ca="1" si="6"/>
        <v>-</v>
      </c>
      <c r="AM48" s="179" t="str">
        <f t="shared" ca="1" si="6"/>
        <v>-</v>
      </c>
      <c r="AO48" s="182" t="str">
        <f t="shared" ca="1" si="287"/>
        <v>-</v>
      </c>
      <c r="AP48" s="182" t="str">
        <f t="shared" ca="1" si="287"/>
        <v>-</v>
      </c>
      <c r="AQ48" s="182" t="str">
        <f t="shared" ca="1" si="287"/>
        <v>-</v>
      </c>
      <c r="AU48" s="185" t="str">
        <f t="shared" ref="AU48" ca="1" si="362">IF($D48="-","-",IF(LEN(M48)=0,"", INDEX($AT$7:$AT$15,MATCH(IF($V48-INDEX(GridXRange,P48)&lt;0,"Negative",IF($V48-INDEX(GridXRange,P48)&gt;0,"Positive","Zero")) &amp; " - " &amp;IF($W48-INDEX(GridYRange,P48)&lt;0,"Negative",IF($W48-INDEX(GridYRange,P48)&gt;0,"Positive","Zero")),$AS$7:$AS$15,0))))</f>
        <v>-</v>
      </c>
      <c r="AV48" s="186" t="str">
        <f t="shared" ref="AV48" ca="1" si="363">IF($D48="-","-",IF(LEN(N48)=0,"", INDEX($AT$7:$AT$15,MATCH(IF($V48-INDEX(GridXRange,Q48)&lt;0,"Negative",IF($V48-INDEX(GridXRange,Q48)&gt;0,"Positive","Zero")) &amp; " - " &amp;IF($W48-INDEX(GridYRange,Q48)&lt;0,"Negative",IF($W48-INDEX(GridYRange,Q48)&gt;0,"Positive","Zero")),$AS$7:$AS$15,0))))</f>
        <v>-</v>
      </c>
      <c r="AW48" s="186" t="str">
        <f t="shared" ref="AW48" ca="1" si="364">IF($D48="-","-",IF(LEN(O48)=0,"", INDEX($AT$7:$AT$15,MATCH(IF($V48-INDEX(GridXRange,R48)&lt;0,"Negative",IF($V48-INDEX(GridXRange,R48)&gt;0,"Positive","Zero")) &amp; " - " &amp;IF($W48-INDEX(GridYRange,R48)&lt;0,"Negative",IF($W48-INDEX(GridYRange,R48)&gt;0,"Positive","Zero")),$AS$7:$AS$15,0))))</f>
        <v>-</v>
      </c>
      <c r="AX48" s="187"/>
      <c r="AY48" s="188"/>
      <c r="AZ48" s="188"/>
      <c r="BA48" s="184"/>
      <c r="BB48" s="187" t="str">
        <f t="shared" ca="1" si="356"/>
        <v>-</v>
      </c>
      <c r="BC48" s="188" t="str">
        <f t="shared" ca="1" si="356"/>
        <v>-</v>
      </c>
      <c r="BD48" s="188" t="str">
        <f t="shared" ca="1" si="356"/>
        <v>-</v>
      </c>
      <c r="BE48" s="189" t="str">
        <f t="shared" ca="1" si="356"/>
        <v>-</v>
      </c>
      <c r="BF48" s="213" t="s">
        <v>128</v>
      </c>
      <c r="BG48" s="188" t="s">
        <v>128</v>
      </c>
      <c r="BH48" s="188" t="s">
        <v>128</v>
      </c>
      <c r="BI48" s="213"/>
      <c r="BK48" s="192" t="str">
        <f t="shared" ref="BK48" ca="1" si="365">IF($D48="-","-",$BK$5 + (V48-StartGridX) * (GapXDiff + $BW$7))</f>
        <v>-</v>
      </c>
      <c r="BL48" s="192" t="str">
        <f t="shared" ref="BL48" ca="1" si="366">IF($D48="-","-",$BL$5 + (W48-StartGridY) * (GapYDiff + $BV$7))</f>
        <v>-</v>
      </c>
      <c r="BM48" s="192" t="str">
        <f t="shared" ca="1" si="14"/>
        <v>-</v>
      </c>
      <c r="BN48" s="192" t="str">
        <f t="shared" ca="1" si="15"/>
        <v>-</v>
      </c>
      <c r="BO48" s="192" t="str">
        <f t="shared" ca="1" si="16"/>
        <v>-</v>
      </c>
      <c r="BP48" s="192" t="str">
        <f t="shared" ca="1" si="17"/>
        <v>-</v>
      </c>
      <c r="BQ48" s="192" t="str">
        <f ca="1">IF($D48="-","-",IF(LEN(K48)=0,1,IFERROR(MATCH(K48,Dashboard!$L$25:$L$31,0),1)))</f>
        <v>-</v>
      </c>
      <c r="CC48" s="143" t="str">
        <f t="shared" ref="CC48" ca="1" si="367">IF($D48="-","-",IF(COUNTIF(IDSourceRange,E48)&gt;1,1,0))</f>
        <v>-</v>
      </c>
      <c r="CD48" s="143" t="str">
        <f t="shared" ref="CD48" ca="1" si="368">IF($D48="-","-",  IF(LEN(M48)=0,0,IF(ISERROR(MATCH(M48,IDSourceRange,0)),1,0)) + IF(LEN(N48)=0,0,IF(ISERROR(MATCH(N48,IDSourceRange,0)),1,0)) + IF(LEN(O48)=0,0,IF(ISERROR(MATCH(O48,IDSourceRange,0)),1,0)) )</f>
        <v>-</v>
      </c>
      <c r="CE48" s="143" t="str">
        <f t="shared" ca="1" si="51"/>
        <v>-</v>
      </c>
      <c r="CF48" s="143" t="s">
        <v>128</v>
      </c>
      <c r="CG48" s="143" t="str">
        <f t="shared" ref="CG48" ca="1" si="369">IF($D48="-","-",IF(X48="-",0,IF(COUNTIF(GridCombinedRange,X48)&gt;1,1,0)))</f>
        <v>-</v>
      </c>
      <c r="CH48" s="143"/>
      <c r="CI48" s="143"/>
      <c r="CJ48" s="143"/>
      <c r="CK48" s="143"/>
      <c r="CL48" s="143"/>
    </row>
    <row r="49" spans="3:90" x14ac:dyDescent="0.3">
      <c r="C49" s="170">
        <v>43</v>
      </c>
      <c r="D49" s="111" t="str">
        <f ca="1">IF(COUNTA(OFFSET(Dashboard!$B$6,C49,0,1,COUNTA(Dashboard!$B$6:$H$6)))&gt;0,"Yes","-")</f>
        <v>-</v>
      </c>
      <c r="E49" s="170" t="str">
        <f ca="1">IF(D49="-","-",IF(LEN(INDEX(Dashboard!B$6:B$206,$C49+1))=0,"x"&amp;C49&amp;"x","x"&amp;INDEX(Dashboard!B$6:B$206,$C49+1)&amp;"x"))</f>
        <v>-</v>
      </c>
      <c r="F49" s="171" t="str">
        <f ca="1">IF(D49="-","-",IF(LEN(INDEX(Dashboard!$C$6:$C$206,C49+1))=0," ",INDEX(Dashboard!$C$6:$C$206,C49+1)))</f>
        <v>-</v>
      </c>
      <c r="G49" s="219" t="str">
        <f ca="1">IF(OR(D49="-",D49=""),"-",IF(LEN(INDEX(Dashboard!$D$6:$D$228,C49+1))=0,"", "x"&amp;SUBSTITUTE(SUBSTITUTE(INDEX(Dashboard!$D$6:$D$228,C49+1)," ",""),",","x,x")&amp;"x"))</f>
        <v>-</v>
      </c>
      <c r="H49" s="111" t="str">
        <f ca="1">IF(D49="-","-",TRIM(INDEX(Dashboard!$E$6:$E$206,C49+1)))</f>
        <v>-</v>
      </c>
      <c r="I49" s="111" t="str">
        <f ca="1">IF(D49="-","-",IF(LEN(INDEX(Dashboard!$F$6:$F$206,C49+1))=0,$BS$8,IF(ISERROR(MATCH(INDEX(Dashboard!$F$6:$F$206,C49+1),$BS$7:$BS$35,0)),$BS$8,INDEX(Dashboard!$F$6:$F$206,C49+1))))</f>
        <v>-</v>
      </c>
      <c r="J49" s="111" t="str">
        <f ca="1">IF(D49="-","-",SUBSTITUTE(INDEX(Dashboard!$G$6:$G$206,C49+1)," ",""))</f>
        <v>-</v>
      </c>
      <c r="K49" s="111" t="str">
        <f ca="1">IF(D49="-","-",IF(LEN(INDEX(Dashboard!$H$6:$H$206,C49+1))=0,"",INDEX(Dashboard!$H$6:$H$206,C49+1)))</f>
        <v>-</v>
      </c>
      <c r="M49" s="172" t="str">
        <f t="shared" ca="1" si="352"/>
        <v>-</v>
      </c>
      <c r="N49" s="172" t="str">
        <f t="shared" ca="1" si="352"/>
        <v>-</v>
      </c>
      <c r="O49" s="172" t="str">
        <f t="shared" ca="1" si="352"/>
        <v>-</v>
      </c>
      <c r="P49" s="173" t="str">
        <f t="shared" ca="1" si="285"/>
        <v>-</v>
      </c>
      <c r="Q49" s="172" t="str">
        <f t="shared" ca="1" si="285"/>
        <v>-</v>
      </c>
      <c r="R49" s="172" t="str">
        <f t="shared" ca="1" si="285"/>
        <v>-</v>
      </c>
      <c r="S49" s="174" t="str">
        <f t="array" aca="1" ref="S49" ca="1">IF($D49="-","-",SUM(IF(LEN(M49:O49)&gt;0,1,0)))</f>
        <v>-</v>
      </c>
      <c r="T49" s="175" t="str">
        <f t="array" aca="1" ref="T49" ca="1">IF(D49="-","-",SUM(IF(ISERROR(SEARCH(E49,$G$7:$G$206)),0,1)))</f>
        <v>-</v>
      </c>
      <c r="V49" s="204"/>
      <c r="W49" s="127"/>
      <c r="X49" s="177" t="str">
        <f t="shared" si="23"/>
        <v>-</v>
      </c>
      <c r="Y49" s="178"/>
      <c r="Z49" s="127"/>
      <c r="AB49" s="179" t="str">
        <f t="shared" ca="1" si="286"/>
        <v>-</v>
      </c>
      <c r="AC49" s="179" t="str">
        <f t="shared" ca="1" si="286"/>
        <v>-</v>
      </c>
      <c r="AD49" s="179" t="str">
        <f t="shared" ca="1" si="286"/>
        <v>-</v>
      </c>
      <c r="AE49" s="201" t="s">
        <v>238</v>
      </c>
      <c r="AJ49" s="181" t="str">
        <f t="shared" ca="1" si="5"/>
        <v>-</v>
      </c>
      <c r="AK49" s="179" t="str">
        <f t="shared" ca="1" si="6"/>
        <v>-</v>
      </c>
      <c r="AL49" s="179" t="str">
        <f t="shared" ca="1" si="6"/>
        <v>-</v>
      </c>
      <c r="AM49" s="179" t="str">
        <f t="shared" ca="1" si="6"/>
        <v>-</v>
      </c>
      <c r="AO49" s="182" t="str">
        <f t="shared" ca="1" si="287"/>
        <v>-</v>
      </c>
      <c r="AP49" s="182" t="str">
        <f t="shared" ca="1" si="287"/>
        <v>-</v>
      </c>
      <c r="AQ49" s="182" t="str">
        <f t="shared" ca="1" si="287"/>
        <v>-</v>
      </c>
      <c r="AU49" s="185" t="str">
        <f t="shared" ref="AU49" ca="1" si="370">IF($D49="-","-",IF(LEN(M49)=0,"", INDEX($AT$7:$AT$15,MATCH(IF($V49-INDEX(GridXRange,P49)&lt;0,"Negative",IF($V49-INDEX(GridXRange,P49)&gt;0,"Positive","Zero")) &amp; " - " &amp;IF($W49-INDEX(GridYRange,P49)&lt;0,"Negative",IF($W49-INDEX(GridYRange,P49)&gt;0,"Positive","Zero")),$AS$7:$AS$15,0))))</f>
        <v>-</v>
      </c>
      <c r="AV49" s="186" t="str">
        <f t="shared" ref="AV49" ca="1" si="371">IF($D49="-","-",IF(LEN(N49)=0,"", INDEX($AT$7:$AT$15,MATCH(IF($V49-INDEX(GridXRange,Q49)&lt;0,"Negative",IF($V49-INDEX(GridXRange,Q49)&gt;0,"Positive","Zero")) &amp; " - " &amp;IF($W49-INDEX(GridYRange,Q49)&lt;0,"Negative",IF($W49-INDEX(GridYRange,Q49)&gt;0,"Positive","Zero")),$AS$7:$AS$15,0))))</f>
        <v>-</v>
      </c>
      <c r="AW49" s="186" t="str">
        <f t="shared" ref="AW49" ca="1" si="372">IF($D49="-","-",IF(LEN(O49)=0,"", INDEX($AT$7:$AT$15,MATCH(IF($V49-INDEX(GridXRange,R49)&lt;0,"Negative",IF($V49-INDEX(GridXRange,R49)&gt;0,"Positive","Zero")) &amp; " - " &amp;IF($W49-INDEX(GridYRange,R49)&lt;0,"Negative",IF($W49-INDEX(GridYRange,R49)&gt;0,"Positive","Zero")),$AS$7:$AS$15,0))))</f>
        <v>-</v>
      </c>
      <c r="AX49" s="187"/>
      <c r="AY49" s="188"/>
      <c r="AZ49" s="188"/>
      <c r="BA49" s="184"/>
      <c r="BB49" s="187" t="str">
        <f t="shared" ca="1" si="356"/>
        <v>-</v>
      </c>
      <c r="BC49" s="188" t="str">
        <f t="shared" ca="1" si="356"/>
        <v>-</v>
      </c>
      <c r="BD49" s="188" t="str">
        <f t="shared" ca="1" si="356"/>
        <v>-</v>
      </c>
      <c r="BE49" s="189" t="str">
        <f t="shared" ca="1" si="356"/>
        <v>-</v>
      </c>
      <c r="BF49" s="213" t="s">
        <v>128</v>
      </c>
      <c r="BG49" s="188" t="s">
        <v>128</v>
      </c>
      <c r="BH49" s="188" t="s">
        <v>128</v>
      </c>
      <c r="BI49" s="213"/>
      <c r="BK49" s="192" t="str">
        <f t="shared" ref="BK49" ca="1" si="373">IF($D49="-","-",$BK$5 + (V49-StartGridX) * (GapXDiff + $BW$7))</f>
        <v>-</v>
      </c>
      <c r="BL49" s="192" t="str">
        <f t="shared" ref="BL49" ca="1" si="374">IF($D49="-","-",$BL$5 + (W49-StartGridY) * (GapYDiff + $BV$7))</f>
        <v>-</v>
      </c>
      <c r="BM49" s="192" t="str">
        <f t="shared" ca="1" si="14"/>
        <v>-</v>
      </c>
      <c r="BN49" s="192" t="str">
        <f t="shared" ca="1" si="15"/>
        <v>-</v>
      </c>
      <c r="BO49" s="192" t="str">
        <f t="shared" ca="1" si="16"/>
        <v>-</v>
      </c>
      <c r="BP49" s="192" t="str">
        <f t="shared" ca="1" si="17"/>
        <v>-</v>
      </c>
      <c r="BQ49" s="192" t="str">
        <f ca="1">IF($D49="-","-",IF(LEN(K49)=0,1,IFERROR(MATCH(K49,Dashboard!$L$25:$L$31,0),1)))</f>
        <v>-</v>
      </c>
      <c r="BU49" s="85"/>
      <c r="BV49" s="85"/>
      <c r="CC49" s="143" t="str">
        <f t="shared" ref="CC49" ca="1" si="375">IF($D49="-","-",IF(COUNTIF(IDSourceRange,E49)&gt;1,1,0))</f>
        <v>-</v>
      </c>
      <c r="CD49" s="143" t="str">
        <f t="shared" ref="CD49" ca="1" si="376">IF($D49="-","-",  IF(LEN(M49)=0,0,IF(ISERROR(MATCH(M49,IDSourceRange,0)),1,0)) + IF(LEN(N49)=0,0,IF(ISERROR(MATCH(N49,IDSourceRange,0)),1,0)) + IF(LEN(O49)=0,0,IF(ISERROR(MATCH(O49,IDSourceRange,0)),1,0)) )</f>
        <v>-</v>
      </c>
      <c r="CE49" s="143" t="str">
        <f t="shared" ca="1" si="51"/>
        <v>-</v>
      </c>
      <c r="CF49" s="143" t="s">
        <v>128</v>
      </c>
      <c r="CG49" s="143" t="str">
        <f t="shared" ref="CG49" ca="1" si="377">IF($D49="-","-",IF(X49="-",0,IF(COUNTIF(GridCombinedRange,X49)&gt;1,1,0)))</f>
        <v>-</v>
      </c>
      <c r="CH49" s="143"/>
      <c r="CI49" s="143"/>
      <c r="CJ49" s="143"/>
      <c r="CK49" s="143"/>
      <c r="CL49" s="143"/>
    </row>
    <row r="50" spans="3:90" x14ac:dyDescent="0.3">
      <c r="C50" s="170">
        <v>44</v>
      </c>
      <c r="D50" s="111" t="str">
        <f ca="1">IF(COUNTA(OFFSET(Dashboard!$B$6,C50,0,1,COUNTA(Dashboard!$B$6:$H$6)))&gt;0,"Yes","-")</f>
        <v>-</v>
      </c>
      <c r="E50" s="170" t="str">
        <f ca="1">IF(D50="-","-",IF(LEN(INDEX(Dashboard!B$6:B$206,$C50+1))=0,"x"&amp;C50&amp;"x","x"&amp;INDEX(Dashboard!B$6:B$206,$C50+1)&amp;"x"))</f>
        <v>-</v>
      </c>
      <c r="F50" s="171" t="str">
        <f ca="1">IF(D50="-","-",IF(LEN(INDEX(Dashboard!$C$6:$C$206,C50+1))=0," ",INDEX(Dashboard!$C$6:$C$206,C50+1)))</f>
        <v>-</v>
      </c>
      <c r="G50" s="219" t="str">
        <f ca="1">IF(OR(D50="-",D50=""),"-",IF(LEN(INDEX(Dashboard!$D$6:$D$228,C50+1))=0,"", "x"&amp;SUBSTITUTE(SUBSTITUTE(INDEX(Dashboard!$D$6:$D$228,C50+1)," ",""),",","x,x")&amp;"x"))</f>
        <v>-</v>
      </c>
      <c r="H50" s="111" t="str">
        <f ca="1">IF(D50="-","-",TRIM(INDEX(Dashboard!$E$6:$E$206,C50+1)))</f>
        <v>-</v>
      </c>
      <c r="I50" s="111" t="str">
        <f ca="1">IF(D50="-","-",IF(LEN(INDEX(Dashboard!$F$6:$F$206,C50+1))=0,$BS$8,IF(ISERROR(MATCH(INDEX(Dashboard!$F$6:$F$206,C50+1),$BS$7:$BS$35,0)),$BS$8,INDEX(Dashboard!$F$6:$F$206,C50+1))))</f>
        <v>-</v>
      </c>
      <c r="J50" s="111" t="str">
        <f ca="1">IF(D50="-","-",SUBSTITUTE(INDEX(Dashboard!$G$6:$G$206,C50+1)," ",""))</f>
        <v>-</v>
      </c>
      <c r="K50" s="111" t="str">
        <f ca="1">IF(D50="-","-",IF(LEN(INDEX(Dashboard!$H$6:$H$206,C50+1))=0,"",INDEX(Dashboard!$H$6:$H$206,C50+1)))</f>
        <v>-</v>
      </c>
      <c r="M50" s="172" t="str">
        <f t="shared" ca="1" si="352"/>
        <v>-</v>
      </c>
      <c r="N50" s="172" t="str">
        <f t="shared" ca="1" si="352"/>
        <v>-</v>
      </c>
      <c r="O50" s="172" t="str">
        <f t="shared" ca="1" si="352"/>
        <v>-</v>
      </c>
      <c r="P50" s="173" t="str">
        <f t="shared" ca="1" si="285"/>
        <v>-</v>
      </c>
      <c r="Q50" s="172" t="str">
        <f t="shared" ca="1" si="285"/>
        <v>-</v>
      </c>
      <c r="R50" s="172" t="str">
        <f t="shared" ca="1" si="285"/>
        <v>-</v>
      </c>
      <c r="S50" s="174" t="str">
        <f t="array" aca="1" ref="S50" ca="1">IF($D50="-","-",SUM(IF(LEN(M50:O50)&gt;0,1,0)))</f>
        <v>-</v>
      </c>
      <c r="T50" s="175" t="str">
        <f t="array" aca="1" ref="T50" ca="1">IF(D50="-","-",SUM(IF(ISERROR(SEARCH(E50,$G$7:$G$206)),0,1)))</f>
        <v>-</v>
      </c>
      <c r="V50" s="204"/>
      <c r="W50" s="127"/>
      <c r="X50" s="177" t="str">
        <f t="shared" si="23"/>
        <v>-</v>
      </c>
      <c r="Y50" s="178"/>
      <c r="Z50" s="127"/>
      <c r="AB50" s="179" t="str">
        <f t="shared" ca="1" si="286"/>
        <v>-</v>
      </c>
      <c r="AC50" s="179" t="str">
        <f t="shared" ca="1" si="286"/>
        <v>-</v>
      </c>
      <c r="AD50" s="179" t="str">
        <f t="shared" ca="1" si="286"/>
        <v>-</v>
      </c>
      <c r="AE50" s="201" t="s">
        <v>239</v>
      </c>
      <c r="AJ50" s="181" t="str">
        <f t="shared" ca="1" si="5"/>
        <v>-</v>
      </c>
      <c r="AK50" s="179" t="str">
        <f t="shared" ca="1" si="6"/>
        <v>-</v>
      </c>
      <c r="AL50" s="179" t="str">
        <f t="shared" ca="1" si="6"/>
        <v>-</v>
      </c>
      <c r="AM50" s="179" t="str">
        <f t="shared" ca="1" si="6"/>
        <v>-</v>
      </c>
      <c r="AO50" s="182" t="str">
        <f t="shared" ca="1" si="287"/>
        <v>-</v>
      </c>
      <c r="AP50" s="182" t="str">
        <f t="shared" ca="1" si="287"/>
        <v>-</v>
      </c>
      <c r="AQ50" s="182" t="str">
        <f t="shared" ca="1" si="287"/>
        <v>-</v>
      </c>
      <c r="AU50" s="185" t="str">
        <f t="shared" ref="AU50" ca="1" si="378">IF($D50="-","-",IF(LEN(M50)=0,"", INDEX($AT$7:$AT$15,MATCH(IF($V50-INDEX(GridXRange,P50)&lt;0,"Negative",IF($V50-INDEX(GridXRange,P50)&gt;0,"Positive","Zero")) &amp; " - " &amp;IF($W50-INDEX(GridYRange,P50)&lt;0,"Negative",IF($W50-INDEX(GridYRange,P50)&gt;0,"Positive","Zero")),$AS$7:$AS$15,0))))</f>
        <v>-</v>
      </c>
      <c r="AV50" s="186" t="str">
        <f t="shared" ref="AV50" ca="1" si="379">IF($D50="-","-",IF(LEN(N50)=0,"", INDEX($AT$7:$AT$15,MATCH(IF($V50-INDEX(GridXRange,Q50)&lt;0,"Negative",IF($V50-INDEX(GridXRange,Q50)&gt;0,"Positive","Zero")) &amp; " - " &amp;IF($W50-INDEX(GridYRange,Q50)&lt;0,"Negative",IF($W50-INDEX(GridYRange,Q50)&gt;0,"Positive","Zero")),$AS$7:$AS$15,0))))</f>
        <v>-</v>
      </c>
      <c r="AW50" s="186" t="str">
        <f t="shared" ref="AW50" ca="1" si="380">IF($D50="-","-",IF(LEN(O50)=0,"", INDEX($AT$7:$AT$15,MATCH(IF($V50-INDEX(GridXRange,R50)&lt;0,"Negative",IF($V50-INDEX(GridXRange,R50)&gt;0,"Positive","Zero")) &amp; " - " &amp;IF($W50-INDEX(GridYRange,R50)&lt;0,"Negative",IF($W50-INDEX(GridYRange,R50)&gt;0,"Positive","Zero")),$AS$7:$AS$15,0))))</f>
        <v>-</v>
      </c>
      <c r="AX50" s="187"/>
      <c r="AY50" s="188"/>
      <c r="AZ50" s="188"/>
      <c r="BA50" s="184"/>
      <c r="BB50" s="187" t="str">
        <f t="shared" ca="1" si="356"/>
        <v>-</v>
      </c>
      <c r="BC50" s="188" t="str">
        <f t="shared" ca="1" si="356"/>
        <v>-</v>
      </c>
      <c r="BD50" s="188" t="str">
        <f t="shared" ca="1" si="356"/>
        <v>-</v>
      </c>
      <c r="BE50" s="189" t="str">
        <f t="shared" ca="1" si="356"/>
        <v>-</v>
      </c>
      <c r="BF50" s="213" t="s">
        <v>128</v>
      </c>
      <c r="BG50" s="188" t="s">
        <v>128</v>
      </c>
      <c r="BH50" s="188" t="s">
        <v>128</v>
      </c>
      <c r="BI50" s="213"/>
      <c r="BK50" s="192" t="str">
        <f t="shared" ref="BK50" ca="1" si="381">IF($D50="-","-",$BK$5 + (V50-StartGridX) * (GapXDiff + $BW$7))</f>
        <v>-</v>
      </c>
      <c r="BL50" s="192" t="str">
        <f t="shared" ref="BL50" ca="1" si="382">IF($D50="-","-",$BL$5 + (W50-StartGridY) * (GapYDiff + $BV$7))</f>
        <v>-</v>
      </c>
      <c r="BM50" s="192" t="str">
        <f t="shared" ca="1" si="14"/>
        <v>-</v>
      </c>
      <c r="BN50" s="192" t="str">
        <f t="shared" ca="1" si="15"/>
        <v>-</v>
      </c>
      <c r="BO50" s="192" t="str">
        <f t="shared" ca="1" si="16"/>
        <v>-</v>
      </c>
      <c r="BP50" s="192" t="str">
        <f t="shared" ca="1" si="17"/>
        <v>-</v>
      </c>
      <c r="BQ50" s="192" t="str">
        <f ca="1">IF($D50="-","-",IF(LEN(K50)=0,1,IFERROR(MATCH(K50,Dashboard!$L$25:$L$31,0),1)))</f>
        <v>-</v>
      </c>
      <c r="BT50" s="85"/>
      <c r="BU50" s="85"/>
      <c r="BV50" s="85"/>
      <c r="CC50" s="143" t="str">
        <f t="shared" ref="CC50" ca="1" si="383">IF($D50="-","-",IF(COUNTIF(IDSourceRange,E50)&gt;1,1,0))</f>
        <v>-</v>
      </c>
      <c r="CD50" s="143" t="str">
        <f t="shared" ref="CD50" ca="1" si="384">IF($D50="-","-",  IF(LEN(M50)=0,0,IF(ISERROR(MATCH(M50,IDSourceRange,0)),1,0)) + IF(LEN(N50)=0,0,IF(ISERROR(MATCH(N50,IDSourceRange,0)),1,0)) + IF(LEN(O50)=0,0,IF(ISERROR(MATCH(O50,IDSourceRange,0)),1,0)) )</f>
        <v>-</v>
      </c>
      <c r="CE50" s="143" t="str">
        <f t="shared" ca="1" si="51"/>
        <v>-</v>
      </c>
      <c r="CF50" s="143" t="s">
        <v>128</v>
      </c>
      <c r="CG50" s="143" t="str">
        <f t="shared" ref="CG50" ca="1" si="385">IF($D50="-","-",IF(X50="-",0,IF(COUNTIF(GridCombinedRange,X50)&gt;1,1,0)))</f>
        <v>-</v>
      </c>
      <c r="CH50" s="143"/>
      <c r="CI50" s="143"/>
      <c r="CJ50" s="143"/>
      <c r="CK50" s="143"/>
      <c r="CL50" s="143"/>
    </row>
    <row r="51" spans="3:90" x14ac:dyDescent="0.3">
      <c r="C51" s="170">
        <v>45</v>
      </c>
      <c r="D51" s="111" t="str">
        <f ca="1">IF(COUNTA(OFFSET(Dashboard!$B$6,C51,0,1,COUNTA(Dashboard!$B$6:$H$6)))&gt;0,"Yes","-")</f>
        <v>-</v>
      </c>
      <c r="E51" s="170" t="str">
        <f ca="1">IF(D51="-","-",IF(LEN(INDEX(Dashboard!B$6:B$206,$C51+1))=0,"x"&amp;C51&amp;"x","x"&amp;INDEX(Dashboard!B$6:B$206,$C51+1)&amp;"x"))</f>
        <v>-</v>
      </c>
      <c r="F51" s="171" t="str">
        <f ca="1">IF(D51="-","-",IF(LEN(INDEX(Dashboard!$C$6:$C$206,C51+1))=0," ",INDEX(Dashboard!$C$6:$C$206,C51+1)))</f>
        <v>-</v>
      </c>
      <c r="G51" s="219" t="str">
        <f ca="1">IF(OR(D51="-",D51=""),"-",IF(LEN(INDEX(Dashboard!$D$6:$D$228,C51+1))=0,"", "x"&amp;SUBSTITUTE(SUBSTITUTE(INDEX(Dashboard!$D$6:$D$228,C51+1)," ",""),",","x,x")&amp;"x"))</f>
        <v>-</v>
      </c>
      <c r="H51" s="111" t="str">
        <f ca="1">IF(D51="-","-",TRIM(INDEX(Dashboard!$E$6:$E$206,C51+1)))</f>
        <v>-</v>
      </c>
      <c r="I51" s="111" t="str">
        <f ca="1">IF(D51="-","-",IF(LEN(INDEX(Dashboard!$F$6:$F$206,C51+1))=0,$BS$8,IF(ISERROR(MATCH(INDEX(Dashboard!$F$6:$F$206,C51+1),$BS$7:$BS$35,0)),$BS$8,INDEX(Dashboard!$F$6:$F$206,C51+1))))</f>
        <v>-</v>
      </c>
      <c r="J51" s="111" t="str">
        <f ca="1">IF(D51="-","-",SUBSTITUTE(INDEX(Dashboard!$G$6:$G$206,C51+1)," ",""))</f>
        <v>-</v>
      </c>
      <c r="K51" s="111" t="str">
        <f ca="1">IF(D51="-","-",IF(LEN(INDEX(Dashboard!$H$6:$H$206,C51+1))=0,"",INDEX(Dashboard!$H$6:$H$206,C51+1)))</f>
        <v>-</v>
      </c>
      <c r="M51" s="172" t="str">
        <f t="shared" ca="1" si="352"/>
        <v>-</v>
      </c>
      <c r="N51" s="172" t="str">
        <f t="shared" ca="1" si="352"/>
        <v>-</v>
      </c>
      <c r="O51" s="172" t="str">
        <f t="shared" ca="1" si="352"/>
        <v>-</v>
      </c>
      <c r="P51" s="173" t="str">
        <f t="shared" ca="1" si="285"/>
        <v>-</v>
      </c>
      <c r="Q51" s="172" t="str">
        <f t="shared" ca="1" si="285"/>
        <v>-</v>
      </c>
      <c r="R51" s="172" t="str">
        <f t="shared" ca="1" si="285"/>
        <v>-</v>
      </c>
      <c r="S51" s="174" t="str">
        <f t="array" aca="1" ref="S51" ca="1">IF($D51="-","-",SUM(IF(LEN(M51:O51)&gt;0,1,0)))</f>
        <v>-</v>
      </c>
      <c r="T51" s="175" t="str">
        <f t="array" aca="1" ref="T51" ca="1">IF(D51="-","-",SUM(IF(ISERROR(SEARCH(E51,$G$7:$G$206)),0,1)))</f>
        <v>-</v>
      </c>
      <c r="V51" s="204"/>
      <c r="W51" s="127"/>
      <c r="X51" s="177" t="str">
        <f t="shared" si="23"/>
        <v>-</v>
      </c>
      <c r="Y51" s="178"/>
      <c r="Z51" s="127"/>
      <c r="AB51" s="179" t="str">
        <f t="shared" ca="1" si="286"/>
        <v>-</v>
      </c>
      <c r="AC51" s="179" t="str">
        <f t="shared" ca="1" si="286"/>
        <v>-</v>
      </c>
      <c r="AD51" s="179" t="str">
        <f t="shared" ca="1" si="286"/>
        <v>-</v>
      </c>
      <c r="AE51" s="201" t="s">
        <v>240</v>
      </c>
      <c r="AJ51" s="181" t="str">
        <f t="shared" ca="1" si="5"/>
        <v>-</v>
      </c>
      <c r="AK51" s="179" t="str">
        <f t="shared" ca="1" si="6"/>
        <v>-</v>
      </c>
      <c r="AL51" s="179" t="str">
        <f t="shared" ca="1" si="6"/>
        <v>-</v>
      </c>
      <c r="AM51" s="179" t="str">
        <f t="shared" ca="1" si="6"/>
        <v>-</v>
      </c>
      <c r="AO51" s="182" t="str">
        <f t="shared" ca="1" si="287"/>
        <v>-</v>
      </c>
      <c r="AP51" s="182" t="str">
        <f t="shared" ca="1" si="287"/>
        <v>-</v>
      </c>
      <c r="AQ51" s="182" t="str">
        <f t="shared" ca="1" si="287"/>
        <v>-</v>
      </c>
      <c r="AU51" s="185" t="str">
        <f t="shared" ref="AU51" ca="1" si="386">IF($D51="-","-",IF(LEN(M51)=0,"", INDEX($AT$7:$AT$15,MATCH(IF($V51-INDEX(GridXRange,P51)&lt;0,"Negative",IF($V51-INDEX(GridXRange,P51)&gt;0,"Positive","Zero")) &amp; " - " &amp;IF($W51-INDEX(GridYRange,P51)&lt;0,"Negative",IF($W51-INDEX(GridYRange,P51)&gt;0,"Positive","Zero")),$AS$7:$AS$15,0))))</f>
        <v>-</v>
      </c>
      <c r="AV51" s="186" t="str">
        <f t="shared" ref="AV51" ca="1" si="387">IF($D51="-","-",IF(LEN(N51)=0,"", INDEX($AT$7:$AT$15,MATCH(IF($V51-INDEX(GridXRange,Q51)&lt;0,"Negative",IF($V51-INDEX(GridXRange,Q51)&gt;0,"Positive","Zero")) &amp; " - " &amp;IF($W51-INDEX(GridYRange,Q51)&lt;0,"Negative",IF($W51-INDEX(GridYRange,Q51)&gt;0,"Positive","Zero")),$AS$7:$AS$15,0))))</f>
        <v>-</v>
      </c>
      <c r="AW51" s="186" t="str">
        <f t="shared" ref="AW51" ca="1" si="388">IF($D51="-","-",IF(LEN(O51)=0,"", INDEX($AT$7:$AT$15,MATCH(IF($V51-INDEX(GridXRange,R51)&lt;0,"Negative",IF($V51-INDEX(GridXRange,R51)&gt;0,"Positive","Zero")) &amp; " - " &amp;IF($W51-INDEX(GridYRange,R51)&lt;0,"Negative",IF($W51-INDEX(GridYRange,R51)&gt;0,"Positive","Zero")),$AS$7:$AS$15,0))))</f>
        <v>-</v>
      </c>
      <c r="AX51" s="187"/>
      <c r="AY51" s="188"/>
      <c r="AZ51" s="188"/>
      <c r="BA51" s="184"/>
      <c r="BB51" s="187" t="str">
        <f t="shared" ca="1" si="356"/>
        <v>-</v>
      </c>
      <c r="BC51" s="188" t="str">
        <f t="shared" ca="1" si="356"/>
        <v>-</v>
      </c>
      <c r="BD51" s="188" t="str">
        <f t="shared" ca="1" si="356"/>
        <v>-</v>
      </c>
      <c r="BE51" s="189" t="str">
        <f t="shared" ca="1" si="356"/>
        <v>-</v>
      </c>
      <c r="BF51" s="213" t="s">
        <v>128</v>
      </c>
      <c r="BG51" s="188" t="s">
        <v>128</v>
      </c>
      <c r="BH51" s="188" t="s">
        <v>128</v>
      </c>
      <c r="BI51" s="213"/>
      <c r="BK51" s="192" t="str">
        <f t="shared" ref="BK51" ca="1" si="389">IF($D51="-","-",$BK$5 + (V51-StartGridX) * (GapXDiff + $BW$7))</f>
        <v>-</v>
      </c>
      <c r="BL51" s="192" t="str">
        <f t="shared" ref="BL51" ca="1" si="390">IF($D51="-","-",$BL$5 + (W51-StartGridY) * (GapYDiff + $BV$7))</f>
        <v>-</v>
      </c>
      <c r="BM51" s="192" t="str">
        <f t="shared" ca="1" si="14"/>
        <v>-</v>
      </c>
      <c r="BN51" s="192" t="str">
        <f t="shared" ca="1" si="15"/>
        <v>-</v>
      </c>
      <c r="BO51" s="192" t="str">
        <f t="shared" ca="1" si="16"/>
        <v>-</v>
      </c>
      <c r="BP51" s="192" t="str">
        <f t="shared" ca="1" si="17"/>
        <v>-</v>
      </c>
      <c r="BQ51" s="192" t="str">
        <f ca="1">IF($D51="-","-",IF(LEN(K51)=0,1,IFERROR(MATCH(K51,Dashboard!$L$25:$L$31,0),1)))</f>
        <v>-</v>
      </c>
      <c r="BT51" s="85"/>
      <c r="BU51" s="85"/>
      <c r="BV51" s="85"/>
      <c r="CC51" s="143" t="str">
        <f t="shared" ref="CC51" ca="1" si="391">IF($D51="-","-",IF(COUNTIF(IDSourceRange,E51)&gt;1,1,0))</f>
        <v>-</v>
      </c>
      <c r="CD51" s="143" t="str">
        <f t="shared" ref="CD51" ca="1" si="392">IF($D51="-","-",  IF(LEN(M51)=0,0,IF(ISERROR(MATCH(M51,IDSourceRange,0)),1,0)) + IF(LEN(N51)=0,0,IF(ISERROR(MATCH(N51,IDSourceRange,0)),1,0)) + IF(LEN(O51)=0,0,IF(ISERROR(MATCH(O51,IDSourceRange,0)),1,0)) )</f>
        <v>-</v>
      </c>
      <c r="CE51" s="143" t="str">
        <f t="shared" ca="1" si="51"/>
        <v>-</v>
      </c>
      <c r="CF51" s="143" t="s">
        <v>128</v>
      </c>
      <c r="CG51" s="143" t="str">
        <f t="shared" ref="CG51" ca="1" si="393">IF($D51="-","-",IF(X51="-",0,IF(COUNTIF(GridCombinedRange,X51)&gt;1,1,0)))</f>
        <v>-</v>
      </c>
      <c r="CH51" s="143"/>
      <c r="CI51" s="143"/>
      <c r="CJ51" s="143"/>
      <c r="CK51" s="143"/>
      <c r="CL51" s="143"/>
    </row>
    <row r="52" spans="3:90" x14ac:dyDescent="0.3">
      <c r="C52" s="170">
        <v>46</v>
      </c>
      <c r="D52" s="111" t="str">
        <f ca="1">IF(COUNTA(OFFSET(Dashboard!$B$6,C52,0,1,COUNTA(Dashboard!$B$6:$H$6)))&gt;0,"Yes","-")</f>
        <v>-</v>
      </c>
      <c r="E52" s="170" t="str">
        <f ca="1">IF(D52="-","-",IF(LEN(INDEX(Dashboard!B$6:B$206,$C52+1))=0,"x"&amp;C52&amp;"x","x"&amp;INDEX(Dashboard!B$6:B$206,$C52+1)&amp;"x"))</f>
        <v>-</v>
      </c>
      <c r="F52" s="171" t="str">
        <f ca="1">IF(D52="-","-",IF(LEN(INDEX(Dashboard!$C$6:$C$206,C52+1))=0," ",INDEX(Dashboard!$C$6:$C$206,C52+1)))</f>
        <v>-</v>
      </c>
      <c r="G52" s="219" t="str">
        <f ca="1">IF(OR(D52="-",D52=""),"-",IF(LEN(INDEX(Dashboard!$D$6:$D$228,C52+1))=0,"", "x"&amp;SUBSTITUTE(SUBSTITUTE(INDEX(Dashboard!$D$6:$D$228,C52+1)," ",""),",","x,x")&amp;"x"))</f>
        <v>-</v>
      </c>
      <c r="H52" s="111" t="str">
        <f ca="1">IF(D52="-","-",TRIM(INDEX(Dashboard!$E$6:$E$206,C52+1)))</f>
        <v>-</v>
      </c>
      <c r="I52" s="111" t="str">
        <f ca="1">IF(D52="-","-",IF(LEN(INDEX(Dashboard!$F$6:$F$206,C52+1))=0,$BS$8,IF(ISERROR(MATCH(INDEX(Dashboard!$F$6:$F$206,C52+1),$BS$7:$BS$35,0)),$BS$8,INDEX(Dashboard!$F$6:$F$206,C52+1))))</f>
        <v>-</v>
      </c>
      <c r="J52" s="111" t="str">
        <f ca="1">IF(D52="-","-",SUBSTITUTE(INDEX(Dashboard!$G$6:$G$206,C52+1)," ",""))</f>
        <v>-</v>
      </c>
      <c r="K52" s="111" t="str">
        <f ca="1">IF(D52="-","-",IF(LEN(INDEX(Dashboard!$H$6:$H$206,C52+1))=0,"",INDEX(Dashboard!$H$6:$H$206,C52+1)))</f>
        <v>-</v>
      </c>
      <c r="M52" s="172" t="str">
        <f t="shared" ca="1" si="352"/>
        <v>-</v>
      </c>
      <c r="N52" s="172" t="str">
        <f t="shared" ca="1" si="352"/>
        <v>-</v>
      </c>
      <c r="O52" s="172" t="str">
        <f t="shared" ca="1" si="352"/>
        <v>-</v>
      </c>
      <c r="P52" s="173" t="str">
        <f t="shared" ca="1" si="285"/>
        <v>-</v>
      </c>
      <c r="Q52" s="172" t="str">
        <f t="shared" ca="1" si="285"/>
        <v>-</v>
      </c>
      <c r="R52" s="172" t="str">
        <f t="shared" ca="1" si="285"/>
        <v>-</v>
      </c>
      <c r="S52" s="174" t="str">
        <f t="array" aca="1" ref="S52" ca="1">IF($D52="-","-",SUM(IF(LEN(M52:O52)&gt;0,1,0)))</f>
        <v>-</v>
      </c>
      <c r="T52" s="175" t="str">
        <f t="array" aca="1" ref="T52" ca="1">IF(D52="-","-",SUM(IF(ISERROR(SEARCH(E52,$G$7:$G$206)),0,1)))</f>
        <v>-</v>
      </c>
      <c r="V52" s="204"/>
      <c r="W52" s="127"/>
      <c r="X52" s="177" t="str">
        <f t="shared" si="23"/>
        <v>-</v>
      </c>
      <c r="Y52" s="178"/>
      <c r="Z52" s="127"/>
      <c r="AB52" s="179" t="str">
        <f t="shared" ca="1" si="286"/>
        <v>-</v>
      </c>
      <c r="AC52" s="179" t="str">
        <f t="shared" ca="1" si="286"/>
        <v>-</v>
      </c>
      <c r="AD52" s="179" t="str">
        <f t="shared" ca="1" si="286"/>
        <v>-</v>
      </c>
      <c r="AE52" s="201" t="s">
        <v>241</v>
      </c>
      <c r="AJ52" s="181" t="str">
        <f t="shared" ca="1" si="5"/>
        <v>-</v>
      </c>
      <c r="AK52" s="179" t="str">
        <f t="shared" ca="1" si="6"/>
        <v>-</v>
      </c>
      <c r="AL52" s="179" t="str">
        <f t="shared" ca="1" si="6"/>
        <v>-</v>
      </c>
      <c r="AM52" s="179" t="str">
        <f t="shared" ca="1" si="6"/>
        <v>-</v>
      </c>
      <c r="AO52" s="182" t="str">
        <f t="shared" ca="1" si="287"/>
        <v>-</v>
      </c>
      <c r="AP52" s="182" t="str">
        <f t="shared" ca="1" si="287"/>
        <v>-</v>
      </c>
      <c r="AQ52" s="182" t="str">
        <f t="shared" ca="1" si="287"/>
        <v>-</v>
      </c>
      <c r="AU52" s="185" t="str">
        <f t="shared" ref="AU52" ca="1" si="394">IF($D52="-","-",IF(LEN(M52)=0,"", INDEX($AT$7:$AT$15,MATCH(IF($V52-INDEX(GridXRange,P52)&lt;0,"Negative",IF($V52-INDEX(GridXRange,P52)&gt;0,"Positive","Zero")) &amp; " - " &amp;IF($W52-INDEX(GridYRange,P52)&lt;0,"Negative",IF($W52-INDEX(GridYRange,P52)&gt;0,"Positive","Zero")),$AS$7:$AS$15,0))))</f>
        <v>-</v>
      </c>
      <c r="AV52" s="186" t="str">
        <f t="shared" ref="AV52" ca="1" si="395">IF($D52="-","-",IF(LEN(N52)=0,"", INDEX($AT$7:$AT$15,MATCH(IF($V52-INDEX(GridXRange,Q52)&lt;0,"Negative",IF($V52-INDEX(GridXRange,Q52)&gt;0,"Positive","Zero")) &amp; " - " &amp;IF($W52-INDEX(GridYRange,Q52)&lt;0,"Negative",IF($W52-INDEX(GridYRange,Q52)&gt;0,"Positive","Zero")),$AS$7:$AS$15,0))))</f>
        <v>-</v>
      </c>
      <c r="AW52" s="186" t="str">
        <f t="shared" ref="AW52" ca="1" si="396">IF($D52="-","-",IF(LEN(O52)=0,"", INDEX($AT$7:$AT$15,MATCH(IF($V52-INDEX(GridXRange,R52)&lt;0,"Negative",IF($V52-INDEX(GridXRange,R52)&gt;0,"Positive","Zero")) &amp; " - " &amp;IF($W52-INDEX(GridYRange,R52)&lt;0,"Negative",IF($W52-INDEX(GridYRange,R52)&gt;0,"Positive","Zero")),$AS$7:$AS$15,0))))</f>
        <v>-</v>
      </c>
      <c r="AX52" s="187"/>
      <c r="AY52" s="188"/>
      <c r="AZ52" s="188"/>
      <c r="BA52" s="184"/>
      <c r="BB52" s="187" t="str">
        <f t="shared" ca="1" si="356"/>
        <v>-</v>
      </c>
      <c r="BC52" s="188" t="str">
        <f t="shared" ca="1" si="356"/>
        <v>-</v>
      </c>
      <c r="BD52" s="188" t="str">
        <f t="shared" ca="1" si="356"/>
        <v>-</v>
      </c>
      <c r="BE52" s="189" t="str">
        <f t="shared" ca="1" si="356"/>
        <v>-</v>
      </c>
      <c r="BF52" s="213" t="s">
        <v>128</v>
      </c>
      <c r="BG52" s="188" t="s">
        <v>128</v>
      </c>
      <c r="BH52" s="188" t="s">
        <v>128</v>
      </c>
      <c r="BI52" s="213"/>
      <c r="BK52" s="192" t="str">
        <f t="shared" ref="BK52" ca="1" si="397">IF($D52="-","-",$BK$5 + (V52-StartGridX) * (GapXDiff + $BW$7))</f>
        <v>-</v>
      </c>
      <c r="BL52" s="192" t="str">
        <f t="shared" ref="BL52" ca="1" si="398">IF($D52="-","-",$BL$5 + (W52-StartGridY) * (GapYDiff + $BV$7))</f>
        <v>-</v>
      </c>
      <c r="BM52" s="192" t="str">
        <f t="shared" ca="1" si="14"/>
        <v>-</v>
      </c>
      <c r="BN52" s="192" t="str">
        <f t="shared" ca="1" si="15"/>
        <v>-</v>
      </c>
      <c r="BO52" s="192" t="str">
        <f t="shared" ca="1" si="16"/>
        <v>-</v>
      </c>
      <c r="BP52" s="192" t="str">
        <f t="shared" ca="1" si="17"/>
        <v>-</v>
      </c>
      <c r="BQ52" s="192" t="str">
        <f ca="1">IF($D52="-","-",IF(LEN(K52)=0,1,IFERROR(MATCH(K52,Dashboard!$L$25:$L$31,0),1)))</f>
        <v>-</v>
      </c>
      <c r="BT52" s="85"/>
      <c r="BU52" s="85"/>
      <c r="BV52" s="85"/>
      <c r="CC52" s="143" t="str">
        <f t="shared" ref="CC52" ca="1" si="399">IF($D52="-","-",IF(COUNTIF(IDSourceRange,E52)&gt;1,1,0))</f>
        <v>-</v>
      </c>
      <c r="CD52" s="143" t="str">
        <f t="shared" ref="CD52" ca="1" si="400">IF($D52="-","-",  IF(LEN(M52)=0,0,IF(ISERROR(MATCH(M52,IDSourceRange,0)),1,0)) + IF(LEN(N52)=0,0,IF(ISERROR(MATCH(N52,IDSourceRange,0)),1,0)) + IF(LEN(O52)=0,0,IF(ISERROR(MATCH(O52,IDSourceRange,0)),1,0)) )</f>
        <v>-</v>
      </c>
      <c r="CE52" s="143" t="str">
        <f t="shared" ca="1" si="51"/>
        <v>-</v>
      </c>
      <c r="CF52" s="143" t="s">
        <v>128</v>
      </c>
      <c r="CG52" s="143" t="str">
        <f t="shared" ref="CG52" ca="1" si="401">IF($D52="-","-",IF(X52="-",0,IF(COUNTIF(GridCombinedRange,X52)&gt;1,1,0)))</f>
        <v>-</v>
      </c>
      <c r="CH52" s="143"/>
      <c r="CI52" s="143"/>
      <c r="CJ52" s="143"/>
      <c r="CK52" s="143"/>
      <c r="CL52" s="143"/>
    </row>
    <row r="53" spans="3:90" x14ac:dyDescent="0.3">
      <c r="C53" s="170">
        <v>47</v>
      </c>
      <c r="D53" s="111" t="str">
        <f ca="1">IF(COUNTA(OFFSET(Dashboard!$B$6,C53,0,1,COUNTA(Dashboard!$B$6:$H$6)))&gt;0,"Yes","-")</f>
        <v>-</v>
      </c>
      <c r="E53" s="170" t="str">
        <f ca="1">IF(D53="-","-",IF(LEN(INDEX(Dashboard!B$6:B$206,$C53+1))=0,"x"&amp;C53&amp;"x","x"&amp;INDEX(Dashboard!B$6:B$206,$C53+1)&amp;"x"))</f>
        <v>-</v>
      </c>
      <c r="F53" s="171" t="str">
        <f ca="1">IF(D53="-","-",IF(LEN(INDEX(Dashboard!$C$6:$C$206,C53+1))=0," ",INDEX(Dashboard!$C$6:$C$206,C53+1)))</f>
        <v>-</v>
      </c>
      <c r="G53" s="219" t="str">
        <f ca="1">IF(OR(D53="-",D53=""),"-",IF(LEN(INDEX(Dashboard!$D$6:$D$228,C53+1))=0,"", "x"&amp;SUBSTITUTE(SUBSTITUTE(INDEX(Dashboard!$D$6:$D$228,C53+1)," ",""),",","x,x")&amp;"x"))</f>
        <v>-</v>
      </c>
      <c r="H53" s="111" t="str">
        <f ca="1">IF(D53="-","-",TRIM(INDEX(Dashboard!$E$6:$E$206,C53+1)))</f>
        <v>-</v>
      </c>
      <c r="I53" s="111" t="str">
        <f ca="1">IF(D53="-","-",IF(LEN(INDEX(Dashboard!$F$6:$F$206,C53+1))=0,$BS$8,IF(ISERROR(MATCH(INDEX(Dashboard!$F$6:$F$206,C53+1),$BS$7:$BS$35,0)),$BS$8,INDEX(Dashboard!$F$6:$F$206,C53+1))))</f>
        <v>-</v>
      </c>
      <c r="J53" s="111" t="str">
        <f ca="1">IF(D53="-","-",SUBSTITUTE(INDEX(Dashboard!$G$6:$G$206,C53+1)," ",""))</f>
        <v>-</v>
      </c>
      <c r="K53" s="111" t="str">
        <f ca="1">IF(D53="-","-",IF(LEN(INDEX(Dashboard!$H$6:$H$206,C53+1))=0,"",INDEX(Dashboard!$H$6:$H$206,C53+1)))</f>
        <v>-</v>
      </c>
      <c r="M53" s="172" t="str">
        <f t="shared" ca="1" si="352"/>
        <v>-</v>
      </c>
      <c r="N53" s="172" t="str">
        <f t="shared" ca="1" si="352"/>
        <v>-</v>
      </c>
      <c r="O53" s="172" t="str">
        <f t="shared" ca="1" si="352"/>
        <v>-</v>
      </c>
      <c r="P53" s="173" t="str">
        <f t="shared" ca="1" si="285"/>
        <v>-</v>
      </c>
      <c r="Q53" s="172" t="str">
        <f t="shared" ca="1" si="285"/>
        <v>-</v>
      </c>
      <c r="R53" s="172" t="str">
        <f t="shared" ca="1" si="285"/>
        <v>-</v>
      </c>
      <c r="S53" s="174" t="str">
        <f t="array" aca="1" ref="S53" ca="1">IF($D53="-","-",SUM(IF(LEN(M53:O53)&gt;0,1,0)))</f>
        <v>-</v>
      </c>
      <c r="T53" s="175" t="str">
        <f t="array" aca="1" ref="T53" ca="1">IF(D53="-","-",SUM(IF(ISERROR(SEARCH(E53,$G$7:$G$206)),0,1)))</f>
        <v>-</v>
      </c>
      <c r="V53" s="204"/>
      <c r="W53" s="127"/>
      <c r="X53" s="177" t="str">
        <f t="shared" si="23"/>
        <v>-</v>
      </c>
      <c r="Y53" s="178"/>
      <c r="Z53" s="127"/>
      <c r="AB53" s="179" t="str">
        <f t="shared" ca="1" si="286"/>
        <v>-</v>
      </c>
      <c r="AC53" s="179" t="str">
        <f t="shared" ca="1" si="286"/>
        <v>-</v>
      </c>
      <c r="AD53" s="179" t="str">
        <f t="shared" ca="1" si="286"/>
        <v>-</v>
      </c>
      <c r="AE53" s="201" t="s">
        <v>242</v>
      </c>
      <c r="AJ53" s="181" t="str">
        <f t="shared" ca="1" si="5"/>
        <v>-</v>
      </c>
      <c r="AK53" s="179" t="str">
        <f t="shared" ca="1" si="6"/>
        <v>-</v>
      </c>
      <c r="AL53" s="179" t="str">
        <f t="shared" ca="1" si="6"/>
        <v>-</v>
      </c>
      <c r="AM53" s="179" t="str">
        <f t="shared" ca="1" si="6"/>
        <v>-</v>
      </c>
      <c r="AO53" s="182" t="str">
        <f t="shared" ca="1" si="287"/>
        <v>-</v>
      </c>
      <c r="AP53" s="182" t="str">
        <f t="shared" ca="1" si="287"/>
        <v>-</v>
      </c>
      <c r="AQ53" s="182" t="str">
        <f t="shared" ca="1" si="287"/>
        <v>-</v>
      </c>
      <c r="AU53" s="185" t="str">
        <f t="shared" ref="AU53" ca="1" si="402">IF($D53="-","-",IF(LEN(M53)=0,"", INDEX($AT$7:$AT$15,MATCH(IF($V53-INDEX(GridXRange,P53)&lt;0,"Negative",IF($V53-INDEX(GridXRange,P53)&gt;0,"Positive","Zero")) &amp; " - " &amp;IF($W53-INDEX(GridYRange,P53)&lt;0,"Negative",IF($W53-INDEX(GridYRange,P53)&gt;0,"Positive","Zero")),$AS$7:$AS$15,0))))</f>
        <v>-</v>
      </c>
      <c r="AV53" s="186" t="str">
        <f t="shared" ref="AV53" ca="1" si="403">IF($D53="-","-",IF(LEN(N53)=0,"", INDEX($AT$7:$AT$15,MATCH(IF($V53-INDEX(GridXRange,Q53)&lt;0,"Negative",IF($V53-INDEX(GridXRange,Q53)&gt;0,"Positive","Zero")) &amp; " - " &amp;IF($W53-INDEX(GridYRange,Q53)&lt;0,"Negative",IF($W53-INDEX(GridYRange,Q53)&gt;0,"Positive","Zero")),$AS$7:$AS$15,0))))</f>
        <v>-</v>
      </c>
      <c r="AW53" s="186" t="str">
        <f t="shared" ref="AW53" ca="1" si="404">IF($D53="-","-",IF(LEN(O53)=0,"", INDEX($AT$7:$AT$15,MATCH(IF($V53-INDEX(GridXRange,R53)&lt;0,"Negative",IF($V53-INDEX(GridXRange,R53)&gt;0,"Positive","Zero")) &amp; " - " &amp;IF($W53-INDEX(GridYRange,R53)&lt;0,"Negative",IF($W53-INDEX(GridYRange,R53)&gt;0,"Positive","Zero")),$AS$7:$AS$15,0))))</f>
        <v>-</v>
      </c>
      <c r="AX53" s="187"/>
      <c r="AY53" s="188"/>
      <c r="AZ53" s="188"/>
      <c r="BA53" s="184"/>
      <c r="BB53" s="187" t="str">
        <f t="shared" ca="1" si="356"/>
        <v>-</v>
      </c>
      <c r="BC53" s="188" t="str">
        <f t="shared" ca="1" si="356"/>
        <v>-</v>
      </c>
      <c r="BD53" s="188" t="str">
        <f t="shared" ca="1" si="356"/>
        <v>-</v>
      </c>
      <c r="BE53" s="189" t="str">
        <f t="shared" ca="1" si="356"/>
        <v>-</v>
      </c>
      <c r="BF53" s="213" t="s">
        <v>128</v>
      </c>
      <c r="BG53" s="188" t="s">
        <v>128</v>
      </c>
      <c r="BH53" s="188" t="s">
        <v>128</v>
      </c>
      <c r="BI53" s="213"/>
      <c r="BK53" s="192" t="str">
        <f t="shared" ref="BK53" ca="1" si="405">IF($D53="-","-",$BK$5 + (V53-StartGridX) * (GapXDiff + $BW$7))</f>
        <v>-</v>
      </c>
      <c r="BL53" s="192" t="str">
        <f t="shared" ref="BL53" ca="1" si="406">IF($D53="-","-",$BL$5 + (W53-StartGridY) * (GapYDiff + $BV$7))</f>
        <v>-</v>
      </c>
      <c r="BM53" s="192" t="str">
        <f t="shared" ca="1" si="14"/>
        <v>-</v>
      </c>
      <c r="BN53" s="192" t="str">
        <f t="shared" ca="1" si="15"/>
        <v>-</v>
      </c>
      <c r="BO53" s="192" t="str">
        <f t="shared" ca="1" si="16"/>
        <v>-</v>
      </c>
      <c r="BP53" s="192" t="str">
        <f t="shared" ca="1" si="17"/>
        <v>-</v>
      </c>
      <c r="BQ53" s="192" t="str">
        <f ca="1">IF($D53="-","-",IF(LEN(K53)=0,1,IFERROR(MATCH(K53,Dashboard!$L$25:$L$31,0),1)))</f>
        <v>-</v>
      </c>
      <c r="BT53" s="85"/>
      <c r="BU53" s="85"/>
      <c r="BV53" s="85"/>
      <c r="CC53" s="143" t="str">
        <f t="shared" ref="CC53" ca="1" si="407">IF($D53="-","-",IF(COUNTIF(IDSourceRange,E53)&gt;1,1,0))</f>
        <v>-</v>
      </c>
      <c r="CD53" s="143" t="str">
        <f t="shared" ref="CD53" ca="1" si="408">IF($D53="-","-",  IF(LEN(M53)=0,0,IF(ISERROR(MATCH(M53,IDSourceRange,0)),1,0)) + IF(LEN(N53)=0,0,IF(ISERROR(MATCH(N53,IDSourceRange,0)),1,0)) + IF(LEN(O53)=0,0,IF(ISERROR(MATCH(O53,IDSourceRange,0)),1,0)) )</f>
        <v>-</v>
      </c>
      <c r="CE53" s="143" t="str">
        <f t="shared" ca="1" si="51"/>
        <v>-</v>
      </c>
      <c r="CF53" s="143" t="s">
        <v>128</v>
      </c>
      <c r="CG53" s="143" t="str">
        <f t="shared" ref="CG53" ca="1" si="409">IF($D53="-","-",IF(X53="-",0,IF(COUNTIF(GridCombinedRange,X53)&gt;1,1,0)))</f>
        <v>-</v>
      </c>
      <c r="CH53" s="143"/>
      <c r="CI53" s="143"/>
      <c r="CJ53" s="143"/>
      <c r="CK53" s="143"/>
      <c r="CL53" s="143"/>
    </row>
    <row r="54" spans="3:90" x14ac:dyDescent="0.3">
      <c r="C54" s="170">
        <v>48</v>
      </c>
      <c r="D54" s="111" t="str">
        <f ca="1">IF(COUNTA(OFFSET(Dashboard!$B$6,C54,0,1,COUNTA(Dashboard!$B$6:$H$6)))&gt;0,"Yes","-")</f>
        <v>-</v>
      </c>
      <c r="E54" s="170" t="str">
        <f ca="1">IF(D54="-","-",IF(LEN(INDEX(Dashboard!B$6:B$206,$C54+1))=0,"x"&amp;C54&amp;"x","x"&amp;INDEX(Dashboard!B$6:B$206,$C54+1)&amp;"x"))</f>
        <v>-</v>
      </c>
      <c r="F54" s="171" t="str">
        <f ca="1">IF(D54="-","-",IF(LEN(INDEX(Dashboard!$C$6:$C$206,C54+1))=0," ",INDEX(Dashboard!$C$6:$C$206,C54+1)))</f>
        <v>-</v>
      </c>
      <c r="G54" s="219" t="str">
        <f ca="1">IF(OR(D54="-",D54=""),"-",IF(LEN(INDEX(Dashboard!$D$6:$D$228,C54+1))=0,"", "x"&amp;SUBSTITUTE(SUBSTITUTE(INDEX(Dashboard!$D$6:$D$228,C54+1)," ",""),",","x,x")&amp;"x"))</f>
        <v>-</v>
      </c>
      <c r="H54" s="111" t="str">
        <f ca="1">IF(D54="-","-",TRIM(INDEX(Dashboard!$E$6:$E$206,C54+1)))</f>
        <v>-</v>
      </c>
      <c r="I54" s="111" t="str">
        <f ca="1">IF(D54="-","-",IF(LEN(INDEX(Dashboard!$F$6:$F$206,C54+1))=0,$BS$8,IF(ISERROR(MATCH(INDEX(Dashboard!$F$6:$F$206,C54+1),$BS$7:$BS$35,0)),$BS$8,INDEX(Dashboard!$F$6:$F$206,C54+1))))</f>
        <v>-</v>
      </c>
      <c r="J54" s="111" t="str">
        <f ca="1">IF(D54="-","-",SUBSTITUTE(INDEX(Dashboard!$G$6:$G$206,C54+1)," ",""))</f>
        <v>-</v>
      </c>
      <c r="K54" s="111" t="str">
        <f ca="1">IF(D54="-","-",IF(LEN(INDEX(Dashboard!$H$6:$H$206,C54+1))=0,"",INDEX(Dashboard!$H$6:$H$206,C54+1)))</f>
        <v>-</v>
      </c>
      <c r="M54" s="172" t="str">
        <f t="shared" ca="1" si="352"/>
        <v>-</v>
      </c>
      <c r="N54" s="172" t="str">
        <f t="shared" ca="1" si="352"/>
        <v>-</v>
      </c>
      <c r="O54" s="172" t="str">
        <f t="shared" ca="1" si="352"/>
        <v>-</v>
      </c>
      <c r="P54" s="173" t="str">
        <f t="shared" ca="1" si="285"/>
        <v>-</v>
      </c>
      <c r="Q54" s="172" t="str">
        <f t="shared" ca="1" si="285"/>
        <v>-</v>
      </c>
      <c r="R54" s="172" t="str">
        <f t="shared" ca="1" si="285"/>
        <v>-</v>
      </c>
      <c r="S54" s="174" t="str">
        <f t="array" aca="1" ref="S54" ca="1">IF($D54="-","-",SUM(IF(LEN(M54:O54)&gt;0,1,0)))</f>
        <v>-</v>
      </c>
      <c r="T54" s="175" t="str">
        <f t="array" aca="1" ref="T54" ca="1">IF(D54="-","-",SUM(IF(ISERROR(SEARCH(E54,$G$7:$G$206)),0,1)))</f>
        <v>-</v>
      </c>
      <c r="V54" s="204"/>
      <c r="W54" s="127"/>
      <c r="X54" s="177" t="str">
        <f t="shared" si="23"/>
        <v>-</v>
      </c>
      <c r="Y54" s="178"/>
      <c r="Z54" s="127"/>
      <c r="AB54" s="179" t="str">
        <f t="shared" ca="1" si="286"/>
        <v>-</v>
      </c>
      <c r="AC54" s="179" t="str">
        <f t="shared" ca="1" si="286"/>
        <v>-</v>
      </c>
      <c r="AD54" s="179" t="str">
        <f t="shared" ca="1" si="286"/>
        <v>-</v>
      </c>
      <c r="AE54" s="201" t="s">
        <v>243</v>
      </c>
      <c r="AJ54" s="181" t="str">
        <f t="shared" ca="1" si="5"/>
        <v>-</v>
      </c>
      <c r="AK54" s="179" t="str">
        <f t="shared" ca="1" si="6"/>
        <v>-</v>
      </c>
      <c r="AL54" s="179" t="str">
        <f t="shared" ca="1" si="6"/>
        <v>-</v>
      </c>
      <c r="AM54" s="179" t="str">
        <f t="shared" ca="1" si="6"/>
        <v>-</v>
      </c>
      <c r="AO54" s="182" t="str">
        <f t="shared" ca="1" si="287"/>
        <v>-</v>
      </c>
      <c r="AP54" s="182" t="str">
        <f t="shared" ca="1" si="287"/>
        <v>-</v>
      </c>
      <c r="AQ54" s="182" t="str">
        <f t="shared" ca="1" si="287"/>
        <v>-</v>
      </c>
      <c r="AU54" s="185" t="str">
        <f t="shared" ref="AU54" ca="1" si="410">IF($D54="-","-",IF(LEN(M54)=0,"", INDEX($AT$7:$AT$15,MATCH(IF($V54-INDEX(GridXRange,P54)&lt;0,"Negative",IF($V54-INDEX(GridXRange,P54)&gt;0,"Positive","Zero")) &amp; " - " &amp;IF($W54-INDEX(GridYRange,P54)&lt;0,"Negative",IF($W54-INDEX(GridYRange,P54)&gt;0,"Positive","Zero")),$AS$7:$AS$15,0))))</f>
        <v>-</v>
      </c>
      <c r="AV54" s="186" t="str">
        <f t="shared" ref="AV54" ca="1" si="411">IF($D54="-","-",IF(LEN(N54)=0,"", INDEX($AT$7:$AT$15,MATCH(IF($V54-INDEX(GridXRange,Q54)&lt;0,"Negative",IF($V54-INDEX(GridXRange,Q54)&gt;0,"Positive","Zero")) &amp; " - " &amp;IF($W54-INDEX(GridYRange,Q54)&lt;0,"Negative",IF($W54-INDEX(GridYRange,Q54)&gt;0,"Positive","Zero")),$AS$7:$AS$15,0))))</f>
        <v>-</v>
      </c>
      <c r="AW54" s="186" t="str">
        <f t="shared" ref="AW54" ca="1" si="412">IF($D54="-","-",IF(LEN(O54)=0,"", INDEX($AT$7:$AT$15,MATCH(IF($V54-INDEX(GridXRange,R54)&lt;0,"Negative",IF($V54-INDEX(GridXRange,R54)&gt;0,"Positive","Zero")) &amp; " - " &amp;IF($W54-INDEX(GridYRange,R54)&lt;0,"Negative",IF($W54-INDEX(GridYRange,R54)&gt;0,"Positive","Zero")),$AS$7:$AS$15,0))))</f>
        <v>-</v>
      </c>
      <c r="AX54" s="187"/>
      <c r="AY54" s="188"/>
      <c r="AZ54" s="188"/>
      <c r="BA54" s="184"/>
      <c r="BB54" s="187" t="str">
        <f t="shared" ca="1" si="356"/>
        <v>-</v>
      </c>
      <c r="BC54" s="188" t="str">
        <f t="shared" ca="1" si="356"/>
        <v>-</v>
      </c>
      <c r="BD54" s="188" t="str">
        <f t="shared" ca="1" si="356"/>
        <v>-</v>
      </c>
      <c r="BE54" s="189" t="str">
        <f t="shared" ca="1" si="356"/>
        <v>-</v>
      </c>
      <c r="BF54" s="213" t="s">
        <v>128</v>
      </c>
      <c r="BG54" s="188" t="s">
        <v>128</v>
      </c>
      <c r="BH54" s="188" t="s">
        <v>128</v>
      </c>
      <c r="BI54" s="213"/>
      <c r="BK54" s="192" t="str">
        <f t="shared" ref="BK54" ca="1" si="413">IF($D54="-","-",$BK$5 + (V54-StartGridX) * (GapXDiff + $BW$7))</f>
        <v>-</v>
      </c>
      <c r="BL54" s="192" t="str">
        <f t="shared" ref="BL54" ca="1" si="414">IF($D54="-","-",$BL$5 + (W54-StartGridY) * (GapYDiff + $BV$7))</f>
        <v>-</v>
      </c>
      <c r="BM54" s="192" t="str">
        <f t="shared" ca="1" si="14"/>
        <v>-</v>
      </c>
      <c r="BN54" s="192" t="str">
        <f t="shared" ca="1" si="15"/>
        <v>-</v>
      </c>
      <c r="BO54" s="192" t="str">
        <f t="shared" ca="1" si="16"/>
        <v>-</v>
      </c>
      <c r="BP54" s="192" t="str">
        <f t="shared" ca="1" si="17"/>
        <v>-</v>
      </c>
      <c r="BQ54" s="192" t="str">
        <f ca="1">IF($D54="-","-",IF(LEN(K54)=0,1,IFERROR(MATCH(K54,Dashboard!$L$25:$L$31,0),1)))</f>
        <v>-</v>
      </c>
      <c r="BT54" s="85"/>
      <c r="BU54" s="85"/>
      <c r="BV54" s="85"/>
      <c r="CC54" s="143" t="str">
        <f t="shared" ref="CC54" ca="1" si="415">IF($D54="-","-",IF(COUNTIF(IDSourceRange,E54)&gt;1,1,0))</f>
        <v>-</v>
      </c>
      <c r="CD54" s="143" t="str">
        <f t="shared" ref="CD54" ca="1" si="416">IF($D54="-","-",  IF(LEN(M54)=0,0,IF(ISERROR(MATCH(M54,IDSourceRange,0)),1,0)) + IF(LEN(N54)=0,0,IF(ISERROR(MATCH(N54,IDSourceRange,0)),1,0)) + IF(LEN(O54)=0,0,IF(ISERROR(MATCH(O54,IDSourceRange,0)),1,0)) )</f>
        <v>-</v>
      </c>
      <c r="CE54" s="143" t="str">
        <f t="shared" ca="1" si="51"/>
        <v>-</v>
      </c>
      <c r="CF54" s="143" t="s">
        <v>128</v>
      </c>
      <c r="CG54" s="143" t="str">
        <f t="shared" ref="CG54" ca="1" si="417">IF($D54="-","-",IF(X54="-",0,IF(COUNTIF(GridCombinedRange,X54)&gt;1,1,0)))</f>
        <v>-</v>
      </c>
      <c r="CH54" s="143"/>
      <c r="CI54" s="143"/>
      <c r="CJ54" s="143"/>
      <c r="CK54" s="143"/>
      <c r="CL54" s="143"/>
    </row>
    <row r="55" spans="3:90" x14ac:dyDescent="0.3">
      <c r="C55" s="170">
        <v>49</v>
      </c>
      <c r="D55" s="111" t="str">
        <f ca="1">IF(COUNTA(OFFSET(Dashboard!$B$6,C55,0,1,COUNTA(Dashboard!$B$6:$H$6)))&gt;0,"Yes","-")</f>
        <v>-</v>
      </c>
      <c r="E55" s="170" t="str">
        <f ca="1">IF(D55="-","-",IF(LEN(INDEX(Dashboard!B$6:B$206,$C55+1))=0,"x"&amp;C55&amp;"x","x"&amp;INDEX(Dashboard!B$6:B$206,$C55+1)&amp;"x"))</f>
        <v>-</v>
      </c>
      <c r="F55" s="171" t="str">
        <f ca="1">IF(D55="-","-",IF(LEN(INDEX(Dashboard!$C$6:$C$206,C55+1))=0," ",INDEX(Dashboard!$C$6:$C$206,C55+1)))</f>
        <v>-</v>
      </c>
      <c r="G55" s="219" t="str">
        <f ca="1">IF(OR(D55="-",D55=""),"-",IF(LEN(INDEX(Dashboard!$D$6:$D$228,C55+1))=0,"", "x"&amp;SUBSTITUTE(SUBSTITUTE(INDEX(Dashboard!$D$6:$D$228,C55+1)," ",""),",","x,x")&amp;"x"))</f>
        <v>-</v>
      </c>
      <c r="H55" s="111" t="str">
        <f ca="1">IF(D55="-","-",TRIM(INDEX(Dashboard!$E$6:$E$206,C55+1)))</f>
        <v>-</v>
      </c>
      <c r="I55" s="111" t="str">
        <f ca="1">IF(D55="-","-",IF(LEN(INDEX(Dashboard!$F$6:$F$206,C55+1))=0,$BS$8,IF(ISERROR(MATCH(INDEX(Dashboard!$F$6:$F$206,C55+1),$BS$7:$BS$35,0)),$BS$8,INDEX(Dashboard!$F$6:$F$206,C55+1))))</f>
        <v>-</v>
      </c>
      <c r="J55" s="111" t="str">
        <f ca="1">IF(D55="-","-",SUBSTITUTE(INDEX(Dashboard!$G$6:$G$206,C55+1)," ",""))</f>
        <v>-</v>
      </c>
      <c r="K55" s="111" t="str">
        <f ca="1">IF(D55="-","-",IF(LEN(INDEX(Dashboard!$H$6:$H$206,C55+1))=0,"",INDEX(Dashboard!$H$6:$H$206,C55+1)))</f>
        <v>-</v>
      </c>
      <c r="M55" s="172" t="str">
        <f t="shared" ca="1" si="352"/>
        <v>-</v>
      </c>
      <c r="N55" s="172" t="str">
        <f t="shared" ca="1" si="352"/>
        <v>-</v>
      </c>
      <c r="O55" s="172" t="str">
        <f t="shared" ca="1" si="352"/>
        <v>-</v>
      </c>
      <c r="P55" s="173" t="str">
        <f t="shared" ca="1" si="285"/>
        <v>-</v>
      </c>
      <c r="Q55" s="172" t="str">
        <f t="shared" ca="1" si="285"/>
        <v>-</v>
      </c>
      <c r="R55" s="172" t="str">
        <f t="shared" ca="1" si="285"/>
        <v>-</v>
      </c>
      <c r="S55" s="174" t="str">
        <f t="array" aca="1" ref="S55" ca="1">IF($D55="-","-",SUM(IF(LEN(M55:O55)&gt;0,1,0)))</f>
        <v>-</v>
      </c>
      <c r="T55" s="175" t="str">
        <f t="array" aca="1" ref="T55" ca="1">IF(D55="-","-",SUM(IF(ISERROR(SEARCH(E55,$G$7:$G$206)),0,1)))</f>
        <v>-</v>
      </c>
      <c r="V55" s="204"/>
      <c r="W55" s="127"/>
      <c r="X55" s="177" t="str">
        <f t="shared" si="23"/>
        <v>-</v>
      </c>
      <c r="Y55" s="178"/>
      <c r="Z55" s="127"/>
      <c r="AB55" s="179" t="str">
        <f t="shared" ca="1" si="286"/>
        <v>-</v>
      </c>
      <c r="AC55" s="179" t="str">
        <f t="shared" ca="1" si="286"/>
        <v>-</v>
      </c>
      <c r="AD55" s="179" t="str">
        <f t="shared" ca="1" si="286"/>
        <v>-</v>
      </c>
      <c r="AE55" s="201" t="s">
        <v>244</v>
      </c>
      <c r="AJ55" s="181" t="str">
        <f t="shared" ca="1" si="5"/>
        <v>-</v>
      </c>
      <c r="AK55" s="179" t="str">
        <f t="shared" ca="1" si="6"/>
        <v>-</v>
      </c>
      <c r="AL55" s="179" t="str">
        <f t="shared" ca="1" si="6"/>
        <v>-</v>
      </c>
      <c r="AM55" s="179" t="str">
        <f t="shared" ca="1" si="6"/>
        <v>-</v>
      </c>
      <c r="AO55" s="182" t="str">
        <f t="shared" ca="1" si="287"/>
        <v>-</v>
      </c>
      <c r="AP55" s="182" t="str">
        <f t="shared" ca="1" si="287"/>
        <v>-</v>
      </c>
      <c r="AQ55" s="182" t="str">
        <f t="shared" ca="1" si="287"/>
        <v>-</v>
      </c>
      <c r="AU55" s="185" t="str">
        <f t="shared" ref="AU55" ca="1" si="418">IF($D55="-","-",IF(LEN(M55)=0,"", INDEX($AT$7:$AT$15,MATCH(IF($V55-INDEX(GridXRange,P55)&lt;0,"Negative",IF($V55-INDEX(GridXRange,P55)&gt;0,"Positive","Zero")) &amp; " - " &amp;IF($W55-INDEX(GridYRange,P55)&lt;0,"Negative",IF($W55-INDEX(GridYRange,P55)&gt;0,"Positive","Zero")),$AS$7:$AS$15,0))))</f>
        <v>-</v>
      </c>
      <c r="AV55" s="186" t="str">
        <f t="shared" ref="AV55" ca="1" si="419">IF($D55="-","-",IF(LEN(N55)=0,"", INDEX($AT$7:$AT$15,MATCH(IF($V55-INDEX(GridXRange,Q55)&lt;0,"Negative",IF($V55-INDEX(GridXRange,Q55)&gt;0,"Positive","Zero")) &amp; " - " &amp;IF($W55-INDEX(GridYRange,Q55)&lt;0,"Negative",IF($W55-INDEX(GridYRange,Q55)&gt;0,"Positive","Zero")),$AS$7:$AS$15,0))))</f>
        <v>-</v>
      </c>
      <c r="AW55" s="186" t="str">
        <f t="shared" ref="AW55" ca="1" si="420">IF($D55="-","-",IF(LEN(O55)=0,"", INDEX($AT$7:$AT$15,MATCH(IF($V55-INDEX(GridXRange,R55)&lt;0,"Negative",IF($V55-INDEX(GridXRange,R55)&gt;0,"Positive","Zero")) &amp; " - " &amp;IF($W55-INDEX(GridYRange,R55)&lt;0,"Negative",IF($W55-INDEX(GridYRange,R55)&gt;0,"Positive","Zero")),$AS$7:$AS$15,0))))</f>
        <v>-</v>
      </c>
      <c r="AX55" s="187"/>
      <c r="AY55" s="188"/>
      <c r="AZ55" s="188"/>
      <c r="BA55" s="184"/>
      <c r="BB55" s="187" t="str">
        <f t="shared" ca="1" si="356"/>
        <v>-</v>
      </c>
      <c r="BC55" s="188" t="str">
        <f t="shared" ca="1" si="356"/>
        <v>-</v>
      </c>
      <c r="BD55" s="188" t="str">
        <f t="shared" ca="1" si="356"/>
        <v>-</v>
      </c>
      <c r="BE55" s="189" t="str">
        <f t="shared" ca="1" si="356"/>
        <v>-</v>
      </c>
      <c r="BF55" s="213" t="s">
        <v>128</v>
      </c>
      <c r="BG55" s="188" t="s">
        <v>128</v>
      </c>
      <c r="BH55" s="188" t="s">
        <v>128</v>
      </c>
      <c r="BI55" s="213"/>
      <c r="BK55" s="192" t="str">
        <f t="shared" ref="BK55" ca="1" si="421">IF($D55="-","-",$BK$5 + (V55-StartGridX) * (GapXDiff + $BW$7))</f>
        <v>-</v>
      </c>
      <c r="BL55" s="192" t="str">
        <f t="shared" ref="BL55" ca="1" si="422">IF($D55="-","-",$BL$5 + (W55-StartGridY) * (GapYDiff + $BV$7))</f>
        <v>-</v>
      </c>
      <c r="BM55" s="192" t="str">
        <f t="shared" ca="1" si="14"/>
        <v>-</v>
      </c>
      <c r="BN55" s="192" t="str">
        <f t="shared" ca="1" si="15"/>
        <v>-</v>
      </c>
      <c r="BO55" s="192" t="str">
        <f t="shared" ca="1" si="16"/>
        <v>-</v>
      </c>
      <c r="BP55" s="192" t="str">
        <f t="shared" ca="1" si="17"/>
        <v>-</v>
      </c>
      <c r="BQ55" s="192" t="str">
        <f ca="1">IF($D55="-","-",IF(LEN(K55)=0,1,IFERROR(MATCH(K55,Dashboard!$L$25:$L$31,0),1)))</f>
        <v>-</v>
      </c>
      <c r="BT55" s="85"/>
      <c r="BU55" s="85"/>
      <c r="BV55" s="85"/>
      <c r="CC55" s="143" t="str">
        <f t="shared" ref="CC55" ca="1" si="423">IF($D55="-","-",IF(COUNTIF(IDSourceRange,E55)&gt;1,1,0))</f>
        <v>-</v>
      </c>
      <c r="CD55" s="143" t="str">
        <f t="shared" ref="CD55" ca="1" si="424">IF($D55="-","-",  IF(LEN(M55)=0,0,IF(ISERROR(MATCH(M55,IDSourceRange,0)),1,0)) + IF(LEN(N55)=0,0,IF(ISERROR(MATCH(N55,IDSourceRange,0)),1,0)) + IF(LEN(O55)=0,0,IF(ISERROR(MATCH(O55,IDSourceRange,0)),1,0)) )</f>
        <v>-</v>
      </c>
      <c r="CE55" s="143" t="str">
        <f t="shared" ca="1" si="51"/>
        <v>-</v>
      </c>
      <c r="CF55" s="143" t="s">
        <v>128</v>
      </c>
      <c r="CG55" s="143" t="str">
        <f t="shared" ref="CG55" ca="1" si="425">IF($D55="-","-",IF(X55="-",0,IF(COUNTIF(GridCombinedRange,X55)&gt;1,1,0)))</f>
        <v>-</v>
      </c>
      <c r="CH55" s="143"/>
      <c r="CI55" s="143"/>
      <c r="CJ55" s="143"/>
      <c r="CK55" s="143"/>
      <c r="CL55" s="143"/>
    </row>
    <row r="56" spans="3:90" x14ac:dyDescent="0.3">
      <c r="C56" s="170">
        <v>50</v>
      </c>
      <c r="D56" s="111" t="str">
        <f ca="1">IF(COUNTA(OFFSET(Dashboard!$B$6,C56,0,1,COUNTA(Dashboard!$B$6:$H$6)))&gt;0,"Yes","-")</f>
        <v>-</v>
      </c>
      <c r="E56" s="221" t="str">
        <f ca="1">IF(D56="-","-",IF(LEN(INDEX(Dashboard!B$6:B$228,$C56+1))=0,"x"&amp;C56&amp;"x","x"&amp;INDEX(Dashboard!B$6:B$228,$C56+1)&amp;"x"))</f>
        <v>-</v>
      </c>
      <c r="F56" s="171" t="str">
        <f ca="1">IF(D56="-","-",IF(LEN(INDEX(Dashboard!$C$6:$C$206,C56+1))=0," ",INDEX(Dashboard!$C$6:$C$206,C56+1)))</f>
        <v>-</v>
      </c>
      <c r="G56" s="219" t="str">
        <f ca="1">IF(OR(D56="-",D56=""),"-",IF(LEN(INDEX(Dashboard!$D$6:$D$228,C56+1))=0,"", "x"&amp;SUBSTITUTE(SUBSTITUTE(INDEX(Dashboard!$D$6:$D$228,C56+1)," ",""),",","x,x")&amp;"x"))</f>
        <v>-</v>
      </c>
      <c r="H56" s="111" t="str">
        <f ca="1">IF(D56="-","-",TRIM(INDEX(Dashboard!$E$6:$E$206,C56+1)))</f>
        <v>-</v>
      </c>
      <c r="I56" s="111" t="str">
        <f ca="1">IF(D56="-","-",IF(LEN(INDEX(Dashboard!$F$6:$F$206,C56+1))=0,$BS$8,IF(ISERROR(MATCH(INDEX(Dashboard!$F$6:$F$206,C56+1),$BS$7:$BS$35,0)),$BS$8,INDEX(Dashboard!$F$6:$F$206,C56+1))))</f>
        <v>-</v>
      </c>
      <c r="J56" s="111" t="str">
        <f ca="1">IF(D56="-","-",SUBSTITUTE(INDEX(Dashboard!$G$6:$G$206,C56+1)," ",""))</f>
        <v>-</v>
      </c>
      <c r="K56" s="111" t="str">
        <f ca="1">IF(D56="-","-",IF(LEN(INDEX(Dashboard!$H$6:$H$206,C56+1))=0,"",INDEX(Dashboard!$H$6:$H$206,C56+1)))</f>
        <v>-</v>
      </c>
      <c r="M56" s="172" t="str">
        <f t="shared" ca="1" si="352"/>
        <v>-</v>
      </c>
      <c r="N56" s="172" t="str">
        <f t="shared" ca="1" si="352"/>
        <v>-</v>
      </c>
      <c r="O56" s="172" t="str">
        <f t="shared" ca="1" si="352"/>
        <v>-</v>
      </c>
      <c r="P56" s="173" t="str">
        <f t="shared" ca="1" si="285"/>
        <v>-</v>
      </c>
      <c r="Q56" s="172" t="str">
        <f t="shared" ca="1" si="285"/>
        <v>-</v>
      </c>
      <c r="R56" s="172" t="str">
        <f t="shared" ca="1" si="285"/>
        <v>-</v>
      </c>
      <c r="S56" s="174" t="str">
        <f t="array" aca="1" ref="S56" ca="1">IF($D56="-","-",SUM(IF(LEN(M56:O56)&gt;0,1,0)))</f>
        <v>-</v>
      </c>
      <c r="T56" s="175" t="str">
        <f t="array" aca="1" ref="T56" ca="1">IF(D56="-","-",SUM(IF(ISERROR(SEARCH(E56,$G$7:$G$206)),0,1)))</f>
        <v>-</v>
      </c>
      <c r="V56" s="204"/>
      <c r="W56" s="127"/>
      <c r="X56" s="177" t="str">
        <f t="shared" si="23"/>
        <v>-</v>
      </c>
      <c r="Y56" s="178"/>
      <c r="Z56" s="127"/>
      <c r="AB56" s="179" t="str">
        <f t="shared" ca="1" si="286"/>
        <v>-</v>
      </c>
      <c r="AC56" s="179" t="str">
        <f t="shared" ca="1" si="286"/>
        <v>-</v>
      </c>
      <c r="AD56" s="179" t="str">
        <f t="shared" ca="1" si="286"/>
        <v>-</v>
      </c>
      <c r="AE56" s="207" t="s">
        <v>245</v>
      </c>
      <c r="AJ56" s="181" t="str">
        <f t="shared" ca="1" si="5"/>
        <v>-</v>
      </c>
      <c r="AK56" s="179" t="str">
        <f t="shared" ca="1" si="6"/>
        <v>-</v>
      </c>
      <c r="AL56" s="179" t="str">
        <f t="shared" ca="1" si="6"/>
        <v>-</v>
      </c>
      <c r="AM56" s="179" t="str">
        <f t="shared" ca="1" si="6"/>
        <v>-</v>
      </c>
      <c r="AO56" s="182" t="str">
        <f t="shared" ca="1" si="287"/>
        <v>-</v>
      </c>
      <c r="AP56" s="182" t="str">
        <f t="shared" ca="1" si="287"/>
        <v>-</v>
      </c>
      <c r="AQ56" s="182" t="str">
        <f t="shared" ca="1" si="287"/>
        <v>-</v>
      </c>
      <c r="AU56" s="185" t="str">
        <f t="shared" ref="AU56" ca="1" si="426">IF($D56="-","-",IF(LEN(M56)=0,"", INDEX($AT$7:$AT$15,MATCH(IF($V56-INDEX(GridXRange,P56)&lt;0,"Negative",IF($V56-INDEX(GridXRange,P56)&gt;0,"Positive","Zero")) &amp; " - " &amp;IF($W56-INDEX(GridYRange,P56)&lt;0,"Negative",IF($W56-INDEX(GridYRange,P56)&gt;0,"Positive","Zero")),$AS$7:$AS$15,0))))</f>
        <v>-</v>
      </c>
      <c r="AV56" s="186" t="str">
        <f t="shared" ref="AV56" ca="1" si="427">IF($D56="-","-",IF(LEN(N56)=0,"", INDEX($AT$7:$AT$15,MATCH(IF($V56-INDEX(GridXRange,Q56)&lt;0,"Negative",IF($V56-INDEX(GridXRange,Q56)&gt;0,"Positive","Zero")) &amp; " - " &amp;IF($W56-INDEX(GridYRange,Q56)&lt;0,"Negative",IF($W56-INDEX(GridYRange,Q56)&gt;0,"Positive","Zero")),$AS$7:$AS$15,0))))</f>
        <v>-</v>
      </c>
      <c r="AW56" s="186" t="str">
        <f t="shared" ref="AW56" ca="1" si="428">IF($D56="-","-",IF(LEN(O56)=0,"", INDEX($AT$7:$AT$15,MATCH(IF($V56-INDEX(GridXRange,R56)&lt;0,"Negative",IF($V56-INDEX(GridXRange,R56)&gt;0,"Positive","Zero")) &amp; " - " &amp;IF($W56-INDEX(GridYRange,R56)&lt;0,"Negative",IF($W56-INDEX(GridYRange,R56)&gt;0,"Positive","Zero")),$AS$7:$AS$15,0))))</f>
        <v>-</v>
      </c>
      <c r="AX56" s="187"/>
      <c r="AY56" s="188"/>
      <c r="AZ56" s="188"/>
      <c r="BA56" s="184"/>
      <c r="BB56" s="187" t="str">
        <f t="shared" ca="1" si="356"/>
        <v>-</v>
      </c>
      <c r="BC56" s="188" t="str">
        <f t="shared" ca="1" si="356"/>
        <v>-</v>
      </c>
      <c r="BD56" s="188" t="str">
        <f t="shared" ca="1" si="356"/>
        <v>-</v>
      </c>
      <c r="BE56" s="189" t="str">
        <f t="shared" ca="1" si="356"/>
        <v>-</v>
      </c>
      <c r="BF56" s="213" t="s">
        <v>128</v>
      </c>
      <c r="BG56" s="188" t="s">
        <v>128</v>
      </c>
      <c r="BH56" s="188" t="s">
        <v>128</v>
      </c>
      <c r="BI56" s="213"/>
      <c r="BK56" s="192" t="str">
        <f t="shared" ref="BK56" ca="1" si="429">IF($D56="-","-",$BK$5 + (V56-StartGridX) * (GapXDiff + $BW$7))</f>
        <v>-</v>
      </c>
      <c r="BL56" s="192" t="str">
        <f t="shared" ref="BL56" ca="1" si="430">IF($D56="-","-",$BL$5 + (W56-StartGridY) * (GapYDiff + $BV$7))</f>
        <v>-</v>
      </c>
      <c r="BM56" s="192" t="str">
        <f t="shared" ca="1" si="14"/>
        <v>-</v>
      </c>
      <c r="BN56" s="192" t="str">
        <f t="shared" ca="1" si="15"/>
        <v>-</v>
      </c>
      <c r="BO56" s="192" t="str">
        <f t="shared" ca="1" si="16"/>
        <v>-</v>
      </c>
      <c r="BP56" s="192" t="str">
        <f t="shared" ca="1" si="17"/>
        <v>-</v>
      </c>
      <c r="BQ56" s="192" t="str">
        <f ca="1">IF($D56="-","-",IF(LEN(K56)=0,1,IFERROR(MATCH(K56,Dashboard!$L$25:$L$31,0),1)))</f>
        <v>-</v>
      </c>
      <c r="BT56" s="85"/>
      <c r="BU56" s="85"/>
      <c r="BV56" s="85"/>
      <c r="CC56" s="143" t="str">
        <f t="shared" ref="CC56" ca="1" si="431">IF($D56="-","-",IF(COUNTIF(IDSourceRange,E56)&gt;1,1,0))</f>
        <v>-</v>
      </c>
      <c r="CD56" s="143" t="str">
        <f t="shared" ref="CD56" ca="1" si="432">IF($D56="-","-",  IF(LEN(M56)=0,0,IF(ISERROR(MATCH(M56,IDSourceRange,0)),1,0)) + IF(LEN(N56)=0,0,IF(ISERROR(MATCH(N56,IDSourceRange,0)),1,0)) + IF(LEN(O56)=0,0,IF(ISERROR(MATCH(O56,IDSourceRange,0)),1,0)) )</f>
        <v>-</v>
      </c>
      <c r="CE56" s="143" t="str">
        <f t="shared" ca="1" si="51"/>
        <v>-</v>
      </c>
      <c r="CF56" s="143" t="s">
        <v>128</v>
      </c>
      <c r="CG56" s="143" t="str">
        <f t="shared" ref="CG56" ca="1" si="433">IF($D56="-","-",IF(X56="-",0,IF(COUNTIF(GridCombinedRange,X56)&gt;1,1,0)))</f>
        <v>-</v>
      </c>
      <c r="CH56" s="143"/>
      <c r="CI56" s="143"/>
      <c r="CJ56" s="143"/>
      <c r="CK56" s="143"/>
      <c r="CL56" s="143"/>
    </row>
    <row r="57" spans="3:90" x14ac:dyDescent="0.3">
      <c r="C57" s="170">
        <v>51</v>
      </c>
      <c r="D57" s="111" t="str">
        <f ca="1">IF(COUNTA(OFFSET(Dashboard!$B$6,C57,0,1,COUNTA(Dashboard!$B$6:$H$6)))&gt;0,"Yes","-")</f>
        <v>-</v>
      </c>
      <c r="E57" s="170" t="str">
        <f ca="1">IF(D57="-","-",IF(LEN(INDEX(Dashboard!B$6:B$206,$C57+1))=0,"x"&amp;C57&amp;"x","x"&amp;INDEX(Dashboard!B$6:B$206,$C57+1)&amp;"x"))</f>
        <v>-</v>
      </c>
      <c r="F57" s="171" t="str">
        <f ca="1">IF(D57="-","-",IF(LEN(INDEX(Dashboard!$C$6:$C$206,C57+1))=0," ",INDEX(Dashboard!$C$6:$C$206,C57+1)))</f>
        <v>-</v>
      </c>
      <c r="G57" s="219" t="str">
        <f ca="1">IF(OR(D57="-",D57=""),"-",IF(LEN(INDEX(Dashboard!$D$6:$D$228,C57+1))=0,"", "x"&amp;SUBSTITUTE(SUBSTITUTE(INDEX(Dashboard!$D$6:$D$228,C57+1)," ",""),",","x,x")&amp;"x"))</f>
        <v>-</v>
      </c>
      <c r="H57" s="111" t="str">
        <f ca="1">IF(D57="-","-",TRIM(INDEX(Dashboard!$E$6:$E$206,C57+1)))</f>
        <v>-</v>
      </c>
      <c r="I57" s="111" t="str">
        <f ca="1">IF(D57="-","-",IF(LEN(INDEX(Dashboard!$F$6:$F$206,C57+1))=0,$BS$8,IF(ISERROR(MATCH(INDEX(Dashboard!$F$6:$F$206,C57+1),$BS$7:$BS$35,0)),$BS$8,INDEX(Dashboard!$F$6:$F$206,C57+1))))</f>
        <v>-</v>
      </c>
      <c r="J57" s="111" t="str">
        <f ca="1">IF(D57="-","-",SUBSTITUTE(INDEX(Dashboard!$G$6:$G$206,C57+1)," ",""))</f>
        <v>-</v>
      </c>
      <c r="K57" s="111" t="str">
        <f ca="1">IF(D57="-","-",IF(LEN(INDEX(Dashboard!$H$6:$H$206,C57+1))=0,"",INDEX(Dashboard!$H$6:$H$206,C57+1)))</f>
        <v>-</v>
      </c>
      <c r="M57" s="172" t="str">
        <f t="shared" ca="1" si="352"/>
        <v>-</v>
      </c>
      <c r="N57" s="172" t="str">
        <f t="shared" ca="1" si="352"/>
        <v>-</v>
      </c>
      <c r="O57" s="172" t="str">
        <f t="shared" ca="1" si="352"/>
        <v>-</v>
      </c>
      <c r="P57" s="173" t="str">
        <f t="shared" ca="1" si="285"/>
        <v>-</v>
      </c>
      <c r="Q57" s="172" t="str">
        <f t="shared" ca="1" si="285"/>
        <v>-</v>
      </c>
      <c r="R57" s="172" t="str">
        <f t="shared" ca="1" si="285"/>
        <v>-</v>
      </c>
      <c r="S57" s="174" t="str">
        <f t="array" aca="1" ref="S57" ca="1">IF($D57="-","-",SUM(IF(LEN(M57:O57)&gt;0,1,0)))</f>
        <v>-</v>
      </c>
      <c r="T57" s="175" t="str">
        <f t="array" aca="1" ref="T57" ca="1">IF(D57="-","-",SUM(IF(ISERROR(SEARCH(E57,$G$7:$G$206)),0,1)))</f>
        <v>-</v>
      </c>
      <c r="V57" s="204"/>
      <c r="W57" s="127"/>
      <c r="X57" s="177" t="str">
        <f t="shared" si="23"/>
        <v>-</v>
      </c>
      <c r="Y57" s="178"/>
      <c r="Z57" s="127"/>
      <c r="AB57" s="179" t="str">
        <f t="shared" ca="1" si="286"/>
        <v>-</v>
      </c>
      <c r="AC57" s="179" t="str">
        <f t="shared" ca="1" si="286"/>
        <v>-</v>
      </c>
      <c r="AD57" s="179" t="str">
        <f t="shared" ca="1" si="286"/>
        <v>-</v>
      </c>
      <c r="AJ57" s="181" t="str">
        <f t="shared" ca="1" si="5"/>
        <v>-</v>
      </c>
      <c r="AK57" s="179" t="str">
        <f t="shared" ca="1" si="6"/>
        <v>-</v>
      </c>
      <c r="AL57" s="179" t="str">
        <f t="shared" ca="1" si="6"/>
        <v>-</v>
      </c>
      <c r="AM57" s="179" t="str">
        <f t="shared" ca="1" si="6"/>
        <v>-</v>
      </c>
      <c r="AO57" s="182" t="str">
        <f t="shared" ca="1" si="287"/>
        <v>-</v>
      </c>
      <c r="AP57" s="182" t="str">
        <f t="shared" ca="1" si="287"/>
        <v>-</v>
      </c>
      <c r="AQ57" s="182" t="str">
        <f t="shared" ca="1" si="287"/>
        <v>-</v>
      </c>
      <c r="AU57" s="185" t="str">
        <f t="shared" ref="AU57" ca="1" si="434">IF($D57="-","-",IF(LEN(M57)=0,"", INDEX($AT$7:$AT$15,MATCH(IF($V57-INDEX(GridXRange,P57)&lt;0,"Negative",IF($V57-INDEX(GridXRange,P57)&gt;0,"Positive","Zero")) &amp; " - " &amp;IF($W57-INDEX(GridYRange,P57)&lt;0,"Negative",IF($W57-INDEX(GridYRange,P57)&gt;0,"Positive","Zero")),$AS$7:$AS$15,0))))</f>
        <v>-</v>
      </c>
      <c r="AV57" s="186" t="str">
        <f t="shared" ref="AV57" ca="1" si="435">IF($D57="-","-",IF(LEN(N57)=0,"", INDEX($AT$7:$AT$15,MATCH(IF($V57-INDEX(GridXRange,Q57)&lt;0,"Negative",IF($V57-INDEX(GridXRange,Q57)&gt;0,"Positive","Zero")) &amp; " - " &amp;IF($W57-INDEX(GridYRange,Q57)&lt;0,"Negative",IF($W57-INDEX(GridYRange,Q57)&gt;0,"Positive","Zero")),$AS$7:$AS$15,0))))</f>
        <v>-</v>
      </c>
      <c r="AW57" s="186" t="str">
        <f t="shared" ref="AW57" ca="1" si="436">IF($D57="-","-",IF(LEN(O57)=0,"", INDEX($AT$7:$AT$15,MATCH(IF($V57-INDEX(GridXRange,R57)&lt;0,"Negative",IF($V57-INDEX(GridXRange,R57)&gt;0,"Positive","Zero")) &amp; " - " &amp;IF($W57-INDEX(GridYRange,R57)&lt;0,"Negative",IF($W57-INDEX(GridYRange,R57)&gt;0,"Positive","Zero")),$AS$7:$AS$15,0))))</f>
        <v>-</v>
      </c>
      <c r="AX57" s="187"/>
      <c r="AY57" s="188"/>
      <c r="AZ57" s="188"/>
      <c r="BA57" s="184"/>
      <c r="BB57" s="187" t="str">
        <f t="shared" ca="1" si="356"/>
        <v>-</v>
      </c>
      <c r="BC57" s="188" t="str">
        <f t="shared" ca="1" si="356"/>
        <v>-</v>
      </c>
      <c r="BD57" s="188" t="str">
        <f t="shared" ca="1" si="356"/>
        <v>-</v>
      </c>
      <c r="BE57" s="189" t="str">
        <f t="shared" ca="1" si="356"/>
        <v>-</v>
      </c>
      <c r="BF57" s="213" t="s">
        <v>128</v>
      </c>
      <c r="BG57" s="188" t="s">
        <v>128</v>
      </c>
      <c r="BH57" s="188" t="s">
        <v>128</v>
      </c>
      <c r="BI57" s="213"/>
      <c r="BK57" s="192" t="str">
        <f t="shared" ref="BK57" ca="1" si="437">IF($D57="-","-",$BK$5 + (V57-StartGridX) * (GapXDiff + $BW$7))</f>
        <v>-</v>
      </c>
      <c r="BL57" s="192" t="str">
        <f t="shared" ref="BL57" ca="1" si="438">IF($D57="-","-",$BL$5 + (W57-StartGridY) * (GapYDiff + $BV$7))</f>
        <v>-</v>
      </c>
      <c r="BM57" s="192" t="str">
        <f t="shared" ca="1" si="14"/>
        <v>-</v>
      </c>
      <c r="BN57" s="192" t="str">
        <f t="shared" ca="1" si="15"/>
        <v>-</v>
      </c>
      <c r="BO57" s="192" t="str">
        <f t="shared" ca="1" si="16"/>
        <v>-</v>
      </c>
      <c r="BP57" s="192" t="str">
        <f t="shared" ca="1" si="17"/>
        <v>-</v>
      </c>
      <c r="BQ57" s="192" t="str">
        <f ca="1">IF($D57="-","-",IF(LEN(K57)=0,1,IFERROR(MATCH(K57,Dashboard!$L$25:$L$31,0),1)))</f>
        <v>-</v>
      </c>
      <c r="BT57" s="85"/>
      <c r="CC57" s="143" t="str">
        <f t="shared" ref="CC57" ca="1" si="439">IF($D57="-","-",IF(COUNTIF(IDSourceRange,E57)&gt;1,1,0))</f>
        <v>-</v>
      </c>
      <c r="CD57" s="143" t="str">
        <f t="shared" ref="CD57" ca="1" si="440">IF($D57="-","-",  IF(LEN(M57)=0,0,IF(ISERROR(MATCH(M57,IDSourceRange,0)),1,0)) + IF(LEN(N57)=0,0,IF(ISERROR(MATCH(N57,IDSourceRange,0)),1,0)) + IF(LEN(O57)=0,0,IF(ISERROR(MATCH(O57,IDSourceRange,0)),1,0)) )</f>
        <v>-</v>
      </c>
      <c r="CE57" s="143" t="str">
        <f t="shared" ca="1" si="51"/>
        <v>-</v>
      </c>
      <c r="CF57" s="143" t="s">
        <v>128</v>
      </c>
      <c r="CG57" s="143" t="str">
        <f t="shared" ref="CG57" ca="1" si="441">IF($D57="-","-",IF(X57="-",0,IF(COUNTIF(GridCombinedRange,X57)&gt;1,1,0)))</f>
        <v>-</v>
      </c>
      <c r="CH57" s="143"/>
      <c r="CI57" s="143"/>
      <c r="CJ57" s="143"/>
      <c r="CK57" s="143"/>
      <c r="CL57" s="143"/>
    </row>
    <row r="58" spans="3:90" x14ac:dyDescent="0.3">
      <c r="C58" s="170">
        <v>52</v>
      </c>
      <c r="D58" s="111" t="str">
        <f ca="1">IF(COUNTA(OFFSET(Dashboard!$B$6,C58,0,1,COUNTA(Dashboard!$B$6:$H$6)))&gt;0,"Yes","-")</f>
        <v>-</v>
      </c>
      <c r="E58" s="170" t="str">
        <f ca="1">IF(D58="-","-",IF(LEN(INDEX(Dashboard!B$6:B$206,$C58+1))=0,"x"&amp;C58&amp;"x","x"&amp;INDEX(Dashboard!B$6:B$206,$C58+1)&amp;"x"))</f>
        <v>-</v>
      </c>
      <c r="F58" s="171" t="str">
        <f ca="1">IF(D58="-","-",IF(LEN(INDEX(Dashboard!$C$6:$C$206,C58+1))=0," ",INDEX(Dashboard!$C$6:$C$206,C58+1)))</f>
        <v>-</v>
      </c>
      <c r="G58" s="219" t="str">
        <f ca="1">IF(OR(D58="-",D58=""),"-",IF(LEN(INDEX(Dashboard!$D$6:$D$228,C58+1))=0,"", "x"&amp;SUBSTITUTE(SUBSTITUTE(INDEX(Dashboard!$D$6:$D$228,C58+1)," ",""),",","x,x")&amp;"x"))</f>
        <v>-</v>
      </c>
      <c r="H58" s="111" t="str">
        <f ca="1">IF(D58="-","-",TRIM(INDEX(Dashboard!$E$6:$E$206,C58+1)))</f>
        <v>-</v>
      </c>
      <c r="I58" s="111" t="str">
        <f ca="1">IF(D58="-","-",IF(LEN(INDEX(Dashboard!$F$6:$F$206,C58+1))=0,$BS$8,IF(ISERROR(MATCH(INDEX(Dashboard!$F$6:$F$206,C58+1),$BS$7:$BS$35,0)),$BS$8,INDEX(Dashboard!$F$6:$F$206,C58+1))))</f>
        <v>-</v>
      </c>
      <c r="J58" s="111" t="str">
        <f ca="1">IF(D58="-","-",SUBSTITUTE(INDEX(Dashboard!$G$6:$G$206,C58+1)," ",""))</f>
        <v>-</v>
      </c>
      <c r="K58" s="111" t="str">
        <f ca="1">IF(D58="-","-",IF(LEN(INDEX(Dashboard!$H$6:$H$206,C58+1))=0,"",INDEX(Dashboard!$H$6:$H$206,C58+1)))</f>
        <v>-</v>
      </c>
      <c r="M58" s="172" t="str">
        <f t="shared" ca="1" si="352"/>
        <v>-</v>
      </c>
      <c r="N58" s="172" t="str">
        <f t="shared" ca="1" si="352"/>
        <v>-</v>
      </c>
      <c r="O58" s="172" t="str">
        <f t="shared" ca="1" si="352"/>
        <v>-</v>
      </c>
      <c r="P58" s="173" t="str">
        <f t="shared" ca="1" si="285"/>
        <v>-</v>
      </c>
      <c r="Q58" s="172" t="str">
        <f t="shared" ca="1" si="285"/>
        <v>-</v>
      </c>
      <c r="R58" s="172" t="str">
        <f t="shared" ca="1" si="285"/>
        <v>-</v>
      </c>
      <c r="S58" s="174" t="str">
        <f t="array" aca="1" ref="S58" ca="1">IF($D58="-","-",SUM(IF(LEN(M58:O58)&gt;0,1,0)))</f>
        <v>-</v>
      </c>
      <c r="T58" s="175" t="str">
        <f t="array" aca="1" ref="T58" ca="1">IF(D58="-","-",SUM(IF(ISERROR(SEARCH(E58,$G$7:$G$206)),0,1)))</f>
        <v>-</v>
      </c>
      <c r="V58" s="204"/>
      <c r="W58" s="127"/>
      <c r="X58" s="177" t="str">
        <f t="shared" si="23"/>
        <v>-</v>
      </c>
      <c r="Y58" s="178"/>
      <c r="Z58" s="127"/>
      <c r="AB58" s="179" t="str">
        <f t="shared" ca="1" si="286"/>
        <v>-</v>
      </c>
      <c r="AC58" s="179" t="str">
        <f t="shared" ca="1" si="286"/>
        <v>-</v>
      </c>
      <c r="AD58" s="179" t="str">
        <f t="shared" ca="1" si="286"/>
        <v>-</v>
      </c>
      <c r="AJ58" s="181" t="str">
        <f t="shared" ca="1" si="5"/>
        <v>-</v>
      </c>
      <c r="AK58" s="179" t="str">
        <f t="shared" ca="1" si="6"/>
        <v>-</v>
      </c>
      <c r="AL58" s="179" t="str">
        <f t="shared" ca="1" si="6"/>
        <v>-</v>
      </c>
      <c r="AM58" s="179" t="str">
        <f t="shared" ca="1" si="6"/>
        <v>-</v>
      </c>
      <c r="AO58" s="182" t="str">
        <f t="shared" ca="1" si="287"/>
        <v>-</v>
      </c>
      <c r="AP58" s="182" t="str">
        <f t="shared" ca="1" si="287"/>
        <v>-</v>
      </c>
      <c r="AQ58" s="182" t="str">
        <f t="shared" ca="1" si="287"/>
        <v>-</v>
      </c>
      <c r="AU58" s="185" t="str">
        <f t="shared" ref="AU58" ca="1" si="442">IF($D58="-","-",IF(LEN(M58)=0,"", INDEX($AT$7:$AT$15,MATCH(IF($V58-INDEX(GridXRange,P58)&lt;0,"Negative",IF($V58-INDEX(GridXRange,P58)&gt;0,"Positive","Zero")) &amp; " - " &amp;IF($W58-INDEX(GridYRange,P58)&lt;0,"Negative",IF($W58-INDEX(GridYRange,P58)&gt;0,"Positive","Zero")),$AS$7:$AS$15,0))))</f>
        <v>-</v>
      </c>
      <c r="AV58" s="186" t="str">
        <f t="shared" ref="AV58" ca="1" si="443">IF($D58="-","-",IF(LEN(N58)=0,"", INDEX($AT$7:$AT$15,MATCH(IF($V58-INDEX(GridXRange,Q58)&lt;0,"Negative",IF($V58-INDEX(GridXRange,Q58)&gt;0,"Positive","Zero")) &amp; " - " &amp;IF($W58-INDEX(GridYRange,Q58)&lt;0,"Negative",IF($W58-INDEX(GridYRange,Q58)&gt;0,"Positive","Zero")),$AS$7:$AS$15,0))))</f>
        <v>-</v>
      </c>
      <c r="AW58" s="186" t="str">
        <f t="shared" ref="AW58" ca="1" si="444">IF($D58="-","-",IF(LEN(O58)=0,"", INDEX($AT$7:$AT$15,MATCH(IF($V58-INDEX(GridXRange,R58)&lt;0,"Negative",IF($V58-INDEX(GridXRange,R58)&gt;0,"Positive","Zero")) &amp; " - " &amp;IF($W58-INDEX(GridYRange,R58)&lt;0,"Negative",IF($W58-INDEX(GridYRange,R58)&gt;0,"Positive","Zero")),$AS$7:$AS$15,0))))</f>
        <v>-</v>
      </c>
      <c r="AX58" s="187"/>
      <c r="AY58" s="188"/>
      <c r="AZ58" s="188"/>
      <c r="BA58" s="184"/>
      <c r="BB58" s="187" t="str">
        <f t="shared" ca="1" si="356"/>
        <v>-</v>
      </c>
      <c r="BC58" s="188" t="str">
        <f t="shared" ca="1" si="356"/>
        <v>-</v>
      </c>
      <c r="BD58" s="188" t="str">
        <f t="shared" ca="1" si="356"/>
        <v>-</v>
      </c>
      <c r="BE58" s="189" t="str">
        <f t="shared" ca="1" si="356"/>
        <v>-</v>
      </c>
      <c r="BF58" s="213" t="s">
        <v>128</v>
      </c>
      <c r="BG58" s="188" t="s">
        <v>128</v>
      </c>
      <c r="BH58" s="188" t="s">
        <v>128</v>
      </c>
      <c r="BI58" s="213"/>
      <c r="BK58" s="192" t="str">
        <f t="shared" ref="BK58" ca="1" si="445">IF($D58="-","-",$BK$5 + (V58-StartGridX) * (GapXDiff + $BW$7))</f>
        <v>-</v>
      </c>
      <c r="BL58" s="192" t="str">
        <f t="shared" ref="BL58" ca="1" si="446">IF($D58="-","-",$BL$5 + (W58-StartGridY) * (GapYDiff + $BV$7))</f>
        <v>-</v>
      </c>
      <c r="BM58" s="192" t="str">
        <f t="shared" ca="1" si="14"/>
        <v>-</v>
      </c>
      <c r="BN58" s="192" t="str">
        <f t="shared" ca="1" si="15"/>
        <v>-</v>
      </c>
      <c r="BO58" s="192" t="str">
        <f t="shared" ca="1" si="16"/>
        <v>-</v>
      </c>
      <c r="BP58" s="192" t="str">
        <f t="shared" ca="1" si="17"/>
        <v>-</v>
      </c>
      <c r="BQ58" s="192" t="str">
        <f ca="1">IF($D58="-","-",IF(LEN(K58)=0,1,IFERROR(MATCH(K58,Dashboard!$L$25:$L$31,0),1)))</f>
        <v>-</v>
      </c>
      <c r="CC58" s="143" t="str">
        <f t="shared" ref="CC58" ca="1" si="447">IF($D58="-","-",IF(COUNTIF(IDSourceRange,E58)&gt;1,1,0))</f>
        <v>-</v>
      </c>
      <c r="CD58" s="143" t="str">
        <f t="shared" ref="CD58" ca="1" si="448">IF($D58="-","-",  IF(LEN(M58)=0,0,IF(ISERROR(MATCH(M58,IDSourceRange,0)),1,0)) + IF(LEN(N58)=0,0,IF(ISERROR(MATCH(N58,IDSourceRange,0)),1,0)) + IF(LEN(O58)=0,0,IF(ISERROR(MATCH(O58,IDSourceRange,0)),1,0)) )</f>
        <v>-</v>
      </c>
      <c r="CE58" s="143" t="str">
        <f t="shared" ca="1" si="51"/>
        <v>-</v>
      </c>
      <c r="CF58" s="143" t="s">
        <v>128</v>
      </c>
      <c r="CG58" s="143" t="str">
        <f t="shared" ref="CG58" ca="1" si="449">IF($D58="-","-",IF(X58="-",0,IF(COUNTIF(GridCombinedRange,X58)&gt;1,1,0)))</f>
        <v>-</v>
      </c>
      <c r="CH58" s="143"/>
      <c r="CI58" s="143"/>
      <c r="CJ58" s="143"/>
      <c r="CK58" s="143"/>
      <c r="CL58" s="143"/>
    </row>
    <row r="59" spans="3:90" x14ac:dyDescent="0.3">
      <c r="C59" s="170">
        <v>53</v>
      </c>
      <c r="D59" s="111" t="str">
        <f ca="1">IF(COUNTA(OFFSET(Dashboard!$B$6,C59,0,1,COUNTA(Dashboard!$B$6:$H$6)))&gt;0,"Yes","-")</f>
        <v>-</v>
      </c>
      <c r="E59" s="170" t="str">
        <f ca="1">IF(D59="-","-",IF(LEN(INDEX(Dashboard!B$6:B$206,$C59+1))=0,"x"&amp;C59&amp;"x","x"&amp;INDEX(Dashboard!B$6:B$206,$C59+1)&amp;"x"))</f>
        <v>-</v>
      </c>
      <c r="F59" s="171" t="str">
        <f ca="1">IF(D59="-","-",IF(LEN(INDEX(Dashboard!$C$6:$C$206,C59+1))=0," ",INDEX(Dashboard!$C$6:$C$206,C59+1)))</f>
        <v>-</v>
      </c>
      <c r="G59" s="219" t="str">
        <f ca="1">IF(OR(D59="-",D59=""),"-",IF(LEN(INDEX(Dashboard!$D$6:$D$228,C59+1))=0,"", "x"&amp;SUBSTITUTE(SUBSTITUTE(INDEX(Dashboard!$D$6:$D$228,C59+1)," ",""),",","x,x")&amp;"x"))</f>
        <v>-</v>
      </c>
      <c r="H59" s="111" t="str">
        <f ca="1">IF(D59="-","-",TRIM(INDEX(Dashboard!$E$6:$E$206,C59+1)))</f>
        <v>-</v>
      </c>
      <c r="I59" s="111" t="str">
        <f ca="1">IF(D59="-","-",IF(LEN(INDEX(Dashboard!$F$6:$F$206,C59+1))=0,$BS$8,IF(ISERROR(MATCH(INDEX(Dashboard!$F$6:$F$206,C59+1),$BS$7:$BS$35,0)),$BS$8,INDEX(Dashboard!$F$6:$F$206,C59+1))))</f>
        <v>-</v>
      </c>
      <c r="J59" s="111" t="str">
        <f ca="1">IF(D59="-","-",SUBSTITUTE(INDEX(Dashboard!$G$6:$G$206,C59+1)," ",""))</f>
        <v>-</v>
      </c>
      <c r="K59" s="111" t="str">
        <f ca="1">IF(D59="-","-",IF(LEN(INDEX(Dashboard!$H$6:$H$206,C59+1))=0,"",INDEX(Dashboard!$H$6:$H$206,C59+1)))</f>
        <v>-</v>
      </c>
      <c r="M59" s="172" t="str">
        <f t="shared" ca="1" si="352"/>
        <v>-</v>
      </c>
      <c r="N59" s="172" t="str">
        <f t="shared" ca="1" si="352"/>
        <v>-</v>
      </c>
      <c r="O59" s="172" t="str">
        <f t="shared" ca="1" si="352"/>
        <v>-</v>
      </c>
      <c r="P59" s="173" t="str">
        <f t="shared" ca="1" si="285"/>
        <v>-</v>
      </c>
      <c r="Q59" s="172" t="str">
        <f t="shared" ca="1" si="285"/>
        <v>-</v>
      </c>
      <c r="R59" s="172" t="str">
        <f t="shared" ca="1" si="285"/>
        <v>-</v>
      </c>
      <c r="S59" s="174" t="str">
        <f t="array" aca="1" ref="S59" ca="1">IF($D59="-","-",SUM(IF(LEN(M59:O59)&gt;0,1,0)))</f>
        <v>-</v>
      </c>
      <c r="T59" s="175" t="str">
        <f t="array" aca="1" ref="T59" ca="1">IF(D59="-","-",SUM(IF(ISERROR(SEARCH(E59,$G$7:$G$206)),0,1)))</f>
        <v>-</v>
      </c>
      <c r="V59" s="204"/>
      <c r="W59" s="127"/>
      <c r="X59" s="177" t="str">
        <f t="shared" si="23"/>
        <v>-</v>
      </c>
      <c r="Y59" s="178"/>
      <c r="Z59" s="127"/>
      <c r="AB59" s="179" t="str">
        <f t="shared" ca="1" si="286"/>
        <v>-</v>
      </c>
      <c r="AC59" s="179" t="str">
        <f t="shared" ca="1" si="286"/>
        <v>-</v>
      </c>
      <c r="AD59" s="179" t="str">
        <f t="shared" ca="1" si="286"/>
        <v>-</v>
      </c>
      <c r="AJ59" s="181" t="str">
        <f t="shared" ca="1" si="5"/>
        <v>-</v>
      </c>
      <c r="AK59" s="179" t="str">
        <f t="shared" ca="1" si="6"/>
        <v>-</v>
      </c>
      <c r="AL59" s="179" t="str">
        <f t="shared" ca="1" si="6"/>
        <v>-</v>
      </c>
      <c r="AM59" s="179" t="str">
        <f t="shared" ca="1" si="6"/>
        <v>-</v>
      </c>
      <c r="AO59" s="182" t="str">
        <f t="shared" ca="1" si="287"/>
        <v>-</v>
      </c>
      <c r="AP59" s="182" t="str">
        <f t="shared" ca="1" si="287"/>
        <v>-</v>
      </c>
      <c r="AQ59" s="182" t="str">
        <f t="shared" ca="1" si="287"/>
        <v>-</v>
      </c>
      <c r="AU59" s="185" t="str">
        <f t="shared" ref="AU59" ca="1" si="450">IF($D59="-","-",IF(LEN(M59)=0,"", INDEX($AT$7:$AT$15,MATCH(IF($V59-INDEX(GridXRange,P59)&lt;0,"Negative",IF($V59-INDEX(GridXRange,P59)&gt;0,"Positive","Zero")) &amp; " - " &amp;IF($W59-INDEX(GridYRange,P59)&lt;0,"Negative",IF($W59-INDEX(GridYRange,P59)&gt;0,"Positive","Zero")),$AS$7:$AS$15,0))))</f>
        <v>-</v>
      </c>
      <c r="AV59" s="186" t="str">
        <f t="shared" ref="AV59" ca="1" si="451">IF($D59="-","-",IF(LEN(N59)=0,"", INDEX($AT$7:$AT$15,MATCH(IF($V59-INDEX(GridXRange,Q59)&lt;0,"Negative",IF($V59-INDEX(GridXRange,Q59)&gt;0,"Positive","Zero")) &amp; " - " &amp;IF($W59-INDEX(GridYRange,Q59)&lt;0,"Negative",IF($W59-INDEX(GridYRange,Q59)&gt;0,"Positive","Zero")),$AS$7:$AS$15,0))))</f>
        <v>-</v>
      </c>
      <c r="AW59" s="186" t="str">
        <f t="shared" ref="AW59" ca="1" si="452">IF($D59="-","-",IF(LEN(O59)=0,"", INDEX($AT$7:$AT$15,MATCH(IF($V59-INDEX(GridXRange,R59)&lt;0,"Negative",IF($V59-INDEX(GridXRange,R59)&gt;0,"Positive","Zero")) &amp; " - " &amp;IF($W59-INDEX(GridYRange,R59)&lt;0,"Negative",IF($W59-INDEX(GridYRange,R59)&gt;0,"Positive","Zero")),$AS$7:$AS$15,0))))</f>
        <v>-</v>
      </c>
      <c r="AX59" s="187"/>
      <c r="AY59" s="188"/>
      <c r="AZ59" s="188"/>
      <c r="BA59" s="184"/>
      <c r="BB59" s="187" t="str">
        <f t="shared" ca="1" si="356"/>
        <v>-</v>
      </c>
      <c r="BC59" s="188" t="str">
        <f t="shared" ca="1" si="356"/>
        <v>-</v>
      </c>
      <c r="BD59" s="188" t="str">
        <f t="shared" ca="1" si="356"/>
        <v>-</v>
      </c>
      <c r="BE59" s="189" t="str">
        <f t="shared" ca="1" si="356"/>
        <v>-</v>
      </c>
      <c r="BF59" s="213" t="s">
        <v>128</v>
      </c>
      <c r="BG59" s="188" t="s">
        <v>128</v>
      </c>
      <c r="BH59" s="188" t="s">
        <v>128</v>
      </c>
      <c r="BI59" s="213"/>
      <c r="BK59" s="192" t="str">
        <f t="shared" ref="BK59" ca="1" si="453">IF($D59="-","-",$BK$5 + (V59-StartGridX) * (GapXDiff + $BW$7))</f>
        <v>-</v>
      </c>
      <c r="BL59" s="192" t="str">
        <f t="shared" ref="BL59" ca="1" si="454">IF($D59="-","-",$BL$5 + (W59-StartGridY) * (GapYDiff + $BV$7))</f>
        <v>-</v>
      </c>
      <c r="BM59" s="192" t="str">
        <f t="shared" ca="1" si="14"/>
        <v>-</v>
      </c>
      <c r="BN59" s="192" t="str">
        <f t="shared" ca="1" si="15"/>
        <v>-</v>
      </c>
      <c r="BO59" s="192" t="str">
        <f t="shared" ca="1" si="16"/>
        <v>-</v>
      </c>
      <c r="BP59" s="192" t="str">
        <f t="shared" ca="1" si="17"/>
        <v>-</v>
      </c>
      <c r="BQ59" s="192" t="str">
        <f ca="1">IF($D59="-","-",IF(LEN(K59)=0,1,IFERROR(MATCH(K59,Dashboard!$L$25:$L$31,0),1)))</f>
        <v>-</v>
      </c>
      <c r="CC59" s="143" t="str">
        <f t="shared" ref="CC59" ca="1" si="455">IF($D59="-","-",IF(COUNTIF(IDSourceRange,E59)&gt;1,1,0))</f>
        <v>-</v>
      </c>
      <c r="CD59" s="143" t="str">
        <f t="shared" ref="CD59" ca="1" si="456">IF($D59="-","-",  IF(LEN(M59)=0,0,IF(ISERROR(MATCH(M59,IDSourceRange,0)),1,0)) + IF(LEN(N59)=0,0,IF(ISERROR(MATCH(N59,IDSourceRange,0)),1,0)) + IF(LEN(O59)=0,0,IF(ISERROR(MATCH(O59,IDSourceRange,0)),1,0)) )</f>
        <v>-</v>
      </c>
      <c r="CE59" s="143" t="str">
        <f t="shared" ca="1" si="51"/>
        <v>-</v>
      </c>
      <c r="CF59" s="143" t="s">
        <v>128</v>
      </c>
      <c r="CG59" s="143" t="str">
        <f t="shared" ref="CG59" ca="1" si="457">IF($D59="-","-",IF(X59="-",0,IF(COUNTIF(GridCombinedRange,X59)&gt;1,1,0)))</f>
        <v>-</v>
      </c>
      <c r="CH59" s="143"/>
      <c r="CI59" s="143"/>
      <c r="CJ59" s="143"/>
      <c r="CK59" s="143"/>
      <c r="CL59" s="143"/>
    </row>
    <row r="60" spans="3:90" x14ac:dyDescent="0.3">
      <c r="C60" s="170">
        <v>54</v>
      </c>
      <c r="D60" s="111" t="str">
        <f ca="1">IF(COUNTA(OFFSET(Dashboard!$B$6,C60,0,1,COUNTA(Dashboard!$B$6:$H$6)))&gt;0,"Yes","-")</f>
        <v>-</v>
      </c>
      <c r="E60" s="170" t="str">
        <f ca="1">IF(D60="-","-",IF(LEN(INDEX(Dashboard!B$6:B$206,$C60+1))=0,"x"&amp;C60&amp;"x","x"&amp;INDEX(Dashboard!B$6:B$206,$C60+1)&amp;"x"))</f>
        <v>-</v>
      </c>
      <c r="F60" s="171" t="str">
        <f ca="1">IF(D60="-","-",IF(LEN(INDEX(Dashboard!$C$6:$C$206,C60+1))=0," ",INDEX(Dashboard!$C$6:$C$206,C60+1)))</f>
        <v>-</v>
      </c>
      <c r="G60" s="219" t="str">
        <f ca="1">IF(OR(D60="-",D60=""),"-",IF(LEN(INDEX(Dashboard!$D$6:$D$228,C60+1))=0,"", "x"&amp;SUBSTITUTE(SUBSTITUTE(INDEX(Dashboard!$D$6:$D$228,C60+1)," ",""),",","x,x")&amp;"x"))</f>
        <v>-</v>
      </c>
      <c r="H60" s="111" t="str">
        <f ca="1">IF(D60="-","-",TRIM(INDEX(Dashboard!$E$6:$E$206,C60+1)))</f>
        <v>-</v>
      </c>
      <c r="I60" s="111" t="str">
        <f ca="1">IF(D60="-","-",IF(LEN(INDEX(Dashboard!$F$6:$F$206,C60+1))=0,$BS$8,IF(ISERROR(MATCH(INDEX(Dashboard!$F$6:$F$206,C60+1),$BS$7:$BS$35,0)),$BS$8,INDEX(Dashboard!$F$6:$F$206,C60+1))))</f>
        <v>-</v>
      </c>
      <c r="J60" s="111" t="str">
        <f ca="1">IF(D60="-","-",SUBSTITUTE(INDEX(Dashboard!$G$6:$G$206,C60+1)," ",""))</f>
        <v>-</v>
      </c>
      <c r="K60" s="111" t="str">
        <f ca="1">IF(D60="-","-",IF(LEN(INDEX(Dashboard!$H$6:$H$206,C60+1))=0,"",INDEX(Dashboard!$H$6:$H$206,C60+1)))</f>
        <v>-</v>
      </c>
      <c r="M60" s="172" t="str">
        <f t="shared" ca="1" si="352"/>
        <v>-</v>
      </c>
      <c r="N60" s="172" t="str">
        <f t="shared" ca="1" si="352"/>
        <v>-</v>
      </c>
      <c r="O60" s="172" t="str">
        <f t="shared" ca="1" si="352"/>
        <v>-</v>
      </c>
      <c r="P60" s="173" t="str">
        <f t="shared" ca="1" si="285"/>
        <v>-</v>
      </c>
      <c r="Q60" s="172" t="str">
        <f t="shared" ca="1" si="285"/>
        <v>-</v>
      </c>
      <c r="R60" s="172" t="str">
        <f t="shared" ca="1" si="285"/>
        <v>-</v>
      </c>
      <c r="S60" s="174" t="str">
        <f t="array" aca="1" ref="S60" ca="1">IF($D60="-","-",SUM(IF(LEN(M60:O60)&gt;0,1,0)))</f>
        <v>-</v>
      </c>
      <c r="T60" s="175" t="str">
        <f t="array" aca="1" ref="T60" ca="1">IF(D60="-","-",SUM(IF(ISERROR(SEARCH(E60,$G$7:$G$206)),0,1)))</f>
        <v>-</v>
      </c>
      <c r="V60" s="204"/>
      <c r="W60" s="127"/>
      <c r="X60" s="177" t="str">
        <f t="shared" si="23"/>
        <v>-</v>
      </c>
      <c r="Y60" s="178"/>
      <c r="Z60" s="127"/>
      <c r="AB60" s="179" t="str">
        <f t="shared" ca="1" si="286"/>
        <v>-</v>
      </c>
      <c r="AC60" s="179" t="str">
        <f t="shared" ca="1" si="286"/>
        <v>-</v>
      </c>
      <c r="AD60" s="179" t="str">
        <f t="shared" ca="1" si="286"/>
        <v>-</v>
      </c>
      <c r="AJ60" s="181" t="str">
        <f t="shared" ca="1" si="5"/>
        <v>-</v>
      </c>
      <c r="AK60" s="179" t="str">
        <f t="shared" ca="1" si="6"/>
        <v>-</v>
      </c>
      <c r="AL60" s="179" t="str">
        <f t="shared" ca="1" si="6"/>
        <v>-</v>
      </c>
      <c r="AM60" s="179" t="str">
        <f t="shared" ca="1" si="6"/>
        <v>-</v>
      </c>
      <c r="AO60" s="182" t="str">
        <f t="shared" ca="1" si="287"/>
        <v>-</v>
      </c>
      <c r="AP60" s="182" t="str">
        <f t="shared" ca="1" si="287"/>
        <v>-</v>
      </c>
      <c r="AQ60" s="182" t="str">
        <f t="shared" ca="1" si="287"/>
        <v>-</v>
      </c>
      <c r="AU60" s="185" t="str">
        <f t="shared" ref="AU60" ca="1" si="458">IF($D60="-","-",IF(LEN(M60)=0,"", INDEX($AT$7:$AT$15,MATCH(IF($V60-INDEX(GridXRange,P60)&lt;0,"Negative",IF($V60-INDEX(GridXRange,P60)&gt;0,"Positive","Zero")) &amp; " - " &amp;IF($W60-INDEX(GridYRange,P60)&lt;0,"Negative",IF($W60-INDEX(GridYRange,P60)&gt;0,"Positive","Zero")),$AS$7:$AS$15,0))))</f>
        <v>-</v>
      </c>
      <c r="AV60" s="186" t="str">
        <f t="shared" ref="AV60" ca="1" si="459">IF($D60="-","-",IF(LEN(N60)=0,"", INDEX($AT$7:$AT$15,MATCH(IF($V60-INDEX(GridXRange,Q60)&lt;0,"Negative",IF($V60-INDEX(GridXRange,Q60)&gt;0,"Positive","Zero")) &amp; " - " &amp;IF($W60-INDEX(GridYRange,Q60)&lt;0,"Negative",IF($W60-INDEX(GridYRange,Q60)&gt;0,"Positive","Zero")),$AS$7:$AS$15,0))))</f>
        <v>-</v>
      </c>
      <c r="AW60" s="186" t="str">
        <f t="shared" ref="AW60" ca="1" si="460">IF($D60="-","-",IF(LEN(O60)=0,"", INDEX($AT$7:$AT$15,MATCH(IF($V60-INDEX(GridXRange,R60)&lt;0,"Negative",IF($V60-INDEX(GridXRange,R60)&gt;0,"Positive","Zero")) &amp; " - " &amp;IF($W60-INDEX(GridYRange,R60)&lt;0,"Negative",IF($W60-INDEX(GridYRange,R60)&gt;0,"Positive","Zero")),$AS$7:$AS$15,0))))</f>
        <v>-</v>
      </c>
      <c r="AX60" s="187"/>
      <c r="AY60" s="188"/>
      <c r="AZ60" s="188"/>
      <c r="BA60" s="184"/>
      <c r="BB60" s="187" t="str">
        <f t="shared" ca="1" si="356"/>
        <v>-</v>
      </c>
      <c r="BC60" s="188" t="str">
        <f t="shared" ca="1" si="356"/>
        <v>-</v>
      </c>
      <c r="BD60" s="188" t="str">
        <f t="shared" ca="1" si="356"/>
        <v>-</v>
      </c>
      <c r="BE60" s="189" t="str">
        <f t="shared" ca="1" si="356"/>
        <v>-</v>
      </c>
      <c r="BF60" s="213" t="s">
        <v>128</v>
      </c>
      <c r="BG60" s="188" t="s">
        <v>128</v>
      </c>
      <c r="BH60" s="188" t="s">
        <v>128</v>
      </c>
      <c r="BI60" s="213"/>
      <c r="BK60" s="192" t="str">
        <f t="shared" ref="BK60" ca="1" si="461">IF($D60="-","-",$BK$5 + (V60-StartGridX) * (GapXDiff + $BW$7))</f>
        <v>-</v>
      </c>
      <c r="BL60" s="192" t="str">
        <f t="shared" ref="BL60" ca="1" si="462">IF($D60="-","-",$BL$5 + (W60-StartGridY) * (GapYDiff + $BV$7))</f>
        <v>-</v>
      </c>
      <c r="BM60" s="192" t="str">
        <f t="shared" ca="1" si="14"/>
        <v>-</v>
      </c>
      <c r="BN60" s="192" t="str">
        <f t="shared" ca="1" si="15"/>
        <v>-</v>
      </c>
      <c r="BO60" s="192" t="str">
        <f t="shared" ca="1" si="16"/>
        <v>-</v>
      </c>
      <c r="BP60" s="192" t="str">
        <f t="shared" ca="1" si="17"/>
        <v>-</v>
      </c>
      <c r="BQ60" s="192" t="str">
        <f ca="1">IF($D60="-","-",IF(LEN(K60)=0,1,IFERROR(MATCH(K60,Dashboard!$L$25:$L$31,0),1)))</f>
        <v>-</v>
      </c>
      <c r="CC60" s="143" t="str">
        <f t="shared" ref="CC60" ca="1" si="463">IF($D60="-","-",IF(COUNTIF(IDSourceRange,E60)&gt;1,1,0))</f>
        <v>-</v>
      </c>
      <c r="CD60" s="143" t="str">
        <f t="shared" ref="CD60" ca="1" si="464">IF($D60="-","-",  IF(LEN(M60)=0,0,IF(ISERROR(MATCH(M60,IDSourceRange,0)),1,0)) + IF(LEN(N60)=0,0,IF(ISERROR(MATCH(N60,IDSourceRange,0)),1,0)) + IF(LEN(O60)=0,0,IF(ISERROR(MATCH(O60,IDSourceRange,0)),1,0)) )</f>
        <v>-</v>
      </c>
      <c r="CE60" s="143" t="str">
        <f t="shared" ca="1" si="51"/>
        <v>-</v>
      </c>
      <c r="CF60" s="143" t="s">
        <v>128</v>
      </c>
      <c r="CG60" s="143" t="str">
        <f t="shared" ref="CG60" ca="1" si="465">IF($D60="-","-",IF(X60="-",0,IF(COUNTIF(GridCombinedRange,X60)&gt;1,1,0)))</f>
        <v>-</v>
      </c>
      <c r="CH60" s="143"/>
      <c r="CI60" s="143"/>
      <c r="CJ60" s="143"/>
      <c r="CK60" s="143"/>
      <c r="CL60" s="143"/>
    </row>
    <row r="61" spans="3:90" x14ac:dyDescent="0.3">
      <c r="C61" s="170">
        <v>55</v>
      </c>
      <c r="D61" s="111" t="str">
        <f ca="1">IF(COUNTA(OFFSET(Dashboard!$B$6,C61,0,1,COUNTA(Dashboard!$B$6:$H$6)))&gt;0,"Yes","-")</f>
        <v>-</v>
      </c>
      <c r="E61" s="170" t="str">
        <f ca="1">IF(D61="-","-",IF(LEN(INDEX(Dashboard!B$6:B$206,$C61+1))=0,"x"&amp;C61&amp;"x","x"&amp;INDEX(Dashboard!B$6:B$206,$C61+1)&amp;"x"))</f>
        <v>-</v>
      </c>
      <c r="F61" s="171" t="str">
        <f ca="1">IF(D61="-","-",IF(LEN(INDEX(Dashboard!$C$6:$C$206,C61+1))=0," ",INDEX(Dashboard!$C$6:$C$206,C61+1)))</f>
        <v>-</v>
      </c>
      <c r="G61" s="219" t="str">
        <f ca="1">IF(OR(D61="-",D61=""),"-",IF(LEN(INDEX(Dashboard!$D$6:$D$228,C61+1))=0,"", "x"&amp;SUBSTITUTE(SUBSTITUTE(INDEX(Dashboard!$D$6:$D$228,C61+1)," ",""),",","x,x")&amp;"x"))</f>
        <v>-</v>
      </c>
      <c r="H61" s="111" t="str">
        <f ca="1">IF(D61="-","-",TRIM(INDEX(Dashboard!$E$6:$E$206,C61+1)))</f>
        <v>-</v>
      </c>
      <c r="I61" s="111" t="str">
        <f ca="1">IF(D61="-","-",IF(LEN(INDEX(Dashboard!$F$6:$F$206,C61+1))=0,$BS$8,IF(ISERROR(MATCH(INDEX(Dashboard!$F$6:$F$206,C61+1),$BS$7:$BS$35,0)),$BS$8,INDEX(Dashboard!$F$6:$F$206,C61+1))))</f>
        <v>-</v>
      </c>
      <c r="J61" s="111" t="str">
        <f ca="1">IF(D61="-","-",SUBSTITUTE(INDEX(Dashboard!$G$6:$G$206,C61+1)," ",""))</f>
        <v>-</v>
      </c>
      <c r="K61" s="111" t="str">
        <f ca="1">IF(D61="-","-",IF(LEN(INDEX(Dashboard!$H$6:$H$206,C61+1))=0,"",INDEX(Dashboard!$H$6:$H$206,C61+1)))</f>
        <v>-</v>
      </c>
      <c r="M61" s="172" t="str">
        <f t="shared" ca="1" si="352"/>
        <v>-</v>
      </c>
      <c r="N61" s="172" t="str">
        <f t="shared" ca="1" si="352"/>
        <v>-</v>
      </c>
      <c r="O61" s="172" t="str">
        <f t="shared" ca="1" si="352"/>
        <v>-</v>
      </c>
      <c r="P61" s="173" t="str">
        <f t="shared" ca="1" si="285"/>
        <v>-</v>
      </c>
      <c r="Q61" s="172" t="str">
        <f t="shared" ca="1" si="285"/>
        <v>-</v>
      </c>
      <c r="R61" s="172" t="str">
        <f t="shared" ca="1" si="285"/>
        <v>-</v>
      </c>
      <c r="S61" s="174" t="str">
        <f t="array" aca="1" ref="S61" ca="1">IF($D61="-","-",SUM(IF(LEN(M61:O61)&gt;0,1,0)))</f>
        <v>-</v>
      </c>
      <c r="T61" s="175" t="str">
        <f t="array" aca="1" ref="T61" ca="1">IF(D61="-","-",SUM(IF(ISERROR(SEARCH(E61,$G$7:$G$206)),0,1)))</f>
        <v>-</v>
      </c>
      <c r="V61" s="204"/>
      <c r="W61" s="127"/>
      <c r="X61" s="177" t="str">
        <f t="shared" si="23"/>
        <v>-</v>
      </c>
      <c r="Y61" s="178"/>
      <c r="Z61" s="127"/>
      <c r="AB61" s="179" t="str">
        <f t="shared" ca="1" si="286"/>
        <v>-</v>
      </c>
      <c r="AC61" s="179" t="str">
        <f t="shared" ca="1" si="286"/>
        <v>-</v>
      </c>
      <c r="AD61" s="179" t="str">
        <f t="shared" ca="1" si="286"/>
        <v>-</v>
      </c>
      <c r="AJ61" s="181" t="str">
        <f t="shared" ca="1" si="5"/>
        <v>-</v>
      </c>
      <c r="AK61" s="179" t="str">
        <f t="shared" ca="1" si="6"/>
        <v>-</v>
      </c>
      <c r="AL61" s="179" t="str">
        <f t="shared" ca="1" si="6"/>
        <v>-</v>
      </c>
      <c r="AM61" s="179" t="str">
        <f t="shared" ca="1" si="6"/>
        <v>-</v>
      </c>
      <c r="AO61" s="182" t="str">
        <f t="shared" ca="1" si="287"/>
        <v>-</v>
      </c>
      <c r="AP61" s="182" t="str">
        <f t="shared" ca="1" si="287"/>
        <v>-</v>
      </c>
      <c r="AQ61" s="182" t="str">
        <f t="shared" ca="1" si="287"/>
        <v>-</v>
      </c>
      <c r="AU61" s="185" t="str">
        <f t="shared" ref="AU61" ca="1" si="466">IF($D61="-","-",IF(LEN(M61)=0,"", INDEX($AT$7:$AT$15,MATCH(IF($V61-INDEX(GridXRange,P61)&lt;0,"Negative",IF($V61-INDEX(GridXRange,P61)&gt;0,"Positive","Zero")) &amp; " - " &amp;IF($W61-INDEX(GridYRange,P61)&lt;0,"Negative",IF($W61-INDEX(GridYRange,P61)&gt;0,"Positive","Zero")),$AS$7:$AS$15,0))))</f>
        <v>-</v>
      </c>
      <c r="AV61" s="186" t="str">
        <f t="shared" ref="AV61" ca="1" si="467">IF($D61="-","-",IF(LEN(N61)=0,"", INDEX($AT$7:$AT$15,MATCH(IF($V61-INDEX(GridXRange,Q61)&lt;0,"Negative",IF($V61-INDEX(GridXRange,Q61)&gt;0,"Positive","Zero")) &amp; " - " &amp;IF($W61-INDEX(GridYRange,Q61)&lt;0,"Negative",IF($W61-INDEX(GridYRange,Q61)&gt;0,"Positive","Zero")),$AS$7:$AS$15,0))))</f>
        <v>-</v>
      </c>
      <c r="AW61" s="186" t="str">
        <f t="shared" ref="AW61" ca="1" si="468">IF($D61="-","-",IF(LEN(O61)=0,"", INDEX($AT$7:$AT$15,MATCH(IF($V61-INDEX(GridXRange,R61)&lt;0,"Negative",IF($V61-INDEX(GridXRange,R61)&gt;0,"Positive","Zero")) &amp; " - " &amp;IF($W61-INDEX(GridYRange,R61)&lt;0,"Negative",IF($W61-INDEX(GridYRange,R61)&gt;0,"Positive","Zero")),$AS$7:$AS$15,0))))</f>
        <v>-</v>
      </c>
      <c r="AX61" s="187"/>
      <c r="AY61" s="188"/>
      <c r="AZ61" s="188"/>
      <c r="BA61" s="184"/>
      <c r="BB61" s="187" t="str">
        <f t="shared" ca="1" si="356"/>
        <v>-</v>
      </c>
      <c r="BC61" s="188" t="str">
        <f t="shared" ca="1" si="356"/>
        <v>-</v>
      </c>
      <c r="BD61" s="188" t="str">
        <f t="shared" ca="1" si="356"/>
        <v>-</v>
      </c>
      <c r="BE61" s="189" t="str">
        <f t="shared" ca="1" si="356"/>
        <v>-</v>
      </c>
      <c r="BF61" s="213" t="s">
        <v>128</v>
      </c>
      <c r="BG61" s="188" t="s">
        <v>128</v>
      </c>
      <c r="BH61" s="188" t="s">
        <v>128</v>
      </c>
      <c r="BI61" s="213"/>
      <c r="BK61" s="192" t="str">
        <f t="shared" ref="BK61" ca="1" si="469">IF($D61="-","-",$BK$5 + (V61-StartGridX) * (GapXDiff + $BW$7))</f>
        <v>-</v>
      </c>
      <c r="BL61" s="192" t="str">
        <f t="shared" ref="BL61" ca="1" si="470">IF($D61="-","-",$BL$5 + (W61-StartGridY) * (GapYDiff + $BV$7))</f>
        <v>-</v>
      </c>
      <c r="BM61" s="192" t="str">
        <f t="shared" ca="1" si="14"/>
        <v>-</v>
      </c>
      <c r="BN61" s="192" t="str">
        <f t="shared" ca="1" si="15"/>
        <v>-</v>
      </c>
      <c r="BO61" s="192" t="str">
        <f t="shared" ca="1" si="16"/>
        <v>-</v>
      </c>
      <c r="BP61" s="192" t="str">
        <f t="shared" ca="1" si="17"/>
        <v>-</v>
      </c>
      <c r="BQ61" s="192" t="str">
        <f ca="1">IF($D61="-","-",IF(LEN(K61)=0,1,IFERROR(MATCH(K61,Dashboard!$L$25:$L$31,0),1)))</f>
        <v>-</v>
      </c>
      <c r="CC61" s="143" t="str">
        <f t="shared" ref="CC61" ca="1" si="471">IF($D61="-","-",IF(COUNTIF(IDSourceRange,E61)&gt;1,1,0))</f>
        <v>-</v>
      </c>
      <c r="CD61" s="143" t="str">
        <f t="shared" ref="CD61" ca="1" si="472">IF($D61="-","-",  IF(LEN(M61)=0,0,IF(ISERROR(MATCH(M61,IDSourceRange,0)),1,0)) + IF(LEN(N61)=0,0,IF(ISERROR(MATCH(N61,IDSourceRange,0)),1,0)) + IF(LEN(O61)=0,0,IF(ISERROR(MATCH(O61,IDSourceRange,0)),1,0)) )</f>
        <v>-</v>
      </c>
      <c r="CE61" s="143" t="str">
        <f t="shared" ca="1" si="51"/>
        <v>-</v>
      </c>
      <c r="CF61" s="143" t="s">
        <v>128</v>
      </c>
      <c r="CG61" s="143" t="str">
        <f t="shared" ref="CG61" ca="1" si="473">IF($D61="-","-",IF(X61="-",0,IF(COUNTIF(GridCombinedRange,X61)&gt;1,1,0)))</f>
        <v>-</v>
      </c>
      <c r="CH61" s="143"/>
      <c r="CI61" s="143"/>
      <c r="CJ61" s="143"/>
      <c r="CK61" s="143"/>
      <c r="CL61" s="143"/>
    </row>
    <row r="62" spans="3:90" x14ac:dyDescent="0.3">
      <c r="C62" s="170">
        <v>56</v>
      </c>
      <c r="D62" s="111" t="str">
        <f ca="1">IF(COUNTA(OFFSET(Dashboard!$B$6,C62,0,1,COUNTA(Dashboard!$B$6:$H$6)))&gt;0,"Yes","-")</f>
        <v>-</v>
      </c>
      <c r="E62" s="170" t="str">
        <f ca="1">IF(D62="-","-",IF(LEN(INDEX(Dashboard!B$6:B$206,$C62+1))=0,"x"&amp;C62&amp;"x","x"&amp;INDEX(Dashboard!B$6:B$206,$C62+1)&amp;"x"))</f>
        <v>-</v>
      </c>
      <c r="F62" s="171" t="str">
        <f ca="1">IF(D62="-","-",IF(LEN(INDEX(Dashboard!$C$6:$C$206,C62+1))=0," ",INDEX(Dashboard!$C$6:$C$206,C62+1)))</f>
        <v>-</v>
      </c>
      <c r="G62" s="219" t="str">
        <f ca="1">IF(OR(D62="-",D62=""),"-",IF(LEN(INDEX(Dashboard!$D$6:$D$228,C62+1))=0,"", "x"&amp;SUBSTITUTE(SUBSTITUTE(INDEX(Dashboard!$D$6:$D$228,C62+1)," ",""),",","x,x")&amp;"x"))</f>
        <v>-</v>
      </c>
      <c r="H62" s="111" t="str">
        <f ca="1">IF(D62="-","-",TRIM(INDEX(Dashboard!$E$6:$E$206,C62+1)))</f>
        <v>-</v>
      </c>
      <c r="I62" s="111" t="str">
        <f ca="1">IF(D62="-","-",IF(LEN(INDEX(Dashboard!$F$6:$F$206,C62+1))=0,$BS$8,IF(ISERROR(MATCH(INDEX(Dashboard!$F$6:$F$206,C62+1),$BS$7:$BS$35,0)),$BS$8,INDEX(Dashboard!$F$6:$F$206,C62+1))))</f>
        <v>-</v>
      </c>
      <c r="J62" s="111" t="str">
        <f ca="1">IF(D62="-","-",SUBSTITUTE(INDEX(Dashboard!$G$6:$G$206,C62+1)," ",""))</f>
        <v>-</v>
      </c>
      <c r="K62" s="111" t="str">
        <f ca="1">IF(D62="-","-",IF(LEN(INDEX(Dashboard!$H$6:$H$206,C62+1))=0,"",INDEX(Dashboard!$H$6:$H$206,C62+1)))</f>
        <v>-</v>
      </c>
      <c r="M62" s="172" t="str">
        <f t="shared" ca="1" si="352"/>
        <v>-</v>
      </c>
      <c r="N62" s="172" t="str">
        <f t="shared" ca="1" si="352"/>
        <v>-</v>
      </c>
      <c r="O62" s="172" t="str">
        <f t="shared" ca="1" si="352"/>
        <v>-</v>
      </c>
      <c r="P62" s="173" t="str">
        <f t="shared" ca="1" si="285"/>
        <v>-</v>
      </c>
      <c r="Q62" s="172" t="str">
        <f t="shared" ca="1" si="285"/>
        <v>-</v>
      </c>
      <c r="R62" s="172" t="str">
        <f t="shared" ca="1" si="285"/>
        <v>-</v>
      </c>
      <c r="S62" s="174" t="str">
        <f t="array" aca="1" ref="S62" ca="1">IF($D62="-","-",SUM(IF(LEN(M62:O62)&gt;0,1,0)))</f>
        <v>-</v>
      </c>
      <c r="T62" s="175" t="str">
        <f t="array" aca="1" ref="T62" ca="1">IF(D62="-","-",SUM(IF(ISERROR(SEARCH(E62,$G$7:$G$206)),0,1)))</f>
        <v>-</v>
      </c>
      <c r="V62" s="204"/>
      <c r="W62" s="127"/>
      <c r="X62" s="177" t="str">
        <f t="shared" si="23"/>
        <v>-</v>
      </c>
      <c r="Y62" s="178"/>
      <c r="Z62" s="127"/>
      <c r="AB62" s="179" t="str">
        <f t="shared" ca="1" si="286"/>
        <v>-</v>
      </c>
      <c r="AC62" s="179" t="str">
        <f t="shared" ca="1" si="286"/>
        <v>-</v>
      </c>
      <c r="AD62" s="179" t="str">
        <f t="shared" ca="1" si="286"/>
        <v>-</v>
      </c>
      <c r="AJ62" s="181" t="str">
        <f t="shared" ca="1" si="5"/>
        <v>-</v>
      </c>
      <c r="AK62" s="179" t="str">
        <f t="shared" ca="1" si="6"/>
        <v>-</v>
      </c>
      <c r="AL62" s="179" t="str">
        <f t="shared" ca="1" si="6"/>
        <v>-</v>
      </c>
      <c r="AM62" s="179" t="str">
        <f t="shared" ca="1" si="6"/>
        <v>-</v>
      </c>
      <c r="AO62" s="182" t="str">
        <f t="shared" ca="1" si="287"/>
        <v>-</v>
      </c>
      <c r="AP62" s="182" t="str">
        <f t="shared" ca="1" si="287"/>
        <v>-</v>
      </c>
      <c r="AQ62" s="182" t="str">
        <f t="shared" ca="1" si="287"/>
        <v>-</v>
      </c>
      <c r="AU62" s="185" t="str">
        <f t="shared" ref="AU62" ca="1" si="474">IF($D62="-","-",IF(LEN(M62)=0,"", INDEX($AT$7:$AT$15,MATCH(IF($V62-INDEX(GridXRange,P62)&lt;0,"Negative",IF($V62-INDEX(GridXRange,P62)&gt;0,"Positive","Zero")) &amp; " - " &amp;IF($W62-INDEX(GridYRange,P62)&lt;0,"Negative",IF($W62-INDEX(GridYRange,P62)&gt;0,"Positive","Zero")),$AS$7:$AS$15,0))))</f>
        <v>-</v>
      </c>
      <c r="AV62" s="186" t="str">
        <f t="shared" ref="AV62" ca="1" si="475">IF($D62="-","-",IF(LEN(N62)=0,"", INDEX($AT$7:$AT$15,MATCH(IF($V62-INDEX(GridXRange,Q62)&lt;0,"Negative",IF($V62-INDEX(GridXRange,Q62)&gt;0,"Positive","Zero")) &amp; " - " &amp;IF($W62-INDEX(GridYRange,Q62)&lt;0,"Negative",IF($W62-INDEX(GridYRange,Q62)&gt;0,"Positive","Zero")),$AS$7:$AS$15,0))))</f>
        <v>-</v>
      </c>
      <c r="AW62" s="186" t="str">
        <f t="shared" ref="AW62" ca="1" si="476">IF($D62="-","-",IF(LEN(O62)=0,"", INDEX($AT$7:$AT$15,MATCH(IF($V62-INDEX(GridXRange,R62)&lt;0,"Negative",IF($V62-INDEX(GridXRange,R62)&gt;0,"Positive","Zero")) &amp; " - " &amp;IF($W62-INDEX(GridYRange,R62)&lt;0,"Negative",IF($W62-INDEX(GridYRange,R62)&gt;0,"Positive","Zero")),$AS$7:$AS$15,0))))</f>
        <v>-</v>
      </c>
      <c r="AX62" s="187"/>
      <c r="AY62" s="188"/>
      <c r="AZ62" s="188"/>
      <c r="BA62" s="184"/>
      <c r="BB62" s="187" t="str">
        <f t="shared" ca="1" si="356"/>
        <v>-</v>
      </c>
      <c r="BC62" s="188" t="str">
        <f t="shared" ca="1" si="356"/>
        <v>-</v>
      </c>
      <c r="BD62" s="188" t="str">
        <f t="shared" ca="1" si="356"/>
        <v>-</v>
      </c>
      <c r="BE62" s="189" t="str">
        <f t="shared" ca="1" si="356"/>
        <v>-</v>
      </c>
      <c r="BF62" s="213" t="s">
        <v>128</v>
      </c>
      <c r="BG62" s="188" t="s">
        <v>128</v>
      </c>
      <c r="BH62" s="188" t="s">
        <v>128</v>
      </c>
      <c r="BI62" s="213"/>
      <c r="BK62" s="192" t="str">
        <f t="shared" ref="BK62" ca="1" si="477">IF($D62="-","-",$BK$5 + (V62-StartGridX) * (GapXDiff + $BW$7))</f>
        <v>-</v>
      </c>
      <c r="BL62" s="192" t="str">
        <f t="shared" ref="BL62" ca="1" si="478">IF($D62="-","-",$BL$5 + (W62-StartGridY) * (GapYDiff + $BV$7))</f>
        <v>-</v>
      </c>
      <c r="BM62" s="192" t="str">
        <f t="shared" ca="1" si="14"/>
        <v>-</v>
      </c>
      <c r="BN62" s="192" t="str">
        <f t="shared" ca="1" si="15"/>
        <v>-</v>
      </c>
      <c r="BO62" s="192" t="str">
        <f t="shared" ca="1" si="16"/>
        <v>-</v>
      </c>
      <c r="BP62" s="192" t="str">
        <f t="shared" ca="1" si="17"/>
        <v>-</v>
      </c>
      <c r="BQ62" s="192" t="str">
        <f ca="1">IF($D62="-","-",IF(LEN(K62)=0,1,IFERROR(MATCH(K62,Dashboard!$L$25:$L$31,0),1)))</f>
        <v>-</v>
      </c>
      <c r="CC62" s="143" t="str">
        <f t="shared" ref="CC62" ca="1" si="479">IF($D62="-","-",IF(COUNTIF(IDSourceRange,E62)&gt;1,1,0))</f>
        <v>-</v>
      </c>
      <c r="CD62" s="143" t="str">
        <f t="shared" ref="CD62" ca="1" si="480">IF($D62="-","-",  IF(LEN(M62)=0,0,IF(ISERROR(MATCH(M62,IDSourceRange,0)),1,0)) + IF(LEN(N62)=0,0,IF(ISERROR(MATCH(N62,IDSourceRange,0)),1,0)) + IF(LEN(O62)=0,0,IF(ISERROR(MATCH(O62,IDSourceRange,0)),1,0)) )</f>
        <v>-</v>
      </c>
      <c r="CE62" s="143" t="str">
        <f t="shared" ca="1" si="51"/>
        <v>-</v>
      </c>
      <c r="CF62" s="143" t="s">
        <v>128</v>
      </c>
      <c r="CG62" s="143" t="str">
        <f t="shared" ref="CG62" ca="1" si="481">IF($D62="-","-",IF(X62="-",0,IF(COUNTIF(GridCombinedRange,X62)&gt;1,1,0)))</f>
        <v>-</v>
      </c>
      <c r="CH62" s="143"/>
      <c r="CI62" s="143"/>
      <c r="CJ62" s="143"/>
      <c r="CK62" s="143"/>
      <c r="CL62" s="143"/>
    </row>
    <row r="63" spans="3:90" x14ac:dyDescent="0.3">
      <c r="C63" s="170">
        <v>57</v>
      </c>
      <c r="D63" s="111" t="str">
        <f ca="1">IF(COUNTA(OFFSET(Dashboard!$B$6,C63,0,1,COUNTA(Dashboard!$B$6:$H$6)))&gt;0,"Yes","-")</f>
        <v>-</v>
      </c>
      <c r="E63" s="170" t="str">
        <f ca="1">IF(D63="-","-",IF(LEN(INDEX(Dashboard!B$6:B$206,$C63+1))=0,"x"&amp;C63&amp;"x","x"&amp;INDEX(Dashboard!B$6:B$206,$C63+1)&amp;"x"))</f>
        <v>-</v>
      </c>
      <c r="F63" s="171" t="str">
        <f ca="1">IF(D63="-","-",IF(LEN(INDEX(Dashboard!$C$6:$C$206,C63+1))=0," ",INDEX(Dashboard!$C$6:$C$206,C63+1)))</f>
        <v>-</v>
      </c>
      <c r="G63" s="219" t="str">
        <f ca="1">IF(OR(D63="-",D63=""),"-",IF(LEN(INDEX(Dashboard!$D$6:$D$228,C63+1))=0,"", "x"&amp;SUBSTITUTE(SUBSTITUTE(INDEX(Dashboard!$D$6:$D$228,C63+1)," ",""),",","x,x")&amp;"x"))</f>
        <v>-</v>
      </c>
      <c r="H63" s="111" t="str">
        <f ca="1">IF(D63="-","-",TRIM(INDEX(Dashboard!$E$6:$E$206,C63+1)))</f>
        <v>-</v>
      </c>
      <c r="I63" s="111" t="str">
        <f ca="1">IF(D63="-","-",IF(LEN(INDEX(Dashboard!$F$6:$F$206,C63+1))=0,$BS$8,IF(ISERROR(MATCH(INDEX(Dashboard!$F$6:$F$206,C63+1),$BS$7:$BS$35,0)),$BS$8,INDEX(Dashboard!$F$6:$F$206,C63+1))))</f>
        <v>-</v>
      </c>
      <c r="J63" s="111" t="str">
        <f ca="1">IF(D63="-","-",SUBSTITUTE(INDEX(Dashboard!$G$6:$G$206,C63+1)," ",""))</f>
        <v>-</v>
      </c>
      <c r="K63" s="111" t="str">
        <f ca="1">IF(D63="-","-",IF(LEN(INDEX(Dashboard!$H$6:$H$206,C63+1))=0,"",INDEX(Dashboard!$H$6:$H$206,C63+1)))</f>
        <v>-</v>
      </c>
      <c r="M63" s="172" t="str">
        <f t="shared" ca="1" si="352"/>
        <v>-</v>
      </c>
      <c r="N63" s="172" t="str">
        <f t="shared" ca="1" si="352"/>
        <v>-</v>
      </c>
      <c r="O63" s="172" t="str">
        <f t="shared" ca="1" si="352"/>
        <v>-</v>
      </c>
      <c r="P63" s="173" t="str">
        <f t="shared" ca="1" si="285"/>
        <v>-</v>
      </c>
      <c r="Q63" s="172" t="str">
        <f t="shared" ca="1" si="285"/>
        <v>-</v>
      </c>
      <c r="R63" s="172" t="str">
        <f t="shared" ca="1" si="285"/>
        <v>-</v>
      </c>
      <c r="S63" s="174" t="str">
        <f t="array" aca="1" ref="S63" ca="1">IF($D63="-","-",SUM(IF(LEN(M63:O63)&gt;0,1,0)))</f>
        <v>-</v>
      </c>
      <c r="T63" s="175" t="str">
        <f t="array" aca="1" ref="T63" ca="1">IF(D63="-","-",SUM(IF(ISERROR(SEARCH(E63,$G$7:$G$206)),0,1)))</f>
        <v>-</v>
      </c>
      <c r="V63" s="204"/>
      <c r="W63" s="127"/>
      <c r="X63" s="177" t="str">
        <f t="shared" si="23"/>
        <v>-</v>
      </c>
      <c r="Y63" s="178"/>
      <c r="Z63" s="127"/>
      <c r="AB63" s="179" t="str">
        <f t="shared" ca="1" si="286"/>
        <v>-</v>
      </c>
      <c r="AC63" s="179" t="str">
        <f t="shared" ca="1" si="286"/>
        <v>-</v>
      </c>
      <c r="AD63" s="179" t="str">
        <f t="shared" ca="1" si="286"/>
        <v>-</v>
      </c>
      <c r="AJ63" s="181" t="str">
        <f t="shared" ca="1" si="5"/>
        <v>-</v>
      </c>
      <c r="AK63" s="179" t="str">
        <f t="shared" ca="1" si="6"/>
        <v>-</v>
      </c>
      <c r="AL63" s="179" t="str">
        <f t="shared" ca="1" si="6"/>
        <v>-</v>
      </c>
      <c r="AM63" s="179" t="str">
        <f t="shared" ca="1" si="6"/>
        <v>-</v>
      </c>
      <c r="AO63" s="182" t="str">
        <f t="shared" ca="1" si="287"/>
        <v>-</v>
      </c>
      <c r="AP63" s="182" t="str">
        <f t="shared" ca="1" si="287"/>
        <v>-</v>
      </c>
      <c r="AQ63" s="182" t="str">
        <f t="shared" ca="1" si="287"/>
        <v>-</v>
      </c>
      <c r="AU63" s="185" t="str">
        <f t="shared" ref="AU63" ca="1" si="482">IF($D63="-","-",IF(LEN(M63)=0,"", INDEX($AT$7:$AT$15,MATCH(IF($V63-INDEX(GridXRange,P63)&lt;0,"Negative",IF($V63-INDEX(GridXRange,P63)&gt;0,"Positive","Zero")) &amp; " - " &amp;IF($W63-INDEX(GridYRange,P63)&lt;0,"Negative",IF($W63-INDEX(GridYRange,P63)&gt;0,"Positive","Zero")),$AS$7:$AS$15,0))))</f>
        <v>-</v>
      </c>
      <c r="AV63" s="186" t="str">
        <f t="shared" ref="AV63" ca="1" si="483">IF($D63="-","-",IF(LEN(N63)=0,"", INDEX($AT$7:$AT$15,MATCH(IF($V63-INDEX(GridXRange,Q63)&lt;0,"Negative",IF($V63-INDEX(GridXRange,Q63)&gt;0,"Positive","Zero")) &amp; " - " &amp;IF($W63-INDEX(GridYRange,Q63)&lt;0,"Negative",IF($W63-INDEX(GridYRange,Q63)&gt;0,"Positive","Zero")),$AS$7:$AS$15,0))))</f>
        <v>-</v>
      </c>
      <c r="AW63" s="186" t="str">
        <f t="shared" ref="AW63" ca="1" si="484">IF($D63="-","-",IF(LEN(O63)=0,"", INDEX($AT$7:$AT$15,MATCH(IF($V63-INDEX(GridXRange,R63)&lt;0,"Negative",IF($V63-INDEX(GridXRange,R63)&gt;0,"Positive","Zero")) &amp; " - " &amp;IF($W63-INDEX(GridYRange,R63)&lt;0,"Negative",IF($W63-INDEX(GridYRange,R63)&gt;0,"Positive","Zero")),$AS$7:$AS$15,0))))</f>
        <v>-</v>
      </c>
      <c r="AX63" s="187"/>
      <c r="AY63" s="188"/>
      <c r="AZ63" s="188"/>
      <c r="BA63" s="184"/>
      <c r="BB63" s="187" t="str">
        <f t="shared" ca="1" si="356"/>
        <v>-</v>
      </c>
      <c r="BC63" s="188" t="str">
        <f t="shared" ca="1" si="356"/>
        <v>-</v>
      </c>
      <c r="BD63" s="188" t="str">
        <f t="shared" ca="1" si="356"/>
        <v>-</v>
      </c>
      <c r="BE63" s="189" t="str">
        <f t="shared" ca="1" si="356"/>
        <v>-</v>
      </c>
      <c r="BF63" s="213" t="s">
        <v>128</v>
      </c>
      <c r="BG63" s="188" t="s">
        <v>128</v>
      </c>
      <c r="BH63" s="188" t="s">
        <v>128</v>
      </c>
      <c r="BI63" s="213"/>
      <c r="BK63" s="192" t="str">
        <f t="shared" ref="BK63" ca="1" si="485">IF($D63="-","-",$BK$5 + (V63-StartGridX) * (GapXDiff + $BW$7))</f>
        <v>-</v>
      </c>
      <c r="BL63" s="192" t="str">
        <f t="shared" ref="BL63" ca="1" si="486">IF($D63="-","-",$BL$5 + (W63-StartGridY) * (GapYDiff + $BV$7))</f>
        <v>-</v>
      </c>
      <c r="BM63" s="192" t="str">
        <f t="shared" ca="1" si="14"/>
        <v>-</v>
      </c>
      <c r="BN63" s="192" t="str">
        <f t="shared" ca="1" si="15"/>
        <v>-</v>
      </c>
      <c r="BO63" s="192" t="str">
        <f t="shared" ca="1" si="16"/>
        <v>-</v>
      </c>
      <c r="BP63" s="192" t="str">
        <f t="shared" ca="1" si="17"/>
        <v>-</v>
      </c>
      <c r="BQ63" s="192" t="str">
        <f ca="1">IF($D63="-","-",IF(LEN(K63)=0,1,IFERROR(MATCH(K63,Dashboard!$L$25:$L$31,0),1)))</f>
        <v>-</v>
      </c>
      <c r="CC63" s="143" t="str">
        <f t="shared" ref="CC63" ca="1" si="487">IF($D63="-","-",IF(COUNTIF(IDSourceRange,E63)&gt;1,1,0))</f>
        <v>-</v>
      </c>
      <c r="CD63" s="143" t="str">
        <f t="shared" ref="CD63" ca="1" si="488">IF($D63="-","-",  IF(LEN(M63)=0,0,IF(ISERROR(MATCH(M63,IDSourceRange,0)),1,0)) + IF(LEN(N63)=0,0,IF(ISERROR(MATCH(N63,IDSourceRange,0)),1,0)) + IF(LEN(O63)=0,0,IF(ISERROR(MATCH(O63,IDSourceRange,0)),1,0)) )</f>
        <v>-</v>
      </c>
      <c r="CE63" s="143" t="str">
        <f t="shared" ca="1" si="51"/>
        <v>-</v>
      </c>
      <c r="CF63" s="143" t="s">
        <v>128</v>
      </c>
      <c r="CG63" s="143" t="str">
        <f t="shared" ref="CG63" ca="1" si="489">IF($D63="-","-",IF(X63="-",0,IF(COUNTIF(GridCombinedRange,X63)&gt;1,1,0)))</f>
        <v>-</v>
      </c>
      <c r="CH63" s="143"/>
      <c r="CI63" s="143"/>
      <c r="CJ63" s="143"/>
      <c r="CK63" s="143"/>
      <c r="CL63" s="143"/>
    </row>
    <row r="64" spans="3:90" x14ac:dyDescent="0.3">
      <c r="C64" s="170">
        <v>58</v>
      </c>
      <c r="D64" s="111" t="str">
        <f ca="1">IF(COUNTA(OFFSET(Dashboard!$B$6,C64,0,1,COUNTA(Dashboard!$B$6:$H$6)))&gt;0,"Yes","-")</f>
        <v>-</v>
      </c>
      <c r="E64" s="221" t="str">
        <f ca="1">IF(D64="-","-",IF(LEN(INDEX(Dashboard!B$6:B$228,$C64+1))=0,"x"&amp;C64&amp;"x","x"&amp;INDEX(Dashboard!B$6:B$228,$C64+1)&amp;"x"))</f>
        <v>-</v>
      </c>
      <c r="F64" s="171" t="str">
        <f ca="1">IF(D64="-","-",IF(LEN(INDEX(Dashboard!$C$6:$C$206,C64+1))=0," ",INDEX(Dashboard!$C$6:$C$206,C64+1)))</f>
        <v>-</v>
      </c>
      <c r="G64" s="219" t="str">
        <f ca="1">IF(OR(D64="-",D64=""),"-",IF(LEN(INDEX(Dashboard!$D$6:$D$228,C64+1))=0,"", "x"&amp;SUBSTITUTE(SUBSTITUTE(INDEX(Dashboard!$D$6:$D$228,C64+1)," ",""),",","x,x")&amp;"x"))</f>
        <v>-</v>
      </c>
      <c r="H64" s="111" t="str">
        <f ca="1">IF(D64="-","-",TRIM(INDEX(Dashboard!$E$6:$E$206,C64+1)))</f>
        <v>-</v>
      </c>
      <c r="I64" s="111" t="str">
        <f ca="1">IF(D64="-","-",IF(LEN(INDEX(Dashboard!$F$6:$F$206,C64+1))=0,$BS$8,IF(ISERROR(MATCH(INDEX(Dashboard!$F$6:$F$206,C64+1),$BS$7:$BS$35,0)),$BS$8,INDEX(Dashboard!$F$6:$F$206,C64+1))))</f>
        <v>-</v>
      </c>
      <c r="J64" s="111" t="str">
        <f ca="1">IF(D64="-","-",SUBSTITUTE(INDEX(Dashboard!$G$6:$G$206,C64+1)," ",""))</f>
        <v>-</v>
      </c>
      <c r="K64" s="111" t="str">
        <f ca="1">IF(D64="-","-",IF(LEN(INDEX(Dashboard!$H$6:$H$206,C64+1))=0,"",INDEX(Dashboard!$H$6:$H$206,C64+1)))</f>
        <v>-</v>
      </c>
      <c r="M64" s="172" t="str">
        <f t="shared" ca="1" si="352"/>
        <v>-</v>
      </c>
      <c r="N64" s="172" t="str">
        <f t="shared" ca="1" si="352"/>
        <v>-</v>
      </c>
      <c r="O64" s="172" t="str">
        <f t="shared" ca="1" si="352"/>
        <v>-</v>
      </c>
      <c r="P64" s="173" t="str">
        <f t="shared" ca="1" si="285"/>
        <v>-</v>
      </c>
      <c r="Q64" s="172" t="str">
        <f t="shared" ca="1" si="285"/>
        <v>-</v>
      </c>
      <c r="R64" s="172" t="str">
        <f t="shared" ca="1" si="285"/>
        <v>-</v>
      </c>
      <c r="S64" s="174" t="str">
        <f t="array" aca="1" ref="S64" ca="1">IF($D64="-","-",SUM(IF(LEN(M64:O64)&gt;0,1,0)))</f>
        <v>-</v>
      </c>
      <c r="T64" s="175" t="str">
        <f t="array" aca="1" ref="T64" ca="1">IF(D64="-","-",SUM(IF(ISERROR(SEARCH(E64,$G$7:$G$206)),0,1)))</f>
        <v>-</v>
      </c>
      <c r="V64" s="204"/>
      <c r="W64" s="127"/>
      <c r="X64" s="177" t="str">
        <f t="shared" si="23"/>
        <v>-</v>
      </c>
      <c r="Y64" s="178"/>
      <c r="Z64" s="127"/>
      <c r="AB64" s="179" t="str">
        <f t="shared" ca="1" si="286"/>
        <v>-</v>
      </c>
      <c r="AC64" s="179" t="str">
        <f t="shared" ca="1" si="286"/>
        <v>-</v>
      </c>
      <c r="AD64" s="179" t="str">
        <f t="shared" ca="1" si="286"/>
        <v>-</v>
      </c>
      <c r="AJ64" s="181" t="str">
        <f t="shared" ca="1" si="5"/>
        <v>-</v>
      </c>
      <c r="AK64" s="179" t="str">
        <f t="shared" ca="1" si="6"/>
        <v>-</v>
      </c>
      <c r="AL64" s="179" t="str">
        <f t="shared" ca="1" si="6"/>
        <v>-</v>
      </c>
      <c r="AM64" s="179" t="str">
        <f t="shared" ca="1" si="6"/>
        <v>-</v>
      </c>
      <c r="AO64" s="182" t="str">
        <f t="shared" ca="1" si="287"/>
        <v>-</v>
      </c>
      <c r="AP64" s="182" t="str">
        <f t="shared" ca="1" si="287"/>
        <v>-</v>
      </c>
      <c r="AQ64" s="182" t="str">
        <f t="shared" ca="1" si="287"/>
        <v>-</v>
      </c>
      <c r="AU64" s="185" t="str">
        <f t="shared" ref="AU64" ca="1" si="490">IF($D64="-","-",IF(LEN(M64)=0,"", INDEX($AT$7:$AT$15,MATCH(IF($V64-INDEX(GridXRange,P64)&lt;0,"Negative",IF($V64-INDEX(GridXRange,P64)&gt;0,"Positive","Zero")) &amp; " - " &amp;IF($W64-INDEX(GridYRange,P64)&lt;0,"Negative",IF($W64-INDEX(GridYRange,P64)&gt;0,"Positive","Zero")),$AS$7:$AS$15,0))))</f>
        <v>-</v>
      </c>
      <c r="AV64" s="186" t="str">
        <f t="shared" ref="AV64" ca="1" si="491">IF($D64="-","-",IF(LEN(N64)=0,"", INDEX($AT$7:$AT$15,MATCH(IF($V64-INDEX(GridXRange,Q64)&lt;0,"Negative",IF($V64-INDEX(GridXRange,Q64)&gt;0,"Positive","Zero")) &amp; " - " &amp;IF($W64-INDEX(GridYRange,Q64)&lt;0,"Negative",IF($W64-INDEX(GridYRange,Q64)&gt;0,"Positive","Zero")),$AS$7:$AS$15,0))))</f>
        <v>-</v>
      </c>
      <c r="AW64" s="186" t="str">
        <f t="shared" ref="AW64" ca="1" si="492">IF($D64="-","-",IF(LEN(O64)=0,"", INDEX($AT$7:$AT$15,MATCH(IF($V64-INDEX(GridXRange,R64)&lt;0,"Negative",IF($V64-INDEX(GridXRange,R64)&gt;0,"Positive","Zero")) &amp; " - " &amp;IF($W64-INDEX(GridYRange,R64)&lt;0,"Negative",IF($W64-INDEX(GridYRange,R64)&gt;0,"Positive","Zero")),$AS$7:$AS$15,0))))</f>
        <v>-</v>
      </c>
      <c r="AX64" s="187"/>
      <c r="AY64" s="188"/>
      <c r="AZ64" s="188"/>
      <c r="BA64" s="184"/>
      <c r="BB64" s="187" t="str">
        <f t="shared" ca="1" si="356"/>
        <v>-</v>
      </c>
      <c r="BC64" s="188" t="str">
        <f t="shared" ca="1" si="356"/>
        <v>-</v>
      </c>
      <c r="BD64" s="188" t="str">
        <f t="shared" ca="1" si="356"/>
        <v>-</v>
      </c>
      <c r="BE64" s="189" t="str">
        <f t="shared" ca="1" si="356"/>
        <v>-</v>
      </c>
      <c r="BF64" s="213" t="s">
        <v>128</v>
      </c>
      <c r="BG64" s="188" t="s">
        <v>128</v>
      </c>
      <c r="BH64" s="188" t="s">
        <v>128</v>
      </c>
      <c r="BI64" s="213"/>
      <c r="BK64" s="192" t="str">
        <f t="shared" ref="BK64" ca="1" si="493">IF($D64="-","-",$BK$5 + (V64-StartGridX) * (GapXDiff + $BW$7))</f>
        <v>-</v>
      </c>
      <c r="BL64" s="192" t="str">
        <f t="shared" ref="BL64" ca="1" si="494">IF($D64="-","-",$BL$5 + (W64-StartGridY) * (GapYDiff + $BV$7))</f>
        <v>-</v>
      </c>
      <c r="BM64" s="192" t="str">
        <f t="shared" ca="1" si="14"/>
        <v>-</v>
      </c>
      <c r="BN64" s="192" t="str">
        <f t="shared" ca="1" si="15"/>
        <v>-</v>
      </c>
      <c r="BO64" s="192" t="str">
        <f t="shared" ca="1" si="16"/>
        <v>-</v>
      </c>
      <c r="BP64" s="192" t="str">
        <f t="shared" ca="1" si="17"/>
        <v>-</v>
      </c>
      <c r="BQ64" s="192" t="str">
        <f ca="1">IF($D64="-","-",IF(LEN(K64)=0,1,IFERROR(MATCH(K64,Dashboard!$L$25:$L$31,0),1)))</f>
        <v>-</v>
      </c>
      <c r="CC64" s="143" t="str">
        <f t="shared" ref="CC64" ca="1" si="495">IF($D64="-","-",IF(COUNTIF(IDSourceRange,E64)&gt;1,1,0))</f>
        <v>-</v>
      </c>
      <c r="CD64" s="143" t="str">
        <f t="shared" ref="CD64" ca="1" si="496">IF($D64="-","-",  IF(LEN(M64)=0,0,IF(ISERROR(MATCH(M64,IDSourceRange,0)),1,0)) + IF(LEN(N64)=0,0,IF(ISERROR(MATCH(N64,IDSourceRange,0)),1,0)) + IF(LEN(O64)=0,0,IF(ISERROR(MATCH(O64,IDSourceRange,0)),1,0)) )</f>
        <v>-</v>
      </c>
      <c r="CE64" s="143" t="str">
        <f t="shared" ca="1" si="51"/>
        <v>-</v>
      </c>
      <c r="CF64" s="143" t="s">
        <v>128</v>
      </c>
      <c r="CG64" s="143" t="str">
        <f t="shared" ref="CG64" ca="1" si="497">IF($D64="-","-",IF(X64="-",0,IF(COUNTIF(GridCombinedRange,X64)&gt;1,1,0)))</f>
        <v>-</v>
      </c>
      <c r="CH64" s="143"/>
      <c r="CI64" s="143"/>
      <c r="CJ64" s="143"/>
      <c r="CK64" s="143"/>
      <c r="CL64" s="143"/>
    </row>
    <row r="65" spans="3:90" x14ac:dyDescent="0.3">
      <c r="C65" s="170">
        <v>59</v>
      </c>
      <c r="D65" s="111" t="str">
        <f ca="1">IF(COUNTA(OFFSET(Dashboard!$B$6,C65,0,1,COUNTA(Dashboard!$B$6:$H$6)))&gt;0,"Yes","-")</f>
        <v>-</v>
      </c>
      <c r="E65" s="170" t="str">
        <f ca="1">IF(D65="-","-",IF(LEN(INDEX(Dashboard!B$6:B$206,$C65+1))=0,"x"&amp;C65&amp;"x","x"&amp;INDEX(Dashboard!B$6:B$206,$C65+1)&amp;"x"))</f>
        <v>-</v>
      </c>
      <c r="F65" s="171" t="str">
        <f ca="1">IF(D65="-","-",IF(LEN(INDEX(Dashboard!$C$6:$C$206,C65+1))=0," ",INDEX(Dashboard!$C$6:$C$206,C65+1)))</f>
        <v>-</v>
      </c>
      <c r="G65" s="219" t="str">
        <f ca="1">IF(OR(D65="-",D65=""),"-",IF(LEN(INDEX(Dashboard!$D$6:$D$228,C65+1))=0,"", "x"&amp;SUBSTITUTE(SUBSTITUTE(INDEX(Dashboard!$D$6:$D$228,C65+1)," ",""),",","x,x")&amp;"x"))</f>
        <v>-</v>
      </c>
      <c r="H65" s="111" t="str">
        <f ca="1">IF(D65="-","-",TRIM(INDEX(Dashboard!$E$6:$E$206,C65+1)))</f>
        <v>-</v>
      </c>
      <c r="I65" s="111" t="str">
        <f ca="1">IF(D65="-","-",IF(LEN(INDEX(Dashboard!$F$6:$F$206,C65+1))=0,$BS$8,IF(ISERROR(MATCH(INDEX(Dashboard!$F$6:$F$206,C65+1),$BS$7:$BS$35,0)),$BS$8,INDEX(Dashboard!$F$6:$F$206,C65+1))))</f>
        <v>-</v>
      </c>
      <c r="J65" s="111" t="str">
        <f ca="1">IF(D65="-","-",SUBSTITUTE(INDEX(Dashboard!$G$6:$G$206,C65+1)," ",""))</f>
        <v>-</v>
      </c>
      <c r="K65" s="111" t="str">
        <f ca="1">IF(D65="-","-",IF(LEN(INDEX(Dashboard!$H$6:$H$206,C65+1))=0,"",INDEX(Dashboard!$H$6:$H$206,C65+1)))</f>
        <v>-</v>
      </c>
      <c r="M65" s="172" t="str">
        <f t="shared" ca="1" si="352"/>
        <v>-</v>
      </c>
      <c r="N65" s="172" t="str">
        <f t="shared" ca="1" si="352"/>
        <v>-</v>
      </c>
      <c r="O65" s="172" t="str">
        <f t="shared" ca="1" si="352"/>
        <v>-</v>
      </c>
      <c r="P65" s="173" t="str">
        <f t="shared" ca="1" si="285"/>
        <v>-</v>
      </c>
      <c r="Q65" s="172" t="str">
        <f t="shared" ca="1" si="285"/>
        <v>-</v>
      </c>
      <c r="R65" s="172" t="str">
        <f t="shared" ca="1" si="285"/>
        <v>-</v>
      </c>
      <c r="S65" s="174" t="str">
        <f t="array" aca="1" ref="S65" ca="1">IF($D65="-","-",SUM(IF(LEN(M65:O65)&gt;0,1,0)))</f>
        <v>-</v>
      </c>
      <c r="T65" s="175" t="str">
        <f t="array" aca="1" ref="T65" ca="1">IF(D65="-","-",SUM(IF(ISERROR(SEARCH(E65,$G$7:$G$206)),0,1)))</f>
        <v>-</v>
      </c>
      <c r="V65" s="204"/>
      <c r="W65" s="127"/>
      <c r="X65" s="177" t="str">
        <f t="shared" si="23"/>
        <v>-</v>
      </c>
      <c r="Y65" s="178"/>
      <c r="Z65" s="127"/>
      <c r="AB65" s="179" t="str">
        <f t="shared" ca="1" si="286"/>
        <v>-</v>
      </c>
      <c r="AC65" s="179" t="str">
        <f t="shared" ca="1" si="286"/>
        <v>-</v>
      </c>
      <c r="AD65" s="179" t="str">
        <f t="shared" ca="1" si="286"/>
        <v>-</v>
      </c>
      <c r="AJ65" s="181" t="str">
        <f t="shared" ca="1" si="5"/>
        <v>-</v>
      </c>
      <c r="AK65" s="179" t="str">
        <f t="shared" ca="1" si="6"/>
        <v>-</v>
      </c>
      <c r="AL65" s="179" t="str">
        <f t="shared" ca="1" si="6"/>
        <v>-</v>
      </c>
      <c r="AM65" s="179" t="str">
        <f t="shared" ca="1" si="6"/>
        <v>-</v>
      </c>
      <c r="AO65" s="182" t="str">
        <f t="shared" ca="1" si="287"/>
        <v>-</v>
      </c>
      <c r="AP65" s="182" t="str">
        <f t="shared" ca="1" si="287"/>
        <v>-</v>
      </c>
      <c r="AQ65" s="182" t="str">
        <f t="shared" ca="1" si="287"/>
        <v>-</v>
      </c>
      <c r="AU65" s="185" t="str">
        <f t="shared" ref="AU65" ca="1" si="498">IF($D65="-","-",IF(LEN(M65)=0,"", INDEX($AT$7:$AT$15,MATCH(IF($V65-INDEX(GridXRange,P65)&lt;0,"Negative",IF($V65-INDEX(GridXRange,P65)&gt;0,"Positive","Zero")) &amp; " - " &amp;IF($W65-INDEX(GridYRange,P65)&lt;0,"Negative",IF($W65-INDEX(GridYRange,P65)&gt;0,"Positive","Zero")),$AS$7:$AS$15,0))))</f>
        <v>-</v>
      </c>
      <c r="AV65" s="186" t="str">
        <f t="shared" ref="AV65" ca="1" si="499">IF($D65="-","-",IF(LEN(N65)=0,"", INDEX($AT$7:$AT$15,MATCH(IF($V65-INDEX(GridXRange,Q65)&lt;0,"Negative",IF($V65-INDEX(GridXRange,Q65)&gt;0,"Positive","Zero")) &amp; " - " &amp;IF($W65-INDEX(GridYRange,Q65)&lt;0,"Negative",IF($W65-INDEX(GridYRange,Q65)&gt;0,"Positive","Zero")),$AS$7:$AS$15,0))))</f>
        <v>-</v>
      </c>
      <c r="AW65" s="186" t="str">
        <f t="shared" ref="AW65" ca="1" si="500">IF($D65="-","-",IF(LEN(O65)=0,"", INDEX($AT$7:$AT$15,MATCH(IF($V65-INDEX(GridXRange,R65)&lt;0,"Negative",IF($V65-INDEX(GridXRange,R65)&gt;0,"Positive","Zero")) &amp; " - " &amp;IF($W65-INDEX(GridYRange,R65)&lt;0,"Negative",IF($W65-INDEX(GridYRange,R65)&gt;0,"Positive","Zero")),$AS$7:$AS$15,0))))</f>
        <v>-</v>
      </c>
      <c r="AX65" s="187"/>
      <c r="AY65" s="188"/>
      <c r="AZ65" s="188"/>
      <c r="BA65" s="184"/>
      <c r="BB65" s="187" t="str">
        <f t="shared" ca="1" si="356"/>
        <v>-</v>
      </c>
      <c r="BC65" s="188" t="str">
        <f t="shared" ca="1" si="356"/>
        <v>-</v>
      </c>
      <c r="BD65" s="188" t="str">
        <f t="shared" ca="1" si="356"/>
        <v>-</v>
      </c>
      <c r="BE65" s="189" t="str">
        <f t="shared" ca="1" si="356"/>
        <v>-</v>
      </c>
      <c r="BF65" s="213" t="s">
        <v>128</v>
      </c>
      <c r="BG65" s="188" t="s">
        <v>128</v>
      </c>
      <c r="BH65" s="188" t="s">
        <v>128</v>
      </c>
      <c r="BI65" s="213"/>
      <c r="BK65" s="192" t="str">
        <f t="shared" ref="BK65" ca="1" si="501">IF($D65="-","-",$BK$5 + (V65-StartGridX) * (GapXDiff + $BW$7))</f>
        <v>-</v>
      </c>
      <c r="BL65" s="192" t="str">
        <f t="shared" ref="BL65" ca="1" si="502">IF($D65="-","-",$BL$5 + (W65-StartGridY) * (GapYDiff + $BV$7))</f>
        <v>-</v>
      </c>
      <c r="BM65" s="192" t="str">
        <f t="shared" ca="1" si="14"/>
        <v>-</v>
      </c>
      <c r="BN65" s="192" t="str">
        <f t="shared" ca="1" si="15"/>
        <v>-</v>
      </c>
      <c r="BO65" s="192" t="str">
        <f t="shared" ca="1" si="16"/>
        <v>-</v>
      </c>
      <c r="BP65" s="192" t="str">
        <f t="shared" ca="1" si="17"/>
        <v>-</v>
      </c>
      <c r="BQ65" s="192" t="str">
        <f ca="1">IF($D65="-","-",IF(LEN(K65)=0,1,IFERROR(MATCH(K65,Dashboard!$L$25:$L$31,0),1)))</f>
        <v>-</v>
      </c>
      <c r="CC65" s="143" t="str">
        <f t="shared" ref="CC65" ca="1" si="503">IF($D65="-","-",IF(COUNTIF(IDSourceRange,E65)&gt;1,1,0))</f>
        <v>-</v>
      </c>
      <c r="CD65" s="143" t="str">
        <f t="shared" ref="CD65" ca="1" si="504">IF($D65="-","-",  IF(LEN(M65)=0,0,IF(ISERROR(MATCH(M65,IDSourceRange,0)),1,0)) + IF(LEN(N65)=0,0,IF(ISERROR(MATCH(N65,IDSourceRange,0)),1,0)) + IF(LEN(O65)=0,0,IF(ISERROR(MATCH(O65,IDSourceRange,0)),1,0)) )</f>
        <v>-</v>
      </c>
      <c r="CE65" s="143" t="str">
        <f t="shared" ca="1" si="51"/>
        <v>-</v>
      </c>
      <c r="CF65" s="143" t="s">
        <v>128</v>
      </c>
      <c r="CG65" s="143" t="str">
        <f t="shared" ref="CG65" ca="1" si="505">IF($D65="-","-",IF(X65="-",0,IF(COUNTIF(GridCombinedRange,X65)&gt;1,1,0)))</f>
        <v>-</v>
      </c>
      <c r="CH65" s="143"/>
      <c r="CI65" s="143"/>
      <c r="CJ65" s="143"/>
      <c r="CK65" s="143"/>
      <c r="CL65" s="143"/>
    </row>
    <row r="66" spans="3:90" x14ac:dyDescent="0.3">
      <c r="C66" s="170">
        <v>60</v>
      </c>
      <c r="D66" s="111" t="str">
        <f ca="1">IF(COUNTA(OFFSET(Dashboard!$B$6,C66,0,1,COUNTA(Dashboard!$B$6:$H$6)))&gt;0,"Yes","-")</f>
        <v>-</v>
      </c>
      <c r="E66" s="170" t="str">
        <f ca="1">IF(D66="-","-",IF(LEN(INDEX(Dashboard!B$6:B$206,$C66+1))=0,"x"&amp;C66&amp;"x","x"&amp;INDEX(Dashboard!B$6:B$206,$C66+1)&amp;"x"))</f>
        <v>-</v>
      </c>
      <c r="F66" s="171" t="str">
        <f ca="1">IF(D66="-","-",IF(LEN(INDEX(Dashboard!$C$6:$C$206,C66+1))=0," ",INDEX(Dashboard!$C$6:$C$206,C66+1)))</f>
        <v>-</v>
      </c>
      <c r="G66" s="219" t="str">
        <f ca="1">IF(OR(D66="-",D66=""),"-",IF(LEN(INDEX(Dashboard!$D$6:$D$228,C66+1))=0,"", "x"&amp;SUBSTITUTE(SUBSTITUTE(INDEX(Dashboard!$D$6:$D$228,C66+1)," ",""),",","x,x")&amp;"x"))</f>
        <v>-</v>
      </c>
      <c r="H66" s="111" t="str">
        <f ca="1">IF(D66="-","-",TRIM(INDEX(Dashboard!$E$6:$E$206,C66+1)))</f>
        <v>-</v>
      </c>
      <c r="I66" s="111" t="str">
        <f ca="1">IF(D66="-","-",IF(LEN(INDEX(Dashboard!$F$6:$F$206,C66+1))=0,$BS$8,IF(ISERROR(MATCH(INDEX(Dashboard!$F$6:$F$206,C66+1),$BS$7:$BS$35,0)),$BS$8,INDEX(Dashboard!$F$6:$F$206,C66+1))))</f>
        <v>-</v>
      </c>
      <c r="J66" s="111" t="str">
        <f ca="1">IF(D66="-","-",SUBSTITUTE(INDEX(Dashboard!$G$6:$G$206,C66+1)," ",""))</f>
        <v>-</v>
      </c>
      <c r="K66" s="111" t="str">
        <f ca="1">IF(D66="-","-",IF(LEN(INDEX(Dashboard!$H$6:$H$206,C66+1))=0,"",INDEX(Dashboard!$H$6:$H$206,C66+1)))</f>
        <v>-</v>
      </c>
      <c r="M66" s="172" t="str">
        <f t="shared" ca="1" si="352"/>
        <v>-</v>
      </c>
      <c r="N66" s="172" t="str">
        <f t="shared" ca="1" si="352"/>
        <v>-</v>
      </c>
      <c r="O66" s="172" t="str">
        <f t="shared" ca="1" si="352"/>
        <v>-</v>
      </c>
      <c r="P66" s="173" t="str">
        <f t="shared" ca="1" si="285"/>
        <v>-</v>
      </c>
      <c r="Q66" s="172" t="str">
        <f t="shared" ca="1" si="285"/>
        <v>-</v>
      </c>
      <c r="R66" s="172" t="str">
        <f t="shared" ca="1" si="285"/>
        <v>-</v>
      </c>
      <c r="S66" s="174" t="str">
        <f t="array" aca="1" ref="S66" ca="1">IF($D66="-","-",SUM(IF(LEN(M66:O66)&gt;0,1,0)))</f>
        <v>-</v>
      </c>
      <c r="T66" s="175" t="str">
        <f t="array" aca="1" ref="T66" ca="1">IF(D66="-","-",SUM(IF(ISERROR(SEARCH(E66,$G$7:$G$206)),0,1)))</f>
        <v>-</v>
      </c>
      <c r="V66" s="204"/>
      <c r="W66" s="127"/>
      <c r="X66" s="177" t="str">
        <f t="shared" si="23"/>
        <v>-</v>
      </c>
      <c r="Y66" s="178"/>
      <c r="Z66" s="127"/>
      <c r="AB66" s="179" t="str">
        <f t="shared" ca="1" si="286"/>
        <v>-</v>
      </c>
      <c r="AC66" s="179" t="str">
        <f t="shared" ca="1" si="286"/>
        <v>-</v>
      </c>
      <c r="AD66" s="179" t="str">
        <f t="shared" ca="1" si="286"/>
        <v>-</v>
      </c>
      <c r="AJ66" s="181" t="str">
        <f t="shared" ca="1" si="5"/>
        <v>-</v>
      </c>
      <c r="AK66" s="179" t="str">
        <f t="shared" ca="1" si="6"/>
        <v>-</v>
      </c>
      <c r="AL66" s="179" t="str">
        <f t="shared" ca="1" si="6"/>
        <v>-</v>
      </c>
      <c r="AM66" s="179" t="str">
        <f t="shared" ca="1" si="6"/>
        <v>-</v>
      </c>
      <c r="AO66" s="182" t="str">
        <f t="shared" ca="1" si="287"/>
        <v>-</v>
      </c>
      <c r="AP66" s="182" t="str">
        <f t="shared" ca="1" si="287"/>
        <v>-</v>
      </c>
      <c r="AQ66" s="182" t="str">
        <f t="shared" ca="1" si="287"/>
        <v>-</v>
      </c>
      <c r="AU66" s="185" t="str">
        <f t="shared" ref="AU66" ca="1" si="506">IF($D66="-","-",IF(LEN(M66)=0,"", INDEX($AT$7:$AT$15,MATCH(IF($V66-INDEX(GridXRange,P66)&lt;0,"Negative",IF($V66-INDEX(GridXRange,P66)&gt;0,"Positive","Zero")) &amp; " - " &amp;IF($W66-INDEX(GridYRange,P66)&lt;0,"Negative",IF($W66-INDEX(GridYRange,P66)&gt;0,"Positive","Zero")),$AS$7:$AS$15,0))))</f>
        <v>-</v>
      </c>
      <c r="AV66" s="186" t="str">
        <f t="shared" ref="AV66" ca="1" si="507">IF($D66="-","-",IF(LEN(N66)=0,"", INDEX($AT$7:$AT$15,MATCH(IF($V66-INDEX(GridXRange,Q66)&lt;0,"Negative",IF($V66-INDEX(GridXRange,Q66)&gt;0,"Positive","Zero")) &amp; " - " &amp;IF($W66-INDEX(GridYRange,Q66)&lt;0,"Negative",IF($W66-INDEX(GridYRange,Q66)&gt;0,"Positive","Zero")),$AS$7:$AS$15,0))))</f>
        <v>-</v>
      </c>
      <c r="AW66" s="186" t="str">
        <f t="shared" ref="AW66" ca="1" si="508">IF($D66="-","-",IF(LEN(O66)=0,"", INDEX($AT$7:$AT$15,MATCH(IF($V66-INDEX(GridXRange,R66)&lt;0,"Negative",IF($V66-INDEX(GridXRange,R66)&gt;0,"Positive","Zero")) &amp; " - " &amp;IF($W66-INDEX(GridYRange,R66)&lt;0,"Negative",IF($W66-INDEX(GridYRange,R66)&gt;0,"Positive","Zero")),$AS$7:$AS$15,0))))</f>
        <v>-</v>
      </c>
      <c r="AX66" s="187"/>
      <c r="AY66" s="188"/>
      <c r="AZ66" s="188"/>
      <c r="BA66" s="184"/>
      <c r="BB66" s="187" t="str">
        <f t="shared" ca="1" si="356"/>
        <v>-</v>
      </c>
      <c r="BC66" s="188" t="str">
        <f t="shared" ca="1" si="356"/>
        <v>-</v>
      </c>
      <c r="BD66" s="188" t="str">
        <f t="shared" ca="1" si="356"/>
        <v>-</v>
      </c>
      <c r="BE66" s="189" t="str">
        <f t="shared" ca="1" si="356"/>
        <v>-</v>
      </c>
      <c r="BF66" s="213" t="s">
        <v>128</v>
      </c>
      <c r="BG66" s="188" t="s">
        <v>128</v>
      </c>
      <c r="BH66" s="188" t="s">
        <v>128</v>
      </c>
      <c r="BI66" s="213"/>
      <c r="BK66" s="192" t="str">
        <f t="shared" ref="BK66" ca="1" si="509">IF($D66="-","-",$BK$5 + (V66-StartGridX) * (GapXDiff + $BW$7))</f>
        <v>-</v>
      </c>
      <c r="BL66" s="192" t="str">
        <f t="shared" ref="BL66" ca="1" si="510">IF($D66="-","-",$BL$5 + (W66-StartGridY) * (GapYDiff + $BV$7))</f>
        <v>-</v>
      </c>
      <c r="BM66" s="192" t="str">
        <f t="shared" ca="1" si="14"/>
        <v>-</v>
      </c>
      <c r="BN66" s="192" t="str">
        <f t="shared" ca="1" si="15"/>
        <v>-</v>
      </c>
      <c r="BO66" s="192" t="str">
        <f t="shared" ca="1" si="16"/>
        <v>-</v>
      </c>
      <c r="BP66" s="192" t="str">
        <f t="shared" ca="1" si="17"/>
        <v>-</v>
      </c>
      <c r="BQ66" s="192" t="str">
        <f ca="1">IF($D66="-","-",IF(LEN(K66)=0,1,IFERROR(MATCH(K66,Dashboard!$L$25:$L$31,0),1)))</f>
        <v>-</v>
      </c>
      <c r="CC66" s="143" t="str">
        <f t="shared" ref="CC66" ca="1" si="511">IF($D66="-","-",IF(COUNTIF(IDSourceRange,E66)&gt;1,1,0))</f>
        <v>-</v>
      </c>
      <c r="CD66" s="143" t="str">
        <f t="shared" ref="CD66" ca="1" si="512">IF($D66="-","-",  IF(LEN(M66)=0,0,IF(ISERROR(MATCH(M66,IDSourceRange,0)),1,0)) + IF(LEN(N66)=0,0,IF(ISERROR(MATCH(N66,IDSourceRange,0)),1,0)) + IF(LEN(O66)=0,0,IF(ISERROR(MATCH(O66,IDSourceRange,0)),1,0)) )</f>
        <v>-</v>
      </c>
      <c r="CE66" s="143" t="str">
        <f t="shared" ca="1" si="51"/>
        <v>-</v>
      </c>
      <c r="CF66" s="143" t="s">
        <v>128</v>
      </c>
      <c r="CG66" s="143" t="str">
        <f t="shared" ref="CG66" ca="1" si="513">IF($D66="-","-",IF(X66="-",0,IF(COUNTIF(GridCombinedRange,X66)&gt;1,1,0)))</f>
        <v>-</v>
      </c>
      <c r="CH66" s="143"/>
      <c r="CI66" s="143"/>
      <c r="CJ66" s="143"/>
      <c r="CK66" s="143"/>
      <c r="CL66" s="143"/>
    </row>
    <row r="67" spans="3:90" x14ac:dyDescent="0.3">
      <c r="C67" s="170">
        <v>61</v>
      </c>
      <c r="D67" s="111" t="str">
        <f ca="1">IF(COUNTA(OFFSET(Dashboard!$B$6,C67,0,1,COUNTA(Dashboard!$B$6:$H$6)))&gt;0,"Yes","-")</f>
        <v>-</v>
      </c>
      <c r="E67" s="170" t="str">
        <f ca="1">IF(D67="-","-",IF(LEN(INDEX(Dashboard!B$6:B$206,$C67+1))=0,"x"&amp;C67&amp;"x","x"&amp;INDEX(Dashboard!B$6:B$206,$C67+1)&amp;"x"))</f>
        <v>-</v>
      </c>
      <c r="F67" s="171" t="str">
        <f ca="1">IF(D67="-","-",IF(LEN(INDEX(Dashboard!$C$6:$C$206,C67+1))=0," ",INDEX(Dashboard!$C$6:$C$206,C67+1)))</f>
        <v>-</v>
      </c>
      <c r="G67" s="219" t="str">
        <f ca="1">IF(OR(D67="-",D67=""),"-",IF(LEN(INDEX(Dashboard!$D$6:$D$228,C67+1))=0,"", "x"&amp;SUBSTITUTE(SUBSTITUTE(INDEX(Dashboard!$D$6:$D$228,C67+1)," ",""),",","x,x")&amp;"x"))</f>
        <v>-</v>
      </c>
      <c r="H67" s="111" t="str">
        <f ca="1">IF(D67="-","-",TRIM(INDEX(Dashboard!$E$6:$E$206,C67+1)))</f>
        <v>-</v>
      </c>
      <c r="I67" s="111" t="str">
        <f ca="1">IF(D67="-","-",IF(LEN(INDEX(Dashboard!$F$6:$F$206,C67+1))=0,$BS$8,IF(ISERROR(MATCH(INDEX(Dashboard!$F$6:$F$206,C67+1),$BS$7:$BS$35,0)),$BS$8,INDEX(Dashboard!$F$6:$F$206,C67+1))))</f>
        <v>-</v>
      </c>
      <c r="J67" s="111" t="str">
        <f ca="1">IF(D67="-","-",SUBSTITUTE(INDEX(Dashboard!$G$6:$G$206,C67+1)," ",""))</f>
        <v>-</v>
      </c>
      <c r="K67" s="111" t="str">
        <f ca="1">IF(D67="-","-",IF(LEN(INDEX(Dashboard!$H$6:$H$206,C67+1))=0,"",INDEX(Dashboard!$H$6:$H$206,C67+1)))</f>
        <v>-</v>
      </c>
      <c r="M67" s="172" t="str">
        <f t="shared" ref="M67:O86" ca="1" si="514">IF($D67="-","-",TRIM(MID(SUBSTITUTE($G67,",",REPT(" ",LEN($G67))),(M$6-1)*LEN($G67)+1,LEN($G67))))</f>
        <v>-</v>
      </c>
      <c r="N67" s="172" t="str">
        <f t="shared" ca="1" si="514"/>
        <v>-</v>
      </c>
      <c r="O67" s="172" t="str">
        <f t="shared" ca="1" si="514"/>
        <v>-</v>
      </c>
      <c r="P67" s="173" t="str">
        <f t="shared" ca="1" si="285"/>
        <v>-</v>
      </c>
      <c r="Q67" s="172" t="str">
        <f t="shared" ca="1" si="285"/>
        <v>-</v>
      </c>
      <c r="R67" s="172" t="str">
        <f t="shared" ca="1" si="285"/>
        <v>-</v>
      </c>
      <c r="S67" s="174" t="str">
        <f t="array" aca="1" ref="S67" ca="1">IF($D67="-","-",SUM(IF(LEN(M67:O67)&gt;0,1,0)))</f>
        <v>-</v>
      </c>
      <c r="T67" s="175" t="str">
        <f t="array" aca="1" ref="T67" ca="1">IF(D67="-","-",SUM(IF(ISERROR(SEARCH(E67,$G$7:$G$206)),0,1)))</f>
        <v>-</v>
      </c>
      <c r="V67" s="204"/>
      <c r="W67" s="127"/>
      <c r="X67" s="177" t="str">
        <f t="shared" si="23"/>
        <v>-</v>
      </c>
      <c r="Y67" s="178"/>
      <c r="Z67" s="127"/>
      <c r="AB67" s="179" t="str">
        <f t="shared" ca="1" si="286"/>
        <v>-</v>
      </c>
      <c r="AC67" s="179" t="str">
        <f t="shared" ca="1" si="286"/>
        <v>-</v>
      </c>
      <c r="AD67" s="179" t="str">
        <f t="shared" ca="1" si="286"/>
        <v>-</v>
      </c>
      <c r="AJ67" s="181" t="str">
        <f t="shared" ca="1" si="5"/>
        <v>-</v>
      </c>
      <c r="AK67" s="179" t="str">
        <f t="shared" ca="1" si="6"/>
        <v>-</v>
      </c>
      <c r="AL67" s="179" t="str">
        <f t="shared" ca="1" si="6"/>
        <v>-</v>
      </c>
      <c r="AM67" s="179" t="str">
        <f t="shared" ca="1" si="6"/>
        <v>-</v>
      </c>
      <c r="AO67" s="182" t="str">
        <f t="shared" ca="1" si="287"/>
        <v>-</v>
      </c>
      <c r="AP67" s="182" t="str">
        <f t="shared" ca="1" si="287"/>
        <v>-</v>
      </c>
      <c r="AQ67" s="182" t="str">
        <f t="shared" ca="1" si="287"/>
        <v>-</v>
      </c>
      <c r="AU67" s="185" t="str">
        <f t="shared" ref="AU67" ca="1" si="515">IF($D67="-","-",IF(LEN(M67)=0,"", INDEX($AT$7:$AT$15,MATCH(IF($V67-INDEX(GridXRange,P67)&lt;0,"Negative",IF($V67-INDEX(GridXRange,P67)&gt;0,"Positive","Zero")) &amp; " - " &amp;IF($W67-INDEX(GridYRange,P67)&lt;0,"Negative",IF($W67-INDEX(GridYRange,P67)&gt;0,"Positive","Zero")),$AS$7:$AS$15,0))))</f>
        <v>-</v>
      </c>
      <c r="AV67" s="186" t="str">
        <f t="shared" ref="AV67" ca="1" si="516">IF($D67="-","-",IF(LEN(N67)=0,"", INDEX($AT$7:$AT$15,MATCH(IF($V67-INDEX(GridXRange,Q67)&lt;0,"Negative",IF($V67-INDEX(GridXRange,Q67)&gt;0,"Positive","Zero")) &amp; " - " &amp;IF($W67-INDEX(GridYRange,Q67)&lt;0,"Negative",IF($W67-INDEX(GridYRange,Q67)&gt;0,"Positive","Zero")),$AS$7:$AS$15,0))))</f>
        <v>-</v>
      </c>
      <c r="AW67" s="186" t="str">
        <f t="shared" ref="AW67" ca="1" si="517">IF($D67="-","-",IF(LEN(O67)=0,"", INDEX($AT$7:$AT$15,MATCH(IF($V67-INDEX(GridXRange,R67)&lt;0,"Negative",IF($V67-INDEX(GridXRange,R67)&gt;0,"Positive","Zero")) &amp; " - " &amp;IF($W67-INDEX(GridYRange,R67)&lt;0,"Negative",IF($W67-INDEX(GridYRange,R67)&gt;0,"Positive","Zero")),$AS$7:$AS$15,0))))</f>
        <v>-</v>
      </c>
      <c r="AX67" s="187"/>
      <c r="AY67" s="188"/>
      <c r="AZ67" s="188"/>
      <c r="BA67" s="184"/>
      <c r="BB67" s="187" t="str">
        <f t="shared" ref="BB67:BE86" ca="1" si="518">IF($D67="-","-",INDEX($BX$7:$CA$35,MATCH($I67,$BS$7:$BS$35,0),BB$6))</f>
        <v>-</v>
      </c>
      <c r="BC67" s="188" t="str">
        <f t="shared" ca="1" si="518"/>
        <v>-</v>
      </c>
      <c r="BD67" s="188" t="str">
        <f t="shared" ca="1" si="518"/>
        <v>-</v>
      </c>
      <c r="BE67" s="189" t="str">
        <f t="shared" ca="1" si="518"/>
        <v>-</v>
      </c>
      <c r="BF67" s="213" t="s">
        <v>128</v>
      </c>
      <c r="BG67" s="188" t="s">
        <v>128</v>
      </c>
      <c r="BH67" s="188" t="s">
        <v>128</v>
      </c>
      <c r="BI67" s="213"/>
      <c r="BK67" s="192" t="str">
        <f t="shared" ref="BK67" ca="1" si="519">IF($D67="-","-",$BK$5 + (V67-StartGridX) * (GapXDiff + $BW$7))</f>
        <v>-</v>
      </c>
      <c r="BL67" s="192" t="str">
        <f t="shared" ref="BL67" ca="1" si="520">IF($D67="-","-",$BL$5 + (W67-StartGridY) * (GapYDiff + $BV$7))</f>
        <v>-</v>
      </c>
      <c r="BM67" s="192" t="str">
        <f t="shared" ca="1" si="14"/>
        <v>-</v>
      </c>
      <c r="BN67" s="192" t="str">
        <f t="shared" ca="1" si="15"/>
        <v>-</v>
      </c>
      <c r="BO67" s="192" t="str">
        <f t="shared" ca="1" si="16"/>
        <v>-</v>
      </c>
      <c r="BP67" s="192" t="str">
        <f t="shared" ca="1" si="17"/>
        <v>-</v>
      </c>
      <c r="BQ67" s="192" t="str">
        <f ca="1">IF($D67="-","-",IF(LEN(K67)=0,1,IFERROR(MATCH(K67,Dashboard!$L$25:$L$31,0),1)))</f>
        <v>-</v>
      </c>
      <c r="CC67" s="143" t="str">
        <f t="shared" ref="CC67" ca="1" si="521">IF($D67="-","-",IF(COUNTIF(IDSourceRange,E67)&gt;1,1,0))</f>
        <v>-</v>
      </c>
      <c r="CD67" s="143" t="str">
        <f t="shared" ref="CD67" ca="1" si="522">IF($D67="-","-",  IF(LEN(M67)=0,0,IF(ISERROR(MATCH(M67,IDSourceRange,0)),1,0)) + IF(LEN(N67)=0,0,IF(ISERROR(MATCH(N67,IDSourceRange,0)),1,0)) + IF(LEN(O67)=0,0,IF(ISERROR(MATCH(O67,IDSourceRange,0)),1,0)) )</f>
        <v>-</v>
      </c>
      <c r="CE67" s="143" t="str">
        <f t="shared" ca="1" si="51"/>
        <v>-</v>
      </c>
      <c r="CF67" s="143" t="s">
        <v>128</v>
      </c>
      <c r="CG67" s="143" t="str">
        <f t="shared" ref="CG67" ca="1" si="523">IF($D67="-","-",IF(X67="-",0,IF(COUNTIF(GridCombinedRange,X67)&gt;1,1,0)))</f>
        <v>-</v>
      </c>
      <c r="CH67" s="143"/>
      <c r="CI67" s="143"/>
      <c r="CJ67" s="143"/>
      <c r="CK67" s="143"/>
      <c r="CL67" s="143"/>
    </row>
    <row r="68" spans="3:90" x14ac:dyDescent="0.3">
      <c r="C68" s="170">
        <v>62</v>
      </c>
      <c r="D68" s="111" t="str">
        <f ca="1">IF(COUNTA(OFFSET(Dashboard!$B$6,C68,0,1,COUNTA(Dashboard!$B$6:$H$6)))&gt;0,"Yes","-")</f>
        <v>-</v>
      </c>
      <c r="E68" s="170" t="str">
        <f ca="1">IF(D68="-","-",IF(LEN(INDEX(Dashboard!B$6:B$206,$C68+1))=0,"x"&amp;C68&amp;"x","x"&amp;INDEX(Dashboard!B$6:B$206,$C68+1)&amp;"x"))</f>
        <v>-</v>
      </c>
      <c r="F68" s="171" t="str">
        <f ca="1">IF(D68="-","-",IF(LEN(INDEX(Dashboard!$C$6:$C$206,C68+1))=0," ",INDEX(Dashboard!$C$6:$C$206,C68+1)))</f>
        <v>-</v>
      </c>
      <c r="G68" s="219" t="str">
        <f ca="1">IF(OR(D68="-",D68=""),"-",IF(LEN(INDEX(Dashboard!$D$6:$D$228,C68+1))=0,"", "x"&amp;SUBSTITUTE(SUBSTITUTE(INDEX(Dashboard!$D$6:$D$228,C68+1)," ",""),",","x,x")&amp;"x"))</f>
        <v>-</v>
      </c>
      <c r="H68" s="111" t="str">
        <f ca="1">IF(D68="-","-",TRIM(INDEX(Dashboard!$E$6:$E$206,C68+1)))</f>
        <v>-</v>
      </c>
      <c r="I68" s="111" t="str">
        <f ca="1">IF(D68="-","-",IF(LEN(INDEX(Dashboard!$F$6:$F$206,C68+1))=0,$BS$8,IF(ISERROR(MATCH(INDEX(Dashboard!$F$6:$F$206,C68+1),$BS$7:$BS$35,0)),$BS$8,INDEX(Dashboard!$F$6:$F$206,C68+1))))</f>
        <v>-</v>
      </c>
      <c r="J68" s="111" t="str">
        <f ca="1">IF(D68="-","-",SUBSTITUTE(INDEX(Dashboard!$G$6:$G$206,C68+1)," ",""))</f>
        <v>-</v>
      </c>
      <c r="K68" s="111" t="str">
        <f ca="1">IF(D68="-","-",IF(LEN(INDEX(Dashboard!$H$6:$H$206,C68+1))=0,"",INDEX(Dashboard!$H$6:$H$206,C68+1)))</f>
        <v>-</v>
      </c>
      <c r="M68" s="172" t="str">
        <f t="shared" ca="1" si="514"/>
        <v>-</v>
      </c>
      <c r="N68" s="172" t="str">
        <f t="shared" ca="1" si="514"/>
        <v>-</v>
      </c>
      <c r="O68" s="172" t="str">
        <f t="shared" ca="1" si="514"/>
        <v>-</v>
      </c>
      <c r="P68" s="173" t="str">
        <f t="shared" ca="1" si="285"/>
        <v>-</v>
      </c>
      <c r="Q68" s="172" t="str">
        <f t="shared" ca="1" si="285"/>
        <v>-</v>
      </c>
      <c r="R68" s="172" t="str">
        <f t="shared" ca="1" si="285"/>
        <v>-</v>
      </c>
      <c r="S68" s="174" t="str">
        <f t="array" aca="1" ref="S68" ca="1">IF($D68="-","-",SUM(IF(LEN(M68:O68)&gt;0,1,0)))</f>
        <v>-</v>
      </c>
      <c r="T68" s="175" t="str">
        <f t="array" aca="1" ref="T68" ca="1">IF(D68="-","-",SUM(IF(ISERROR(SEARCH(E68,$G$7:$G$206)),0,1)))</f>
        <v>-</v>
      </c>
      <c r="V68" s="204"/>
      <c r="W68" s="127"/>
      <c r="X68" s="177" t="str">
        <f t="shared" si="23"/>
        <v>-</v>
      </c>
      <c r="Y68" s="178"/>
      <c r="Z68" s="127"/>
      <c r="AB68" s="179" t="str">
        <f t="shared" ca="1" si="286"/>
        <v>-</v>
      </c>
      <c r="AC68" s="179" t="str">
        <f t="shared" ca="1" si="286"/>
        <v>-</v>
      </c>
      <c r="AD68" s="179" t="str">
        <f t="shared" ca="1" si="286"/>
        <v>-</v>
      </c>
      <c r="AJ68" s="181" t="str">
        <f t="shared" ca="1" si="5"/>
        <v>-</v>
      </c>
      <c r="AK68" s="179" t="str">
        <f t="shared" ca="1" si="6"/>
        <v>-</v>
      </c>
      <c r="AL68" s="179" t="str">
        <f t="shared" ca="1" si="6"/>
        <v>-</v>
      </c>
      <c r="AM68" s="179" t="str">
        <f t="shared" ca="1" si="6"/>
        <v>-</v>
      </c>
      <c r="AO68" s="182" t="str">
        <f t="shared" ca="1" si="287"/>
        <v>-</v>
      </c>
      <c r="AP68" s="182" t="str">
        <f t="shared" ca="1" si="287"/>
        <v>-</v>
      </c>
      <c r="AQ68" s="182" t="str">
        <f t="shared" ca="1" si="287"/>
        <v>-</v>
      </c>
      <c r="AU68" s="185" t="str">
        <f t="shared" ref="AU68" ca="1" si="524">IF($D68="-","-",IF(LEN(M68)=0,"", INDEX($AT$7:$AT$15,MATCH(IF($V68-INDEX(GridXRange,P68)&lt;0,"Negative",IF($V68-INDEX(GridXRange,P68)&gt;0,"Positive","Zero")) &amp; " - " &amp;IF($W68-INDEX(GridYRange,P68)&lt;0,"Negative",IF($W68-INDEX(GridYRange,P68)&gt;0,"Positive","Zero")),$AS$7:$AS$15,0))))</f>
        <v>-</v>
      </c>
      <c r="AV68" s="186" t="str">
        <f t="shared" ref="AV68" ca="1" si="525">IF($D68="-","-",IF(LEN(N68)=0,"", INDEX($AT$7:$AT$15,MATCH(IF($V68-INDEX(GridXRange,Q68)&lt;0,"Negative",IF($V68-INDEX(GridXRange,Q68)&gt;0,"Positive","Zero")) &amp; " - " &amp;IF($W68-INDEX(GridYRange,Q68)&lt;0,"Negative",IF($W68-INDEX(GridYRange,Q68)&gt;0,"Positive","Zero")),$AS$7:$AS$15,0))))</f>
        <v>-</v>
      </c>
      <c r="AW68" s="186" t="str">
        <f t="shared" ref="AW68" ca="1" si="526">IF($D68="-","-",IF(LEN(O68)=0,"", INDEX($AT$7:$AT$15,MATCH(IF($V68-INDEX(GridXRange,R68)&lt;0,"Negative",IF($V68-INDEX(GridXRange,R68)&gt;0,"Positive","Zero")) &amp; " - " &amp;IF($W68-INDEX(GridYRange,R68)&lt;0,"Negative",IF($W68-INDEX(GridYRange,R68)&gt;0,"Positive","Zero")),$AS$7:$AS$15,0))))</f>
        <v>-</v>
      </c>
      <c r="AX68" s="187"/>
      <c r="AY68" s="188"/>
      <c r="AZ68" s="188"/>
      <c r="BA68" s="184"/>
      <c r="BB68" s="187" t="str">
        <f t="shared" ca="1" si="518"/>
        <v>-</v>
      </c>
      <c r="BC68" s="188" t="str">
        <f t="shared" ca="1" si="518"/>
        <v>-</v>
      </c>
      <c r="BD68" s="188" t="str">
        <f t="shared" ca="1" si="518"/>
        <v>-</v>
      </c>
      <c r="BE68" s="189" t="str">
        <f t="shared" ca="1" si="518"/>
        <v>-</v>
      </c>
      <c r="BF68" s="213" t="s">
        <v>128</v>
      </c>
      <c r="BG68" s="188" t="s">
        <v>128</v>
      </c>
      <c r="BH68" s="188" t="s">
        <v>128</v>
      </c>
      <c r="BI68" s="213"/>
      <c r="BK68" s="192" t="str">
        <f t="shared" ref="BK68" ca="1" si="527">IF($D68="-","-",$BK$5 + (V68-StartGridX) * (GapXDiff + $BW$7))</f>
        <v>-</v>
      </c>
      <c r="BL68" s="192" t="str">
        <f t="shared" ref="BL68" ca="1" si="528">IF($D68="-","-",$BL$5 + (W68-StartGridY) * (GapYDiff + $BV$7))</f>
        <v>-</v>
      </c>
      <c r="BM68" s="192" t="str">
        <f t="shared" ca="1" si="14"/>
        <v>-</v>
      </c>
      <c r="BN68" s="192" t="str">
        <f t="shared" ca="1" si="15"/>
        <v>-</v>
      </c>
      <c r="BO68" s="192" t="str">
        <f t="shared" ca="1" si="16"/>
        <v>-</v>
      </c>
      <c r="BP68" s="192" t="str">
        <f t="shared" ca="1" si="17"/>
        <v>-</v>
      </c>
      <c r="BQ68" s="192" t="str">
        <f ca="1">IF($D68="-","-",IF(LEN(K68)=0,1,IFERROR(MATCH(K68,Dashboard!$L$25:$L$31,0),1)))</f>
        <v>-</v>
      </c>
      <c r="CC68" s="143" t="str">
        <f t="shared" ref="CC68" ca="1" si="529">IF($D68="-","-",IF(COUNTIF(IDSourceRange,E68)&gt;1,1,0))</f>
        <v>-</v>
      </c>
      <c r="CD68" s="143" t="str">
        <f t="shared" ref="CD68" ca="1" si="530">IF($D68="-","-",  IF(LEN(M68)=0,0,IF(ISERROR(MATCH(M68,IDSourceRange,0)),1,0)) + IF(LEN(N68)=0,0,IF(ISERROR(MATCH(N68,IDSourceRange,0)),1,0)) + IF(LEN(O68)=0,0,IF(ISERROR(MATCH(O68,IDSourceRange,0)),1,0)) )</f>
        <v>-</v>
      </c>
      <c r="CE68" s="143" t="str">
        <f t="shared" ca="1" si="51"/>
        <v>-</v>
      </c>
      <c r="CF68" s="143" t="s">
        <v>128</v>
      </c>
      <c r="CG68" s="143" t="str">
        <f t="shared" ref="CG68" ca="1" si="531">IF($D68="-","-",IF(X68="-",0,IF(COUNTIF(GridCombinedRange,X68)&gt;1,1,0)))</f>
        <v>-</v>
      </c>
      <c r="CH68" s="143"/>
      <c r="CI68" s="143"/>
      <c r="CJ68" s="143"/>
      <c r="CK68" s="143"/>
      <c r="CL68" s="143"/>
    </row>
    <row r="69" spans="3:90" x14ac:dyDescent="0.3">
      <c r="C69" s="170">
        <v>63</v>
      </c>
      <c r="D69" s="111" t="str">
        <f ca="1">IF(COUNTA(OFFSET(Dashboard!$B$6,C69,0,1,COUNTA(Dashboard!$B$6:$H$6)))&gt;0,"Yes","-")</f>
        <v>-</v>
      </c>
      <c r="E69" s="170" t="str">
        <f ca="1">IF(D69="-","-",IF(LEN(INDEX(Dashboard!B$6:B$206,$C69+1))=0,"x"&amp;C69&amp;"x","x"&amp;INDEX(Dashboard!B$6:B$206,$C69+1)&amp;"x"))</f>
        <v>-</v>
      </c>
      <c r="F69" s="171" t="str">
        <f ca="1">IF(D69="-","-",IF(LEN(INDEX(Dashboard!$C$6:$C$206,C69+1))=0," ",INDEX(Dashboard!$C$6:$C$206,C69+1)))</f>
        <v>-</v>
      </c>
      <c r="G69" s="219" t="str">
        <f ca="1">IF(OR(D69="-",D69=""),"-",IF(LEN(INDEX(Dashboard!$D$6:$D$228,C69+1))=0,"", "x"&amp;SUBSTITUTE(SUBSTITUTE(INDEX(Dashboard!$D$6:$D$228,C69+1)," ",""),",","x,x")&amp;"x"))</f>
        <v>-</v>
      </c>
      <c r="H69" s="111" t="str">
        <f ca="1">IF(D69="-","-",TRIM(INDEX(Dashboard!$E$6:$E$206,C69+1)))</f>
        <v>-</v>
      </c>
      <c r="I69" s="111" t="str">
        <f ca="1">IF(D69="-","-",IF(LEN(INDEX(Dashboard!$F$6:$F$206,C69+1))=0,$BS$8,IF(ISERROR(MATCH(INDEX(Dashboard!$F$6:$F$206,C69+1),$BS$7:$BS$35,0)),$BS$8,INDEX(Dashboard!$F$6:$F$206,C69+1))))</f>
        <v>-</v>
      </c>
      <c r="J69" s="111" t="str">
        <f ca="1">IF(D69="-","-",SUBSTITUTE(INDEX(Dashboard!$G$6:$G$206,C69+1)," ",""))</f>
        <v>-</v>
      </c>
      <c r="K69" s="111" t="str">
        <f ca="1">IF(D69="-","-",IF(LEN(INDEX(Dashboard!$H$6:$H$206,C69+1))=0,"",INDEX(Dashboard!$H$6:$H$206,C69+1)))</f>
        <v>-</v>
      </c>
      <c r="M69" s="172" t="str">
        <f t="shared" ca="1" si="514"/>
        <v>-</v>
      </c>
      <c r="N69" s="172" t="str">
        <f t="shared" ca="1" si="514"/>
        <v>-</v>
      </c>
      <c r="O69" s="172" t="str">
        <f t="shared" ca="1" si="514"/>
        <v>-</v>
      </c>
      <c r="P69" s="173" t="str">
        <f t="shared" ca="1" si="285"/>
        <v>-</v>
      </c>
      <c r="Q69" s="172" t="str">
        <f t="shared" ca="1" si="285"/>
        <v>-</v>
      </c>
      <c r="R69" s="172" t="str">
        <f t="shared" ca="1" si="285"/>
        <v>-</v>
      </c>
      <c r="S69" s="174" t="str">
        <f t="array" aca="1" ref="S69" ca="1">IF($D69="-","-",SUM(IF(LEN(M69:O69)&gt;0,1,0)))</f>
        <v>-</v>
      </c>
      <c r="T69" s="175" t="str">
        <f t="array" aca="1" ref="T69" ca="1">IF(D69="-","-",SUM(IF(ISERROR(SEARCH(E69,$G$7:$G$206)),0,1)))</f>
        <v>-</v>
      </c>
      <c r="V69" s="204"/>
      <c r="W69" s="127"/>
      <c r="X69" s="177" t="str">
        <f t="shared" si="23"/>
        <v>-</v>
      </c>
      <c r="Y69" s="178"/>
      <c r="Z69" s="127"/>
      <c r="AB69" s="179" t="str">
        <f t="shared" ca="1" si="286"/>
        <v>-</v>
      </c>
      <c r="AC69" s="179" t="str">
        <f t="shared" ca="1" si="286"/>
        <v>-</v>
      </c>
      <c r="AD69" s="179" t="str">
        <f t="shared" ca="1" si="286"/>
        <v>-</v>
      </c>
      <c r="AJ69" s="181" t="str">
        <f t="shared" ca="1" si="5"/>
        <v>-</v>
      </c>
      <c r="AK69" s="179" t="str">
        <f t="shared" ca="1" si="6"/>
        <v>-</v>
      </c>
      <c r="AL69" s="179" t="str">
        <f t="shared" ca="1" si="6"/>
        <v>-</v>
      </c>
      <c r="AM69" s="179" t="str">
        <f t="shared" ca="1" si="6"/>
        <v>-</v>
      </c>
      <c r="AO69" s="182" t="str">
        <f t="shared" ca="1" si="287"/>
        <v>-</v>
      </c>
      <c r="AP69" s="182" t="str">
        <f t="shared" ca="1" si="287"/>
        <v>-</v>
      </c>
      <c r="AQ69" s="182" t="str">
        <f t="shared" ca="1" si="287"/>
        <v>-</v>
      </c>
      <c r="AU69" s="185" t="str">
        <f t="shared" ref="AU69" ca="1" si="532">IF($D69="-","-",IF(LEN(M69)=0,"", INDEX($AT$7:$AT$15,MATCH(IF($V69-INDEX(GridXRange,P69)&lt;0,"Negative",IF($V69-INDEX(GridXRange,P69)&gt;0,"Positive","Zero")) &amp; " - " &amp;IF($W69-INDEX(GridYRange,P69)&lt;0,"Negative",IF($W69-INDEX(GridYRange,P69)&gt;0,"Positive","Zero")),$AS$7:$AS$15,0))))</f>
        <v>-</v>
      </c>
      <c r="AV69" s="186" t="str">
        <f t="shared" ref="AV69" ca="1" si="533">IF($D69="-","-",IF(LEN(N69)=0,"", INDEX($AT$7:$AT$15,MATCH(IF($V69-INDEX(GridXRange,Q69)&lt;0,"Negative",IF($V69-INDEX(GridXRange,Q69)&gt;0,"Positive","Zero")) &amp; " - " &amp;IF($W69-INDEX(GridYRange,Q69)&lt;0,"Negative",IF($W69-INDEX(GridYRange,Q69)&gt;0,"Positive","Zero")),$AS$7:$AS$15,0))))</f>
        <v>-</v>
      </c>
      <c r="AW69" s="186" t="str">
        <f t="shared" ref="AW69" ca="1" si="534">IF($D69="-","-",IF(LEN(O69)=0,"", INDEX($AT$7:$AT$15,MATCH(IF($V69-INDEX(GridXRange,R69)&lt;0,"Negative",IF($V69-INDEX(GridXRange,R69)&gt;0,"Positive","Zero")) &amp; " - " &amp;IF($W69-INDEX(GridYRange,R69)&lt;0,"Negative",IF($W69-INDEX(GridYRange,R69)&gt;0,"Positive","Zero")),$AS$7:$AS$15,0))))</f>
        <v>-</v>
      </c>
      <c r="AX69" s="187"/>
      <c r="AY69" s="188"/>
      <c r="AZ69" s="188"/>
      <c r="BA69" s="184"/>
      <c r="BB69" s="187" t="str">
        <f t="shared" ca="1" si="518"/>
        <v>-</v>
      </c>
      <c r="BC69" s="188" t="str">
        <f t="shared" ca="1" si="518"/>
        <v>-</v>
      </c>
      <c r="BD69" s="188" t="str">
        <f t="shared" ca="1" si="518"/>
        <v>-</v>
      </c>
      <c r="BE69" s="189" t="str">
        <f t="shared" ca="1" si="518"/>
        <v>-</v>
      </c>
      <c r="BF69" s="213" t="s">
        <v>128</v>
      </c>
      <c r="BG69" s="188" t="s">
        <v>128</v>
      </c>
      <c r="BH69" s="188" t="s">
        <v>128</v>
      </c>
      <c r="BI69" s="213"/>
      <c r="BK69" s="192" t="str">
        <f t="shared" ref="BK69" ca="1" si="535">IF($D69="-","-",$BK$5 + (V69-StartGridX) * (GapXDiff + $BW$7))</f>
        <v>-</v>
      </c>
      <c r="BL69" s="192" t="str">
        <f t="shared" ref="BL69" ca="1" si="536">IF($D69="-","-",$BL$5 + (W69-StartGridY) * (GapYDiff + $BV$7))</f>
        <v>-</v>
      </c>
      <c r="BM69" s="192" t="str">
        <f t="shared" ca="1" si="14"/>
        <v>-</v>
      </c>
      <c r="BN69" s="192" t="str">
        <f t="shared" ca="1" si="15"/>
        <v>-</v>
      </c>
      <c r="BO69" s="192" t="str">
        <f t="shared" ca="1" si="16"/>
        <v>-</v>
      </c>
      <c r="BP69" s="192" t="str">
        <f t="shared" ca="1" si="17"/>
        <v>-</v>
      </c>
      <c r="BQ69" s="192" t="str">
        <f ca="1">IF($D69="-","-",IF(LEN(K69)=0,1,IFERROR(MATCH(K69,Dashboard!$L$25:$L$31,0),1)))</f>
        <v>-</v>
      </c>
      <c r="CC69" s="143" t="str">
        <f t="shared" ref="CC69" ca="1" si="537">IF($D69="-","-",IF(COUNTIF(IDSourceRange,E69)&gt;1,1,0))</f>
        <v>-</v>
      </c>
      <c r="CD69" s="143" t="str">
        <f t="shared" ref="CD69" ca="1" si="538">IF($D69="-","-",  IF(LEN(M69)=0,0,IF(ISERROR(MATCH(M69,IDSourceRange,0)),1,0)) + IF(LEN(N69)=0,0,IF(ISERROR(MATCH(N69,IDSourceRange,0)),1,0)) + IF(LEN(O69)=0,0,IF(ISERROR(MATCH(O69,IDSourceRange,0)),1,0)) )</f>
        <v>-</v>
      </c>
      <c r="CE69" s="143" t="str">
        <f t="shared" ca="1" si="51"/>
        <v>-</v>
      </c>
      <c r="CF69" s="143" t="s">
        <v>128</v>
      </c>
      <c r="CG69" s="143" t="str">
        <f t="shared" ref="CG69" ca="1" si="539">IF($D69="-","-",IF(X69="-",0,IF(COUNTIF(GridCombinedRange,X69)&gt;1,1,0)))</f>
        <v>-</v>
      </c>
      <c r="CH69" s="143"/>
      <c r="CI69" s="143"/>
      <c r="CJ69" s="143"/>
      <c r="CK69" s="143"/>
      <c r="CL69" s="143"/>
    </row>
    <row r="70" spans="3:90" x14ac:dyDescent="0.3">
      <c r="C70" s="170">
        <v>64</v>
      </c>
      <c r="D70" s="111" t="str">
        <f ca="1">IF(COUNTA(OFFSET(Dashboard!$B$6,C70,0,1,COUNTA(Dashboard!$B$6:$H$6)))&gt;0,"Yes","-")</f>
        <v>-</v>
      </c>
      <c r="E70" s="170" t="str">
        <f ca="1">IF(D70="-","-",IF(LEN(INDEX(Dashboard!B$6:B$206,$C70+1))=0,"x"&amp;C70&amp;"x","x"&amp;INDEX(Dashboard!B$6:B$206,$C70+1)&amp;"x"))</f>
        <v>-</v>
      </c>
      <c r="F70" s="171" t="str">
        <f ca="1">IF(D70="-","-",IF(LEN(INDEX(Dashboard!$C$6:$C$206,C70+1))=0," ",INDEX(Dashboard!$C$6:$C$206,C70+1)))</f>
        <v>-</v>
      </c>
      <c r="G70" s="219" t="str">
        <f ca="1">IF(OR(D70="-",D70=""),"-",IF(LEN(INDEX(Dashboard!$D$6:$D$228,C70+1))=0,"", "x"&amp;SUBSTITUTE(SUBSTITUTE(INDEX(Dashboard!$D$6:$D$228,C70+1)," ",""),",","x,x")&amp;"x"))</f>
        <v>-</v>
      </c>
      <c r="H70" s="111" t="str">
        <f ca="1">IF(D70="-","-",TRIM(INDEX(Dashboard!$E$6:$E$206,C70+1)))</f>
        <v>-</v>
      </c>
      <c r="I70" s="111" t="str">
        <f ca="1">IF(D70="-","-",IF(LEN(INDEX(Dashboard!$F$6:$F$206,C70+1))=0,$BS$8,IF(ISERROR(MATCH(INDEX(Dashboard!$F$6:$F$206,C70+1),$BS$7:$BS$35,0)),$BS$8,INDEX(Dashboard!$F$6:$F$206,C70+1))))</f>
        <v>-</v>
      </c>
      <c r="J70" s="111" t="str">
        <f ca="1">IF(D70="-","-",SUBSTITUTE(INDEX(Dashboard!$G$6:$G$206,C70+1)," ",""))</f>
        <v>-</v>
      </c>
      <c r="K70" s="111" t="str">
        <f ca="1">IF(D70="-","-",IF(LEN(INDEX(Dashboard!$H$6:$H$206,C70+1))=0,"",INDEX(Dashboard!$H$6:$H$206,C70+1)))</f>
        <v>-</v>
      </c>
      <c r="M70" s="172" t="str">
        <f t="shared" ca="1" si="514"/>
        <v>-</v>
      </c>
      <c r="N70" s="172" t="str">
        <f t="shared" ca="1" si="514"/>
        <v>-</v>
      </c>
      <c r="O70" s="172" t="str">
        <f t="shared" ca="1" si="514"/>
        <v>-</v>
      </c>
      <c r="P70" s="173" t="str">
        <f t="shared" ca="1" si="285"/>
        <v>-</v>
      </c>
      <c r="Q70" s="172" t="str">
        <f t="shared" ca="1" si="285"/>
        <v>-</v>
      </c>
      <c r="R70" s="172" t="str">
        <f t="shared" ca="1" si="285"/>
        <v>-</v>
      </c>
      <c r="S70" s="174" t="str">
        <f t="array" aca="1" ref="S70" ca="1">IF($D70="-","-",SUM(IF(LEN(M70:O70)&gt;0,1,0)))</f>
        <v>-</v>
      </c>
      <c r="T70" s="175" t="str">
        <f t="array" aca="1" ref="T70" ca="1">IF(D70="-","-",SUM(IF(ISERROR(SEARCH(E70,$G$7:$G$206)),0,1)))</f>
        <v>-</v>
      </c>
      <c r="V70" s="204"/>
      <c r="W70" s="127"/>
      <c r="X70" s="177" t="str">
        <f t="shared" si="23"/>
        <v>-</v>
      </c>
      <c r="Y70" s="178"/>
      <c r="Z70" s="127"/>
      <c r="AB70" s="179" t="str">
        <f t="shared" ca="1" si="286"/>
        <v>-</v>
      </c>
      <c r="AC70" s="179" t="str">
        <f t="shared" ca="1" si="286"/>
        <v>-</v>
      </c>
      <c r="AD70" s="179" t="str">
        <f t="shared" ca="1" si="286"/>
        <v>-</v>
      </c>
      <c r="AJ70" s="181" t="str">
        <f t="shared" ca="1" si="5"/>
        <v>-</v>
      </c>
      <c r="AK70" s="179" t="str">
        <f t="shared" ca="1" si="6"/>
        <v>-</v>
      </c>
      <c r="AL70" s="179" t="str">
        <f t="shared" ca="1" si="6"/>
        <v>-</v>
      </c>
      <c r="AM70" s="179" t="str">
        <f t="shared" ca="1" si="6"/>
        <v>-</v>
      </c>
      <c r="AO70" s="182" t="str">
        <f t="shared" ca="1" si="287"/>
        <v>-</v>
      </c>
      <c r="AP70" s="182" t="str">
        <f t="shared" ca="1" si="287"/>
        <v>-</v>
      </c>
      <c r="AQ70" s="182" t="str">
        <f t="shared" ca="1" si="287"/>
        <v>-</v>
      </c>
      <c r="AU70" s="185" t="str">
        <f t="shared" ref="AU70" ca="1" si="540">IF($D70="-","-",IF(LEN(M70)=0,"", INDEX($AT$7:$AT$15,MATCH(IF($V70-INDEX(GridXRange,P70)&lt;0,"Negative",IF($V70-INDEX(GridXRange,P70)&gt;0,"Positive","Zero")) &amp; " - " &amp;IF($W70-INDEX(GridYRange,P70)&lt;0,"Negative",IF($W70-INDEX(GridYRange,P70)&gt;0,"Positive","Zero")),$AS$7:$AS$15,0))))</f>
        <v>-</v>
      </c>
      <c r="AV70" s="186" t="str">
        <f t="shared" ref="AV70" ca="1" si="541">IF($D70="-","-",IF(LEN(N70)=0,"", INDEX($AT$7:$AT$15,MATCH(IF($V70-INDEX(GridXRange,Q70)&lt;0,"Negative",IF($V70-INDEX(GridXRange,Q70)&gt;0,"Positive","Zero")) &amp; " - " &amp;IF($W70-INDEX(GridYRange,Q70)&lt;0,"Negative",IF($W70-INDEX(GridYRange,Q70)&gt;0,"Positive","Zero")),$AS$7:$AS$15,0))))</f>
        <v>-</v>
      </c>
      <c r="AW70" s="186" t="str">
        <f t="shared" ref="AW70" ca="1" si="542">IF($D70="-","-",IF(LEN(O70)=0,"", INDEX($AT$7:$AT$15,MATCH(IF($V70-INDEX(GridXRange,R70)&lt;0,"Negative",IF($V70-INDEX(GridXRange,R70)&gt;0,"Positive","Zero")) &amp; " - " &amp;IF($W70-INDEX(GridYRange,R70)&lt;0,"Negative",IF($W70-INDEX(GridYRange,R70)&gt;0,"Positive","Zero")),$AS$7:$AS$15,0))))</f>
        <v>-</v>
      </c>
      <c r="AX70" s="187"/>
      <c r="AY70" s="188"/>
      <c r="AZ70" s="188"/>
      <c r="BA70" s="184"/>
      <c r="BB70" s="187" t="str">
        <f t="shared" ca="1" si="518"/>
        <v>-</v>
      </c>
      <c r="BC70" s="188" t="str">
        <f t="shared" ca="1" si="518"/>
        <v>-</v>
      </c>
      <c r="BD70" s="188" t="str">
        <f t="shared" ca="1" si="518"/>
        <v>-</v>
      </c>
      <c r="BE70" s="189" t="str">
        <f t="shared" ca="1" si="518"/>
        <v>-</v>
      </c>
      <c r="BF70" s="213" t="s">
        <v>128</v>
      </c>
      <c r="BG70" s="188" t="s">
        <v>128</v>
      </c>
      <c r="BH70" s="188" t="s">
        <v>128</v>
      </c>
      <c r="BI70" s="213"/>
      <c r="BK70" s="192" t="str">
        <f t="shared" ref="BK70" ca="1" si="543">IF($D70="-","-",$BK$5 + (V70-StartGridX) * (GapXDiff + $BW$7))</f>
        <v>-</v>
      </c>
      <c r="BL70" s="192" t="str">
        <f t="shared" ref="BL70" ca="1" si="544">IF($D70="-","-",$BL$5 + (W70-StartGridY) * (GapYDiff + $BV$7))</f>
        <v>-</v>
      </c>
      <c r="BM70" s="192" t="str">
        <f t="shared" ca="1" si="14"/>
        <v>-</v>
      </c>
      <c r="BN70" s="192" t="str">
        <f t="shared" ca="1" si="15"/>
        <v>-</v>
      </c>
      <c r="BO70" s="192" t="str">
        <f t="shared" ca="1" si="16"/>
        <v>-</v>
      </c>
      <c r="BP70" s="192" t="str">
        <f t="shared" ca="1" si="17"/>
        <v>-</v>
      </c>
      <c r="BQ70" s="192" t="str">
        <f ca="1">IF($D70="-","-",IF(LEN(K70)=0,1,IFERROR(MATCH(K70,Dashboard!$L$25:$L$31,0),1)))</f>
        <v>-</v>
      </c>
      <c r="CC70" s="143" t="str">
        <f t="shared" ref="CC70" ca="1" si="545">IF($D70="-","-",IF(COUNTIF(IDSourceRange,E70)&gt;1,1,0))</f>
        <v>-</v>
      </c>
      <c r="CD70" s="143" t="str">
        <f t="shared" ref="CD70" ca="1" si="546">IF($D70="-","-",  IF(LEN(M70)=0,0,IF(ISERROR(MATCH(M70,IDSourceRange,0)),1,0)) + IF(LEN(N70)=0,0,IF(ISERROR(MATCH(N70,IDSourceRange,0)),1,0)) + IF(LEN(O70)=0,0,IF(ISERROR(MATCH(O70,IDSourceRange,0)),1,0)) )</f>
        <v>-</v>
      </c>
      <c r="CE70" s="143" t="str">
        <f t="shared" ca="1" si="51"/>
        <v>-</v>
      </c>
      <c r="CF70" s="143" t="s">
        <v>128</v>
      </c>
      <c r="CG70" s="143" t="str">
        <f t="shared" ref="CG70" ca="1" si="547">IF($D70="-","-",IF(X70="-",0,IF(COUNTIF(GridCombinedRange,X70)&gt;1,1,0)))</f>
        <v>-</v>
      </c>
      <c r="CH70" s="143"/>
      <c r="CI70" s="143"/>
      <c r="CJ70" s="143"/>
      <c r="CK70" s="143"/>
      <c r="CL70" s="143"/>
    </row>
    <row r="71" spans="3:90" x14ac:dyDescent="0.3">
      <c r="C71" s="170">
        <v>65</v>
      </c>
      <c r="D71" s="111" t="str">
        <f ca="1">IF(COUNTA(OFFSET(Dashboard!$B$6,C71,0,1,COUNTA(Dashboard!$B$6:$H$6)))&gt;0,"Yes","-")</f>
        <v>-</v>
      </c>
      <c r="E71" s="170" t="str">
        <f ca="1">IF(D71="-","-",IF(LEN(INDEX(Dashboard!B$6:B$206,$C71+1))=0,"x"&amp;C71&amp;"x","x"&amp;INDEX(Dashboard!B$6:B$206,$C71+1)&amp;"x"))</f>
        <v>-</v>
      </c>
      <c r="F71" s="171" t="str">
        <f ca="1">IF(D71="-","-",IF(LEN(INDEX(Dashboard!$C$6:$C$206,C71+1))=0," ",INDEX(Dashboard!$C$6:$C$206,C71+1)))</f>
        <v>-</v>
      </c>
      <c r="G71" s="219" t="str">
        <f ca="1">IF(OR(D71="-",D71=""),"-",IF(LEN(INDEX(Dashboard!$D$6:$D$228,C71+1))=0,"", "x"&amp;SUBSTITUTE(SUBSTITUTE(INDEX(Dashboard!$D$6:$D$228,C71+1)," ",""),",","x,x")&amp;"x"))</f>
        <v>-</v>
      </c>
      <c r="H71" s="111" t="str">
        <f ca="1">IF(D71="-","-",TRIM(INDEX(Dashboard!$E$6:$E$206,C71+1)))</f>
        <v>-</v>
      </c>
      <c r="I71" s="111" t="str">
        <f ca="1">IF(D71="-","-",IF(LEN(INDEX(Dashboard!$F$6:$F$206,C71+1))=0,$BS$8,IF(ISERROR(MATCH(INDEX(Dashboard!$F$6:$F$206,C71+1),$BS$7:$BS$35,0)),$BS$8,INDEX(Dashboard!$F$6:$F$206,C71+1))))</f>
        <v>-</v>
      </c>
      <c r="J71" s="111" t="str">
        <f ca="1">IF(D71="-","-",SUBSTITUTE(INDEX(Dashboard!$G$6:$G$206,C71+1)," ",""))</f>
        <v>-</v>
      </c>
      <c r="K71" s="111" t="str">
        <f ca="1">IF(D71="-","-",IF(LEN(INDEX(Dashboard!$H$6:$H$206,C71+1))=0,"",INDEX(Dashboard!$H$6:$H$206,C71+1)))</f>
        <v>-</v>
      </c>
      <c r="M71" s="172" t="str">
        <f t="shared" ca="1" si="514"/>
        <v>-</v>
      </c>
      <c r="N71" s="172" t="str">
        <f t="shared" ca="1" si="514"/>
        <v>-</v>
      </c>
      <c r="O71" s="172" t="str">
        <f t="shared" ca="1" si="514"/>
        <v>-</v>
      </c>
      <c r="P71" s="173" t="str">
        <f t="shared" ref="P71:R102" ca="1" si="548">IF($D71="-","-",IF(LEN(M71)=0,"",MATCH(M71,$E$7:$E$206,0)))</f>
        <v>-</v>
      </c>
      <c r="Q71" s="172" t="str">
        <f t="shared" ca="1" si="548"/>
        <v>-</v>
      </c>
      <c r="R71" s="172" t="str">
        <f t="shared" ca="1" si="548"/>
        <v>-</v>
      </c>
      <c r="S71" s="174" t="str">
        <f t="array" aca="1" ref="S71" ca="1">IF($D71="-","-",SUM(IF(LEN(M71:O71)&gt;0,1,0)))</f>
        <v>-</v>
      </c>
      <c r="T71" s="175" t="str">
        <f t="array" aca="1" ref="T71" ca="1">IF(D71="-","-",SUM(IF(ISERROR(SEARCH(E71,$G$7:$G$206)),0,1)))</f>
        <v>-</v>
      </c>
      <c r="V71" s="204"/>
      <c r="W71" s="127"/>
      <c r="X71" s="177" t="str">
        <f t="shared" si="23"/>
        <v>-</v>
      </c>
      <c r="Y71" s="178"/>
      <c r="Z71" s="127"/>
      <c r="AB71" s="179" t="str">
        <f t="shared" ref="AB71:AD102" ca="1" si="549">IF($D71="-","-",IF(LEN(M71)=0,"",TRIM(MID(SUBSTITUTE($J71,",",REPT(" ",LEN($J71))),(AB$6-1)*LEN($J71)+1,LEN($J71)))))</f>
        <v>-</v>
      </c>
      <c r="AC71" s="179" t="str">
        <f t="shared" ca="1" si="549"/>
        <v>-</v>
      </c>
      <c r="AD71" s="179" t="str">
        <f t="shared" ca="1" si="549"/>
        <v>-</v>
      </c>
      <c r="AJ71" s="181" t="str">
        <f t="shared" ref="AJ71:AJ134" ca="1" si="550">IF(D71="-","-",IF(LEN(Y71)=0,"Right",INDEX($AK$7:$AM$206,$Y71,MATCH($C71,OFFSET($P$6,$Y71,0,1,COUNTA($P$6:$R$6)),0))))</f>
        <v>-</v>
      </c>
      <c r="AK71" s="179" t="str">
        <f t="shared" ref="AK71:AM134" ca="1" si="551">IF($D71="-","-",IF(LEN(M71)=0,"",IF(AND(LEN(AB71)&lt;&gt;0,ISNUMBER(MATCH(AB71,$AF$7:$AF$17,0))),AB71,IF(AK$6=1,INDEX($AG$7:$AG$17,MATCH($AJ71,$AF$7:$AF$17,0)),IF(AK$6=2,INDEX($AH$7:$AH$17,MATCH($AJ71,$AF$7:$AF$17,0)),IF(AK$6=3,INDEX($AI$7:$AI$17,MATCH($AJ71,$AF$7:$AF$17,0)),INDEX($AG$7:$AG$17,MATCH($AJ71,$AF$7:$AF$17,0))))))))</f>
        <v>-</v>
      </c>
      <c r="AL71" s="179" t="str">
        <f t="shared" ca="1" si="551"/>
        <v>-</v>
      </c>
      <c r="AM71" s="179" t="str">
        <f t="shared" ca="1" si="551"/>
        <v>-</v>
      </c>
      <c r="AO71" s="182" t="str">
        <f t="shared" ref="AO71:AQ102" ca="1" si="552">IF($D71="-","-",IF(LEN(M71)=0,"",TRIM(MID(SUBSTITUTE($H71,",",REPT(" ",LEN($H71))),(M$6-1)*LEN($H71)+1,LEN($H71)))))</f>
        <v>-</v>
      </c>
      <c r="AP71" s="182" t="str">
        <f t="shared" ca="1" si="552"/>
        <v>-</v>
      </c>
      <c r="AQ71" s="182" t="str">
        <f t="shared" ca="1" si="552"/>
        <v>-</v>
      </c>
      <c r="AU71" s="185" t="str">
        <f t="shared" ref="AU71" ca="1" si="553">IF($D71="-","-",IF(LEN(M71)=0,"", INDEX($AT$7:$AT$15,MATCH(IF($V71-INDEX(GridXRange,P71)&lt;0,"Negative",IF($V71-INDEX(GridXRange,P71)&gt;0,"Positive","Zero")) &amp; " - " &amp;IF($W71-INDEX(GridYRange,P71)&lt;0,"Negative",IF($W71-INDEX(GridYRange,P71)&gt;0,"Positive","Zero")),$AS$7:$AS$15,0))))</f>
        <v>-</v>
      </c>
      <c r="AV71" s="186" t="str">
        <f t="shared" ref="AV71" ca="1" si="554">IF($D71="-","-",IF(LEN(N71)=0,"", INDEX($AT$7:$AT$15,MATCH(IF($V71-INDEX(GridXRange,Q71)&lt;0,"Negative",IF($V71-INDEX(GridXRange,Q71)&gt;0,"Positive","Zero")) &amp; " - " &amp;IF($W71-INDEX(GridYRange,Q71)&lt;0,"Negative",IF($W71-INDEX(GridYRange,Q71)&gt;0,"Positive","Zero")),$AS$7:$AS$15,0))))</f>
        <v>-</v>
      </c>
      <c r="AW71" s="186" t="str">
        <f t="shared" ref="AW71" ca="1" si="555">IF($D71="-","-",IF(LEN(O71)=0,"", INDEX($AT$7:$AT$15,MATCH(IF($V71-INDEX(GridXRange,R71)&lt;0,"Negative",IF($V71-INDEX(GridXRange,R71)&gt;0,"Positive","Zero")) &amp; " - " &amp;IF($W71-INDEX(GridYRange,R71)&lt;0,"Negative",IF($W71-INDEX(GridYRange,R71)&gt;0,"Positive","Zero")),$AS$7:$AS$15,0))))</f>
        <v>-</v>
      </c>
      <c r="AX71" s="187"/>
      <c r="AY71" s="188"/>
      <c r="AZ71" s="188"/>
      <c r="BA71" s="184"/>
      <c r="BB71" s="187" t="str">
        <f t="shared" ca="1" si="518"/>
        <v>-</v>
      </c>
      <c r="BC71" s="188" t="str">
        <f t="shared" ca="1" si="518"/>
        <v>-</v>
      </c>
      <c r="BD71" s="188" t="str">
        <f t="shared" ca="1" si="518"/>
        <v>-</v>
      </c>
      <c r="BE71" s="189" t="str">
        <f t="shared" ca="1" si="518"/>
        <v>-</v>
      </c>
      <c r="BF71" s="213" t="s">
        <v>128</v>
      </c>
      <c r="BG71" s="188" t="s">
        <v>128</v>
      </c>
      <c r="BH71" s="188" t="s">
        <v>128</v>
      </c>
      <c r="BI71" s="213"/>
      <c r="BK71" s="192" t="str">
        <f t="shared" ref="BK71" ca="1" si="556">IF($D71="-","-",$BK$5 + (V71-StartGridX) * (GapXDiff + $BW$7))</f>
        <v>-</v>
      </c>
      <c r="BL71" s="192" t="str">
        <f t="shared" ref="BL71" ca="1" si="557">IF($D71="-","-",$BL$5 + (W71-StartGridY) * (GapYDiff + $BV$7))</f>
        <v>-</v>
      </c>
      <c r="BM71" s="192" t="str">
        <f t="shared" ref="BM71:BM134" ca="1" si="558">IF(D71="-","-",IFERROR(INDEX($BW$7:$BW$35,MATCH(I71,$BS$7:$BS$35,0)),$BW$7))</f>
        <v>-</v>
      </c>
      <c r="BN71" s="192" t="str">
        <f t="shared" ref="BN71:BN134" ca="1" si="559">IF(D71="-","-",IFERROR(INDEX($BV$7:$BV$35,MATCH(I71,$BS$7:$BS$35,0)),$BV$7))</f>
        <v>-</v>
      </c>
      <c r="BO71" s="192" t="str">
        <f t="shared" ref="BO71:BO134" ca="1" si="560">IF($D71="-","-",INDEX($BU$7:$BU$35,MATCH(I71,$BS$7:$BS$35,0)))</f>
        <v>-</v>
      </c>
      <c r="BP71" s="192" t="str">
        <f t="shared" ref="BP71:BP134" ca="1" si="561">F71</f>
        <v>-</v>
      </c>
      <c r="BQ71" s="192" t="str">
        <f ca="1">IF($D71="-","-",IF(LEN(K71)=0,1,IFERROR(MATCH(K71,Dashboard!$L$25:$L$31,0),1)))</f>
        <v>-</v>
      </c>
      <c r="CC71" s="143" t="str">
        <f t="shared" ref="CC71" ca="1" si="562">IF($D71="-","-",IF(COUNTIF(IDSourceRange,E71)&gt;1,1,0))</f>
        <v>-</v>
      </c>
      <c r="CD71" s="143" t="str">
        <f t="shared" ref="CD71" ca="1" si="563">IF($D71="-","-",  IF(LEN(M71)=0,0,IF(ISERROR(MATCH(M71,IDSourceRange,0)),1,0)) + IF(LEN(N71)=0,0,IF(ISERROR(MATCH(N71,IDSourceRange,0)),1,0)) + IF(LEN(O71)=0,0,IF(ISERROR(MATCH(O71,IDSourceRange,0)),1,0)) )</f>
        <v>-</v>
      </c>
      <c r="CE71" s="143" t="str">
        <f t="shared" ca="1" si="51"/>
        <v>-</v>
      </c>
      <c r="CF71" s="143" t="s">
        <v>128</v>
      </c>
      <c r="CG71" s="143" t="str">
        <f t="shared" ref="CG71" ca="1" si="564">IF($D71="-","-",IF(X71="-",0,IF(COUNTIF(GridCombinedRange,X71)&gt;1,1,0)))</f>
        <v>-</v>
      </c>
      <c r="CH71" s="143"/>
      <c r="CI71" s="143"/>
      <c r="CJ71" s="143"/>
      <c r="CK71" s="143"/>
      <c r="CL71" s="143"/>
    </row>
    <row r="72" spans="3:90" x14ac:dyDescent="0.3">
      <c r="C72" s="170">
        <v>66</v>
      </c>
      <c r="D72" s="111" t="str">
        <f ca="1">IF(COUNTA(OFFSET(Dashboard!$B$6,C72,0,1,COUNTA(Dashboard!$B$6:$H$6)))&gt;0,"Yes","-")</f>
        <v>-</v>
      </c>
      <c r="E72" s="221" t="str">
        <f ca="1">IF(D72="-","-",IF(LEN(INDEX(Dashboard!B$6:B$228,$C72+1))=0,"x"&amp;C72&amp;"x","x"&amp;INDEX(Dashboard!B$6:B$228,$C72+1)&amp;"x"))</f>
        <v>-</v>
      </c>
      <c r="F72" s="171" t="str">
        <f ca="1">IF(D72="-","-",IF(LEN(INDEX(Dashboard!$C$6:$C$206,C72+1))=0," ",INDEX(Dashboard!$C$6:$C$206,C72+1)))</f>
        <v>-</v>
      </c>
      <c r="G72" s="219" t="str">
        <f ca="1">IF(OR(D72="-",D72=""),"-",IF(LEN(INDEX(Dashboard!$D$6:$D$228,C72+1))=0,"", "x"&amp;SUBSTITUTE(SUBSTITUTE(INDEX(Dashboard!$D$6:$D$228,C72+1)," ",""),",","x,x")&amp;"x"))</f>
        <v>-</v>
      </c>
      <c r="H72" s="111" t="str">
        <f ca="1">IF(D72="-","-",TRIM(INDEX(Dashboard!$E$6:$E$206,C72+1)))</f>
        <v>-</v>
      </c>
      <c r="I72" s="111" t="str">
        <f ca="1">IF(D72="-","-",IF(LEN(INDEX(Dashboard!$F$6:$F$206,C72+1))=0,$BS$8,IF(ISERROR(MATCH(INDEX(Dashboard!$F$6:$F$206,C72+1),$BS$7:$BS$35,0)),$BS$8,INDEX(Dashboard!$F$6:$F$206,C72+1))))</f>
        <v>-</v>
      </c>
      <c r="J72" s="111" t="str">
        <f ca="1">IF(D72="-","-",SUBSTITUTE(INDEX(Dashboard!$G$6:$G$206,C72+1)," ",""))</f>
        <v>-</v>
      </c>
      <c r="K72" s="111" t="str">
        <f ca="1">IF(D72="-","-",IF(LEN(INDEX(Dashboard!$H$6:$H$206,C72+1))=0,"",INDEX(Dashboard!$H$6:$H$206,C72+1)))</f>
        <v>-</v>
      </c>
      <c r="M72" s="172" t="str">
        <f t="shared" ca="1" si="514"/>
        <v>-</v>
      </c>
      <c r="N72" s="172" t="str">
        <f t="shared" ca="1" si="514"/>
        <v>-</v>
      </c>
      <c r="O72" s="172" t="str">
        <f t="shared" ca="1" si="514"/>
        <v>-</v>
      </c>
      <c r="P72" s="173" t="str">
        <f t="shared" ca="1" si="548"/>
        <v>-</v>
      </c>
      <c r="Q72" s="172" t="str">
        <f t="shared" ca="1" si="548"/>
        <v>-</v>
      </c>
      <c r="R72" s="172" t="str">
        <f t="shared" ca="1" si="548"/>
        <v>-</v>
      </c>
      <c r="S72" s="174" t="str">
        <f t="array" aca="1" ref="S72" ca="1">IF($D72="-","-",SUM(IF(LEN(M72:O72)&gt;0,1,0)))</f>
        <v>-</v>
      </c>
      <c r="T72" s="175" t="str">
        <f t="array" aca="1" ref="T72" ca="1">IF(D72="-","-",SUM(IF(ISERROR(SEARCH(E72,$G$7:$G$206)),0,1)))</f>
        <v>-</v>
      </c>
      <c r="V72" s="204"/>
      <c r="W72" s="127"/>
      <c r="X72" s="177" t="str">
        <f t="shared" ref="X72:X135" si="565">IF(AND(LEN(V72)&gt;0,LEN(W72)&gt;0),V72&amp;"-"&amp;W72,"-")</f>
        <v>-</v>
      </c>
      <c r="Y72" s="178"/>
      <c r="Z72" s="127"/>
      <c r="AB72" s="179" t="str">
        <f t="shared" ca="1" si="549"/>
        <v>-</v>
      </c>
      <c r="AC72" s="179" t="str">
        <f t="shared" ca="1" si="549"/>
        <v>-</v>
      </c>
      <c r="AD72" s="179" t="str">
        <f t="shared" ca="1" si="549"/>
        <v>-</v>
      </c>
      <c r="AJ72" s="181" t="str">
        <f t="shared" ca="1" si="550"/>
        <v>-</v>
      </c>
      <c r="AK72" s="179" t="str">
        <f t="shared" ca="1" si="551"/>
        <v>-</v>
      </c>
      <c r="AL72" s="179" t="str">
        <f t="shared" ca="1" si="551"/>
        <v>-</v>
      </c>
      <c r="AM72" s="179" t="str">
        <f t="shared" ca="1" si="551"/>
        <v>-</v>
      </c>
      <c r="AO72" s="182" t="str">
        <f t="shared" ca="1" si="552"/>
        <v>-</v>
      </c>
      <c r="AP72" s="182" t="str">
        <f t="shared" ca="1" si="552"/>
        <v>-</v>
      </c>
      <c r="AQ72" s="182" t="str">
        <f t="shared" ca="1" si="552"/>
        <v>-</v>
      </c>
      <c r="AU72" s="185" t="str">
        <f t="shared" ref="AU72" ca="1" si="566">IF($D72="-","-",IF(LEN(M72)=0,"", INDEX($AT$7:$AT$15,MATCH(IF($V72-INDEX(GridXRange,P72)&lt;0,"Negative",IF($V72-INDEX(GridXRange,P72)&gt;0,"Positive","Zero")) &amp; " - " &amp;IF($W72-INDEX(GridYRange,P72)&lt;0,"Negative",IF($W72-INDEX(GridYRange,P72)&gt;0,"Positive","Zero")),$AS$7:$AS$15,0))))</f>
        <v>-</v>
      </c>
      <c r="AV72" s="186" t="str">
        <f t="shared" ref="AV72" ca="1" si="567">IF($D72="-","-",IF(LEN(N72)=0,"", INDEX($AT$7:$AT$15,MATCH(IF($V72-INDEX(GridXRange,Q72)&lt;0,"Negative",IF($V72-INDEX(GridXRange,Q72)&gt;0,"Positive","Zero")) &amp; " - " &amp;IF($W72-INDEX(GridYRange,Q72)&lt;0,"Negative",IF($W72-INDEX(GridYRange,Q72)&gt;0,"Positive","Zero")),$AS$7:$AS$15,0))))</f>
        <v>-</v>
      </c>
      <c r="AW72" s="186" t="str">
        <f t="shared" ref="AW72" ca="1" si="568">IF($D72="-","-",IF(LEN(O72)=0,"", INDEX($AT$7:$AT$15,MATCH(IF($V72-INDEX(GridXRange,R72)&lt;0,"Negative",IF($V72-INDEX(GridXRange,R72)&gt;0,"Positive","Zero")) &amp; " - " &amp;IF($W72-INDEX(GridYRange,R72)&lt;0,"Negative",IF($W72-INDEX(GridYRange,R72)&gt;0,"Positive","Zero")),$AS$7:$AS$15,0))))</f>
        <v>-</v>
      </c>
      <c r="AX72" s="187"/>
      <c r="AY72" s="188"/>
      <c r="AZ72" s="188"/>
      <c r="BA72" s="184"/>
      <c r="BB72" s="187" t="str">
        <f t="shared" ca="1" si="518"/>
        <v>-</v>
      </c>
      <c r="BC72" s="188" t="str">
        <f t="shared" ca="1" si="518"/>
        <v>-</v>
      </c>
      <c r="BD72" s="188" t="str">
        <f t="shared" ca="1" si="518"/>
        <v>-</v>
      </c>
      <c r="BE72" s="189" t="str">
        <f t="shared" ca="1" si="518"/>
        <v>-</v>
      </c>
      <c r="BF72" s="213" t="s">
        <v>128</v>
      </c>
      <c r="BG72" s="188" t="s">
        <v>128</v>
      </c>
      <c r="BH72" s="188" t="s">
        <v>128</v>
      </c>
      <c r="BI72" s="213"/>
      <c r="BK72" s="192" t="str">
        <f t="shared" ref="BK72" ca="1" si="569">IF($D72="-","-",$BK$5 + (V72-StartGridX) * (GapXDiff + $BW$7))</f>
        <v>-</v>
      </c>
      <c r="BL72" s="192" t="str">
        <f t="shared" ref="BL72" ca="1" si="570">IF($D72="-","-",$BL$5 + (W72-StartGridY) * (GapYDiff + $BV$7))</f>
        <v>-</v>
      </c>
      <c r="BM72" s="192" t="str">
        <f t="shared" ca="1" si="558"/>
        <v>-</v>
      </c>
      <c r="BN72" s="192" t="str">
        <f t="shared" ca="1" si="559"/>
        <v>-</v>
      </c>
      <c r="BO72" s="192" t="str">
        <f t="shared" ca="1" si="560"/>
        <v>-</v>
      </c>
      <c r="BP72" s="192" t="str">
        <f t="shared" ca="1" si="561"/>
        <v>-</v>
      </c>
      <c r="BQ72" s="192" t="str">
        <f ca="1">IF($D72="-","-",IF(LEN(K72)=0,1,IFERROR(MATCH(K72,Dashboard!$L$25:$L$31,0),1)))</f>
        <v>-</v>
      </c>
      <c r="CC72" s="143" t="str">
        <f t="shared" ref="CC72" ca="1" si="571">IF($D72="-","-",IF(COUNTIF(IDSourceRange,E72)&gt;1,1,0))</f>
        <v>-</v>
      </c>
      <c r="CD72" s="143" t="str">
        <f t="shared" ref="CD72" ca="1" si="572">IF($D72="-","-",  IF(LEN(M72)=0,0,IF(ISERROR(MATCH(M72,IDSourceRange,0)),1,0)) + IF(LEN(N72)=0,0,IF(ISERROR(MATCH(N72,IDSourceRange,0)),1,0)) + IF(LEN(O72)=0,0,IF(ISERROR(MATCH(O72,IDSourceRange,0)),1,0)) )</f>
        <v>-</v>
      </c>
      <c r="CE72" s="143" t="str">
        <f t="shared" ca="1" si="51"/>
        <v>-</v>
      </c>
      <c r="CF72" s="143" t="s">
        <v>128</v>
      </c>
      <c r="CG72" s="143" t="str">
        <f t="shared" ref="CG72" ca="1" si="573">IF($D72="-","-",IF(X72="-",0,IF(COUNTIF(GridCombinedRange,X72)&gt;1,1,0)))</f>
        <v>-</v>
      </c>
      <c r="CH72" s="143"/>
      <c r="CI72" s="143"/>
      <c r="CJ72" s="143"/>
      <c r="CK72" s="143"/>
      <c r="CL72" s="143"/>
    </row>
    <row r="73" spans="3:90" x14ac:dyDescent="0.3">
      <c r="C73" s="170">
        <v>67</v>
      </c>
      <c r="D73" s="111" t="str">
        <f ca="1">IF(COUNTA(OFFSET(Dashboard!$B$6,C73,0,1,COUNTA(Dashboard!$B$6:$H$6)))&gt;0,"Yes","-")</f>
        <v>-</v>
      </c>
      <c r="E73" s="170" t="str">
        <f ca="1">IF(D73="-","-",IF(LEN(INDEX(Dashboard!B$6:B$206,$C73+1))=0,"x"&amp;C73&amp;"x","x"&amp;INDEX(Dashboard!B$6:B$206,$C73+1)&amp;"x"))</f>
        <v>-</v>
      </c>
      <c r="F73" s="171" t="str">
        <f ca="1">IF(D73="-","-",IF(LEN(INDEX(Dashboard!$C$6:$C$206,C73+1))=0," ",INDEX(Dashboard!$C$6:$C$206,C73+1)))</f>
        <v>-</v>
      </c>
      <c r="G73" s="219" t="str">
        <f ca="1">IF(OR(D73="-",D73=""),"-",IF(LEN(INDEX(Dashboard!$D$6:$D$228,C73+1))=0,"", "x"&amp;SUBSTITUTE(SUBSTITUTE(INDEX(Dashboard!$D$6:$D$228,C73+1)," ",""),",","x,x")&amp;"x"))</f>
        <v>-</v>
      </c>
      <c r="H73" s="111" t="str">
        <f ca="1">IF(D73="-","-",TRIM(INDEX(Dashboard!$E$6:$E$206,C73+1)))</f>
        <v>-</v>
      </c>
      <c r="I73" s="111" t="str">
        <f ca="1">IF(D73="-","-",IF(LEN(INDEX(Dashboard!$F$6:$F$206,C73+1))=0,$BS$8,IF(ISERROR(MATCH(INDEX(Dashboard!$F$6:$F$206,C73+1),$BS$7:$BS$35,0)),$BS$8,INDEX(Dashboard!$F$6:$F$206,C73+1))))</f>
        <v>-</v>
      </c>
      <c r="J73" s="111" t="str">
        <f ca="1">IF(D73="-","-",SUBSTITUTE(INDEX(Dashboard!$G$6:$G$206,C73+1)," ",""))</f>
        <v>-</v>
      </c>
      <c r="K73" s="111" t="str">
        <f ca="1">IF(D73="-","-",IF(LEN(INDEX(Dashboard!$H$6:$H$206,C73+1))=0,"",INDEX(Dashboard!$H$6:$H$206,C73+1)))</f>
        <v>-</v>
      </c>
      <c r="M73" s="172" t="str">
        <f t="shared" ca="1" si="514"/>
        <v>-</v>
      </c>
      <c r="N73" s="172" t="str">
        <f t="shared" ca="1" si="514"/>
        <v>-</v>
      </c>
      <c r="O73" s="172" t="str">
        <f t="shared" ca="1" si="514"/>
        <v>-</v>
      </c>
      <c r="P73" s="173" t="str">
        <f t="shared" ca="1" si="548"/>
        <v>-</v>
      </c>
      <c r="Q73" s="172" t="str">
        <f t="shared" ca="1" si="548"/>
        <v>-</v>
      </c>
      <c r="R73" s="172" t="str">
        <f t="shared" ca="1" si="548"/>
        <v>-</v>
      </c>
      <c r="S73" s="174" t="str">
        <f t="array" aca="1" ref="S73" ca="1">IF($D73="-","-",SUM(IF(LEN(M73:O73)&gt;0,1,0)))</f>
        <v>-</v>
      </c>
      <c r="T73" s="175" t="str">
        <f t="array" aca="1" ref="T73" ca="1">IF(D73="-","-",SUM(IF(ISERROR(SEARCH(E73,$G$7:$G$206)),0,1)))</f>
        <v>-</v>
      </c>
      <c r="V73" s="204"/>
      <c r="W73" s="127"/>
      <c r="X73" s="177" t="str">
        <f t="shared" si="565"/>
        <v>-</v>
      </c>
      <c r="Y73" s="178"/>
      <c r="Z73" s="127"/>
      <c r="AB73" s="179" t="str">
        <f t="shared" ca="1" si="549"/>
        <v>-</v>
      </c>
      <c r="AC73" s="179" t="str">
        <f t="shared" ca="1" si="549"/>
        <v>-</v>
      </c>
      <c r="AD73" s="179" t="str">
        <f t="shared" ca="1" si="549"/>
        <v>-</v>
      </c>
      <c r="AJ73" s="181" t="str">
        <f t="shared" ca="1" si="550"/>
        <v>-</v>
      </c>
      <c r="AK73" s="179" t="str">
        <f t="shared" ca="1" si="551"/>
        <v>-</v>
      </c>
      <c r="AL73" s="179" t="str">
        <f t="shared" ca="1" si="551"/>
        <v>-</v>
      </c>
      <c r="AM73" s="179" t="str">
        <f t="shared" ca="1" si="551"/>
        <v>-</v>
      </c>
      <c r="AO73" s="182" t="str">
        <f t="shared" ca="1" si="552"/>
        <v>-</v>
      </c>
      <c r="AP73" s="182" t="str">
        <f t="shared" ca="1" si="552"/>
        <v>-</v>
      </c>
      <c r="AQ73" s="182" t="str">
        <f t="shared" ca="1" si="552"/>
        <v>-</v>
      </c>
      <c r="AU73" s="185" t="str">
        <f t="shared" ref="AU73" ca="1" si="574">IF($D73="-","-",IF(LEN(M73)=0,"", INDEX($AT$7:$AT$15,MATCH(IF($V73-INDEX(GridXRange,P73)&lt;0,"Negative",IF($V73-INDEX(GridXRange,P73)&gt;0,"Positive","Zero")) &amp; " - " &amp;IF($W73-INDEX(GridYRange,P73)&lt;0,"Negative",IF($W73-INDEX(GridYRange,P73)&gt;0,"Positive","Zero")),$AS$7:$AS$15,0))))</f>
        <v>-</v>
      </c>
      <c r="AV73" s="186" t="str">
        <f t="shared" ref="AV73" ca="1" si="575">IF($D73="-","-",IF(LEN(N73)=0,"", INDEX($AT$7:$AT$15,MATCH(IF($V73-INDEX(GridXRange,Q73)&lt;0,"Negative",IF($V73-INDEX(GridXRange,Q73)&gt;0,"Positive","Zero")) &amp; " - " &amp;IF($W73-INDEX(GridYRange,Q73)&lt;0,"Negative",IF($W73-INDEX(GridYRange,Q73)&gt;0,"Positive","Zero")),$AS$7:$AS$15,0))))</f>
        <v>-</v>
      </c>
      <c r="AW73" s="186" t="str">
        <f t="shared" ref="AW73" ca="1" si="576">IF($D73="-","-",IF(LEN(O73)=0,"", INDEX($AT$7:$AT$15,MATCH(IF($V73-INDEX(GridXRange,R73)&lt;0,"Negative",IF($V73-INDEX(GridXRange,R73)&gt;0,"Positive","Zero")) &amp; " - " &amp;IF($W73-INDEX(GridYRange,R73)&lt;0,"Negative",IF($W73-INDEX(GridYRange,R73)&gt;0,"Positive","Zero")),$AS$7:$AS$15,0))))</f>
        <v>-</v>
      </c>
      <c r="AX73" s="187"/>
      <c r="AY73" s="188"/>
      <c r="AZ73" s="188"/>
      <c r="BA73" s="184"/>
      <c r="BB73" s="187" t="str">
        <f t="shared" ca="1" si="518"/>
        <v>-</v>
      </c>
      <c r="BC73" s="188" t="str">
        <f t="shared" ca="1" si="518"/>
        <v>-</v>
      </c>
      <c r="BD73" s="188" t="str">
        <f t="shared" ca="1" si="518"/>
        <v>-</v>
      </c>
      <c r="BE73" s="189" t="str">
        <f t="shared" ca="1" si="518"/>
        <v>-</v>
      </c>
      <c r="BF73" s="213" t="s">
        <v>128</v>
      </c>
      <c r="BG73" s="188" t="s">
        <v>128</v>
      </c>
      <c r="BH73" s="188" t="s">
        <v>128</v>
      </c>
      <c r="BI73" s="213"/>
      <c r="BK73" s="192" t="str">
        <f t="shared" ref="BK73" ca="1" si="577">IF($D73="-","-",$BK$5 + (V73-StartGridX) * (GapXDiff + $BW$7))</f>
        <v>-</v>
      </c>
      <c r="BL73" s="192" t="str">
        <f t="shared" ref="BL73" ca="1" si="578">IF($D73="-","-",$BL$5 + (W73-StartGridY) * (GapYDiff + $BV$7))</f>
        <v>-</v>
      </c>
      <c r="BM73" s="192" t="str">
        <f t="shared" ca="1" si="558"/>
        <v>-</v>
      </c>
      <c r="BN73" s="192" t="str">
        <f t="shared" ca="1" si="559"/>
        <v>-</v>
      </c>
      <c r="BO73" s="192" t="str">
        <f t="shared" ca="1" si="560"/>
        <v>-</v>
      </c>
      <c r="BP73" s="192" t="str">
        <f t="shared" ca="1" si="561"/>
        <v>-</v>
      </c>
      <c r="BQ73" s="192" t="str">
        <f ca="1">IF($D73="-","-",IF(LEN(K73)=0,1,IFERROR(MATCH(K73,Dashboard!$L$25:$L$31,0),1)))</f>
        <v>-</v>
      </c>
      <c r="CC73" s="143" t="str">
        <f t="shared" ref="CC73" ca="1" si="579">IF($D73="-","-",IF(COUNTIF(IDSourceRange,E73)&gt;1,1,0))</f>
        <v>-</v>
      </c>
      <c r="CD73" s="143" t="str">
        <f t="shared" ref="CD73" ca="1" si="580">IF($D73="-","-",  IF(LEN(M73)=0,0,IF(ISERROR(MATCH(M73,IDSourceRange,0)),1,0)) + IF(LEN(N73)=0,0,IF(ISERROR(MATCH(N73,IDSourceRange,0)),1,0)) + IF(LEN(O73)=0,0,IF(ISERROR(MATCH(O73,IDSourceRange,0)),1,0)) )</f>
        <v>-</v>
      </c>
      <c r="CE73" s="143" t="str">
        <f t="shared" ca="1" si="51"/>
        <v>-</v>
      </c>
      <c r="CF73" s="143" t="s">
        <v>128</v>
      </c>
      <c r="CG73" s="143" t="str">
        <f t="shared" ref="CG73" ca="1" si="581">IF($D73="-","-",IF(X73="-",0,IF(COUNTIF(GridCombinedRange,X73)&gt;1,1,0)))</f>
        <v>-</v>
      </c>
      <c r="CH73" s="143"/>
      <c r="CI73" s="143"/>
      <c r="CJ73" s="143"/>
      <c r="CK73" s="143"/>
      <c r="CL73" s="143"/>
    </row>
    <row r="74" spans="3:90" x14ac:dyDescent="0.3">
      <c r="C74" s="170">
        <v>68</v>
      </c>
      <c r="D74" s="111" t="str">
        <f ca="1">IF(COUNTA(OFFSET(Dashboard!$B$6,C74,0,1,COUNTA(Dashboard!$B$6:$H$6)))&gt;0,"Yes","-")</f>
        <v>-</v>
      </c>
      <c r="E74" s="170" t="str">
        <f ca="1">IF(D74="-","-",IF(LEN(INDEX(Dashboard!B$6:B$206,$C74+1))=0,"x"&amp;C74&amp;"x","x"&amp;INDEX(Dashboard!B$6:B$206,$C74+1)&amp;"x"))</f>
        <v>-</v>
      </c>
      <c r="F74" s="171" t="str">
        <f ca="1">IF(D74="-","-",IF(LEN(INDEX(Dashboard!$C$6:$C$206,C74+1))=0," ",INDEX(Dashboard!$C$6:$C$206,C74+1)))</f>
        <v>-</v>
      </c>
      <c r="G74" s="219" t="str">
        <f ca="1">IF(OR(D74="-",D74=""),"-",IF(LEN(INDEX(Dashboard!$D$6:$D$228,C74+1))=0,"", "x"&amp;SUBSTITUTE(SUBSTITUTE(INDEX(Dashboard!$D$6:$D$228,C74+1)," ",""),",","x,x")&amp;"x"))</f>
        <v>-</v>
      </c>
      <c r="H74" s="111" t="str">
        <f ca="1">IF(D74="-","-",TRIM(INDEX(Dashboard!$E$6:$E$206,C74+1)))</f>
        <v>-</v>
      </c>
      <c r="I74" s="111" t="str">
        <f ca="1">IF(D74="-","-",IF(LEN(INDEX(Dashboard!$F$6:$F$206,C74+1))=0,$BS$8,IF(ISERROR(MATCH(INDEX(Dashboard!$F$6:$F$206,C74+1),$BS$7:$BS$35,0)),$BS$8,INDEX(Dashboard!$F$6:$F$206,C74+1))))</f>
        <v>-</v>
      </c>
      <c r="J74" s="111" t="str">
        <f ca="1">IF(D74="-","-",SUBSTITUTE(INDEX(Dashboard!$G$6:$G$206,C74+1)," ",""))</f>
        <v>-</v>
      </c>
      <c r="K74" s="111" t="str">
        <f ca="1">IF(D74="-","-",IF(LEN(INDEX(Dashboard!$H$6:$H$206,C74+1))=0,"",INDEX(Dashboard!$H$6:$H$206,C74+1)))</f>
        <v>-</v>
      </c>
      <c r="M74" s="172" t="str">
        <f t="shared" ca="1" si="514"/>
        <v>-</v>
      </c>
      <c r="N74" s="172" t="str">
        <f t="shared" ca="1" si="514"/>
        <v>-</v>
      </c>
      <c r="O74" s="172" t="str">
        <f t="shared" ca="1" si="514"/>
        <v>-</v>
      </c>
      <c r="P74" s="173" t="str">
        <f t="shared" ca="1" si="548"/>
        <v>-</v>
      </c>
      <c r="Q74" s="172" t="str">
        <f t="shared" ca="1" si="548"/>
        <v>-</v>
      </c>
      <c r="R74" s="172" t="str">
        <f t="shared" ca="1" si="548"/>
        <v>-</v>
      </c>
      <c r="S74" s="174" t="str">
        <f t="array" aca="1" ref="S74" ca="1">IF($D74="-","-",SUM(IF(LEN(M74:O74)&gt;0,1,0)))</f>
        <v>-</v>
      </c>
      <c r="T74" s="175" t="str">
        <f t="array" aca="1" ref="T74" ca="1">IF(D74="-","-",SUM(IF(ISERROR(SEARCH(E74,$G$7:$G$206)),0,1)))</f>
        <v>-</v>
      </c>
      <c r="V74" s="204"/>
      <c r="W74" s="127"/>
      <c r="X74" s="177" t="str">
        <f t="shared" si="565"/>
        <v>-</v>
      </c>
      <c r="Y74" s="178"/>
      <c r="Z74" s="127"/>
      <c r="AB74" s="179" t="str">
        <f t="shared" ca="1" si="549"/>
        <v>-</v>
      </c>
      <c r="AC74" s="179" t="str">
        <f t="shared" ca="1" si="549"/>
        <v>-</v>
      </c>
      <c r="AD74" s="179" t="str">
        <f t="shared" ca="1" si="549"/>
        <v>-</v>
      </c>
      <c r="AJ74" s="181" t="str">
        <f t="shared" ca="1" si="550"/>
        <v>-</v>
      </c>
      <c r="AK74" s="179" t="str">
        <f t="shared" ca="1" si="551"/>
        <v>-</v>
      </c>
      <c r="AL74" s="179" t="str">
        <f t="shared" ca="1" si="551"/>
        <v>-</v>
      </c>
      <c r="AM74" s="179" t="str">
        <f t="shared" ca="1" si="551"/>
        <v>-</v>
      </c>
      <c r="AO74" s="182" t="str">
        <f t="shared" ca="1" si="552"/>
        <v>-</v>
      </c>
      <c r="AP74" s="182" t="str">
        <f t="shared" ca="1" si="552"/>
        <v>-</v>
      </c>
      <c r="AQ74" s="182" t="str">
        <f t="shared" ca="1" si="552"/>
        <v>-</v>
      </c>
      <c r="AU74" s="185" t="str">
        <f t="shared" ref="AU74" ca="1" si="582">IF($D74="-","-",IF(LEN(M74)=0,"", INDEX($AT$7:$AT$15,MATCH(IF($V74-INDEX(GridXRange,P74)&lt;0,"Negative",IF($V74-INDEX(GridXRange,P74)&gt;0,"Positive","Zero")) &amp; " - " &amp;IF($W74-INDEX(GridYRange,P74)&lt;0,"Negative",IF($W74-INDEX(GridYRange,P74)&gt;0,"Positive","Zero")),$AS$7:$AS$15,0))))</f>
        <v>-</v>
      </c>
      <c r="AV74" s="186" t="str">
        <f t="shared" ref="AV74" ca="1" si="583">IF($D74="-","-",IF(LEN(N74)=0,"", INDEX($AT$7:$AT$15,MATCH(IF($V74-INDEX(GridXRange,Q74)&lt;0,"Negative",IF($V74-INDEX(GridXRange,Q74)&gt;0,"Positive","Zero")) &amp; " - " &amp;IF($W74-INDEX(GridYRange,Q74)&lt;0,"Negative",IF($W74-INDEX(GridYRange,Q74)&gt;0,"Positive","Zero")),$AS$7:$AS$15,0))))</f>
        <v>-</v>
      </c>
      <c r="AW74" s="186" t="str">
        <f t="shared" ref="AW74" ca="1" si="584">IF($D74="-","-",IF(LEN(O74)=0,"", INDEX($AT$7:$AT$15,MATCH(IF($V74-INDEX(GridXRange,R74)&lt;0,"Negative",IF($V74-INDEX(GridXRange,R74)&gt;0,"Positive","Zero")) &amp; " - " &amp;IF($W74-INDEX(GridYRange,R74)&lt;0,"Negative",IF($W74-INDEX(GridYRange,R74)&gt;0,"Positive","Zero")),$AS$7:$AS$15,0))))</f>
        <v>-</v>
      </c>
      <c r="AX74" s="187"/>
      <c r="AY74" s="188"/>
      <c r="AZ74" s="188"/>
      <c r="BA74" s="184"/>
      <c r="BB74" s="187" t="str">
        <f t="shared" ca="1" si="518"/>
        <v>-</v>
      </c>
      <c r="BC74" s="188" t="str">
        <f t="shared" ca="1" si="518"/>
        <v>-</v>
      </c>
      <c r="BD74" s="188" t="str">
        <f t="shared" ca="1" si="518"/>
        <v>-</v>
      </c>
      <c r="BE74" s="189" t="str">
        <f t="shared" ca="1" si="518"/>
        <v>-</v>
      </c>
      <c r="BF74" s="213" t="s">
        <v>128</v>
      </c>
      <c r="BG74" s="188" t="s">
        <v>128</v>
      </c>
      <c r="BH74" s="188" t="s">
        <v>128</v>
      </c>
      <c r="BI74" s="213"/>
      <c r="BK74" s="192" t="str">
        <f t="shared" ref="BK74" ca="1" si="585">IF($D74="-","-",$BK$5 + (V74-StartGridX) * (GapXDiff + $BW$7))</f>
        <v>-</v>
      </c>
      <c r="BL74" s="192" t="str">
        <f t="shared" ref="BL74" ca="1" si="586">IF($D74="-","-",$BL$5 + (W74-StartGridY) * (GapYDiff + $BV$7))</f>
        <v>-</v>
      </c>
      <c r="BM74" s="192" t="str">
        <f t="shared" ca="1" si="558"/>
        <v>-</v>
      </c>
      <c r="BN74" s="192" t="str">
        <f t="shared" ca="1" si="559"/>
        <v>-</v>
      </c>
      <c r="BO74" s="192" t="str">
        <f t="shared" ca="1" si="560"/>
        <v>-</v>
      </c>
      <c r="BP74" s="192" t="str">
        <f t="shared" ca="1" si="561"/>
        <v>-</v>
      </c>
      <c r="BQ74" s="192" t="str">
        <f ca="1">IF($D74="-","-",IF(LEN(K74)=0,1,IFERROR(MATCH(K74,Dashboard!$L$25:$L$31,0),1)))</f>
        <v>-</v>
      </c>
      <c r="CC74" s="143" t="str">
        <f t="shared" ref="CC74" ca="1" si="587">IF($D74="-","-",IF(COUNTIF(IDSourceRange,E74)&gt;1,1,0))</f>
        <v>-</v>
      </c>
      <c r="CD74" s="143" t="str">
        <f t="shared" ref="CD74" ca="1" si="588">IF($D74="-","-",  IF(LEN(M74)=0,0,IF(ISERROR(MATCH(M74,IDSourceRange,0)),1,0)) + IF(LEN(N74)=0,0,IF(ISERROR(MATCH(N74,IDSourceRange,0)),1,0)) + IF(LEN(O74)=0,0,IF(ISERROR(MATCH(O74,IDSourceRange,0)),1,0)) )</f>
        <v>-</v>
      </c>
      <c r="CE74" s="143" t="str">
        <f t="shared" ref="CE74:CE137" ca="1" si="589">IF($D74="-","-",IF(LEN(AB74)=0,0,IF(ISERROR(MATCH(AB74,$AF$7:$AF$17,0)),1,0)) + IF(LEN(AC74)=0,0,IF(ISERROR(MATCH(AC74,$AF$7:$AF$17,0)),1,0)) + IF(LEN(AD74)=0,0,IF(ISERROR(MATCH(AD74,$AF$7:$AF$17,0)),1,0)))</f>
        <v>-</v>
      </c>
      <c r="CF74" s="143" t="s">
        <v>128</v>
      </c>
      <c r="CG74" s="143" t="str">
        <f t="shared" ref="CG74" ca="1" si="590">IF($D74="-","-",IF(X74="-",0,IF(COUNTIF(GridCombinedRange,X74)&gt;1,1,0)))</f>
        <v>-</v>
      </c>
      <c r="CH74" s="143"/>
      <c r="CI74" s="143"/>
      <c r="CJ74" s="143"/>
      <c r="CK74" s="143"/>
      <c r="CL74" s="143"/>
    </row>
    <row r="75" spans="3:90" x14ac:dyDescent="0.3">
      <c r="C75" s="170">
        <v>69</v>
      </c>
      <c r="D75" s="111" t="str">
        <f ca="1">IF(COUNTA(OFFSET(Dashboard!$B$6,C75,0,1,COUNTA(Dashboard!$B$6:$H$6)))&gt;0,"Yes","-")</f>
        <v>-</v>
      </c>
      <c r="E75" s="170" t="str">
        <f ca="1">IF(D75="-","-",IF(LEN(INDEX(Dashboard!B$6:B$206,$C75+1))=0,"x"&amp;C75&amp;"x","x"&amp;INDEX(Dashboard!B$6:B$206,$C75+1)&amp;"x"))</f>
        <v>-</v>
      </c>
      <c r="F75" s="171" t="str">
        <f ca="1">IF(D75="-","-",IF(LEN(INDEX(Dashboard!$C$6:$C$206,C75+1))=0," ",INDEX(Dashboard!$C$6:$C$206,C75+1)))</f>
        <v>-</v>
      </c>
      <c r="G75" s="219" t="str">
        <f ca="1">IF(OR(D75="-",D75=""),"-",IF(LEN(INDEX(Dashboard!$D$6:$D$228,C75+1))=0,"", "x"&amp;SUBSTITUTE(SUBSTITUTE(INDEX(Dashboard!$D$6:$D$228,C75+1)," ",""),",","x,x")&amp;"x"))</f>
        <v>-</v>
      </c>
      <c r="H75" s="111" t="str">
        <f ca="1">IF(D75="-","-",TRIM(INDEX(Dashboard!$E$6:$E$206,C75+1)))</f>
        <v>-</v>
      </c>
      <c r="I75" s="111" t="str">
        <f ca="1">IF(D75="-","-",IF(LEN(INDEX(Dashboard!$F$6:$F$206,C75+1))=0,$BS$8,IF(ISERROR(MATCH(INDEX(Dashboard!$F$6:$F$206,C75+1),$BS$7:$BS$35,0)),$BS$8,INDEX(Dashboard!$F$6:$F$206,C75+1))))</f>
        <v>-</v>
      </c>
      <c r="J75" s="111" t="str">
        <f ca="1">IF(D75="-","-",SUBSTITUTE(INDEX(Dashboard!$G$6:$G$206,C75+1)," ",""))</f>
        <v>-</v>
      </c>
      <c r="K75" s="111" t="str">
        <f ca="1">IF(D75="-","-",IF(LEN(INDEX(Dashboard!$H$6:$H$206,C75+1))=0,"",INDEX(Dashboard!$H$6:$H$206,C75+1)))</f>
        <v>-</v>
      </c>
      <c r="M75" s="172" t="str">
        <f t="shared" ca="1" si="514"/>
        <v>-</v>
      </c>
      <c r="N75" s="172" t="str">
        <f t="shared" ca="1" si="514"/>
        <v>-</v>
      </c>
      <c r="O75" s="172" t="str">
        <f t="shared" ca="1" si="514"/>
        <v>-</v>
      </c>
      <c r="P75" s="173" t="str">
        <f t="shared" ca="1" si="548"/>
        <v>-</v>
      </c>
      <c r="Q75" s="172" t="str">
        <f t="shared" ca="1" si="548"/>
        <v>-</v>
      </c>
      <c r="R75" s="172" t="str">
        <f t="shared" ca="1" si="548"/>
        <v>-</v>
      </c>
      <c r="S75" s="174" t="str">
        <f t="array" aca="1" ref="S75" ca="1">IF($D75="-","-",SUM(IF(LEN(M75:O75)&gt;0,1,0)))</f>
        <v>-</v>
      </c>
      <c r="T75" s="175" t="str">
        <f t="array" aca="1" ref="T75" ca="1">IF(D75="-","-",SUM(IF(ISERROR(SEARCH(E75,$G$7:$G$206)),0,1)))</f>
        <v>-</v>
      </c>
      <c r="V75" s="204"/>
      <c r="W75" s="127"/>
      <c r="X75" s="177" t="str">
        <f t="shared" si="565"/>
        <v>-</v>
      </c>
      <c r="Y75" s="178"/>
      <c r="Z75" s="127"/>
      <c r="AB75" s="179" t="str">
        <f t="shared" ca="1" si="549"/>
        <v>-</v>
      </c>
      <c r="AC75" s="179" t="str">
        <f t="shared" ca="1" si="549"/>
        <v>-</v>
      </c>
      <c r="AD75" s="179" t="str">
        <f t="shared" ca="1" si="549"/>
        <v>-</v>
      </c>
      <c r="AJ75" s="181" t="str">
        <f t="shared" ca="1" si="550"/>
        <v>-</v>
      </c>
      <c r="AK75" s="179" t="str">
        <f t="shared" ca="1" si="551"/>
        <v>-</v>
      </c>
      <c r="AL75" s="179" t="str">
        <f t="shared" ca="1" si="551"/>
        <v>-</v>
      </c>
      <c r="AM75" s="179" t="str">
        <f t="shared" ca="1" si="551"/>
        <v>-</v>
      </c>
      <c r="AO75" s="182" t="str">
        <f t="shared" ca="1" si="552"/>
        <v>-</v>
      </c>
      <c r="AP75" s="182" t="str">
        <f t="shared" ca="1" si="552"/>
        <v>-</v>
      </c>
      <c r="AQ75" s="182" t="str">
        <f t="shared" ca="1" si="552"/>
        <v>-</v>
      </c>
      <c r="AU75" s="185" t="str">
        <f t="shared" ref="AU75" ca="1" si="591">IF($D75="-","-",IF(LEN(M75)=0,"", INDEX($AT$7:$AT$15,MATCH(IF($V75-INDEX(GridXRange,P75)&lt;0,"Negative",IF($V75-INDEX(GridXRange,P75)&gt;0,"Positive","Zero")) &amp; " - " &amp;IF($W75-INDEX(GridYRange,P75)&lt;0,"Negative",IF($W75-INDEX(GridYRange,P75)&gt;0,"Positive","Zero")),$AS$7:$AS$15,0))))</f>
        <v>-</v>
      </c>
      <c r="AV75" s="186" t="str">
        <f t="shared" ref="AV75" ca="1" si="592">IF($D75="-","-",IF(LEN(N75)=0,"", INDEX($AT$7:$AT$15,MATCH(IF($V75-INDEX(GridXRange,Q75)&lt;0,"Negative",IF($V75-INDEX(GridXRange,Q75)&gt;0,"Positive","Zero")) &amp; " - " &amp;IF($W75-INDEX(GridYRange,Q75)&lt;0,"Negative",IF($W75-INDEX(GridYRange,Q75)&gt;0,"Positive","Zero")),$AS$7:$AS$15,0))))</f>
        <v>-</v>
      </c>
      <c r="AW75" s="186" t="str">
        <f t="shared" ref="AW75" ca="1" si="593">IF($D75="-","-",IF(LEN(O75)=0,"", INDEX($AT$7:$AT$15,MATCH(IF($V75-INDEX(GridXRange,R75)&lt;0,"Negative",IF($V75-INDEX(GridXRange,R75)&gt;0,"Positive","Zero")) &amp; " - " &amp;IF($W75-INDEX(GridYRange,R75)&lt;0,"Negative",IF($W75-INDEX(GridYRange,R75)&gt;0,"Positive","Zero")),$AS$7:$AS$15,0))))</f>
        <v>-</v>
      </c>
      <c r="AX75" s="187"/>
      <c r="AY75" s="188"/>
      <c r="AZ75" s="188"/>
      <c r="BA75" s="184"/>
      <c r="BB75" s="187" t="str">
        <f t="shared" ca="1" si="518"/>
        <v>-</v>
      </c>
      <c r="BC75" s="188" t="str">
        <f t="shared" ca="1" si="518"/>
        <v>-</v>
      </c>
      <c r="BD75" s="188" t="str">
        <f t="shared" ca="1" si="518"/>
        <v>-</v>
      </c>
      <c r="BE75" s="189" t="str">
        <f t="shared" ca="1" si="518"/>
        <v>-</v>
      </c>
      <c r="BK75" s="192" t="str">
        <f t="shared" ref="BK75" ca="1" si="594">IF($D75="-","-",$BK$5 + (V75-StartGridX) * (GapXDiff + $BW$7))</f>
        <v>-</v>
      </c>
      <c r="BL75" s="192" t="str">
        <f t="shared" ref="BL75" ca="1" si="595">IF($D75="-","-",$BL$5 + (W75-StartGridY) * (GapYDiff + $BV$7))</f>
        <v>-</v>
      </c>
      <c r="BM75" s="192" t="str">
        <f t="shared" ca="1" si="558"/>
        <v>-</v>
      </c>
      <c r="BN75" s="192" t="str">
        <f t="shared" ca="1" si="559"/>
        <v>-</v>
      </c>
      <c r="BO75" s="192" t="str">
        <f t="shared" ca="1" si="560"/>
        <v>-</v>
      </c>
      <c r="BP75" s="192" t="str">
        <f t="shared" ca="1" si="561"/>
        <v>-</v>
      </c>
      <c r="BQ75" s="192" t="str">
        <f ca="1">IF($D75="-","-",IF(LEN(K75)=0,1,IFERROR(MATCH(K75,Dashboard!$L$25:$L$31,0),1)))</f>
        <v>-</v>
      </c>
      <c r="CC75" s="143" t="str">
        <f t="shared" ref="CC75" ca="1" si="596">IF($D75="-","-",IF(COUNTIF(IDSourceRange,E75)&gt;1,1,0))</f>
        <v>-</v>
      </c>
      <c r="CD75" s="143" t="str">
        <f t="shared" ref="CD75" ca="1" si="597">IF($D75="-","-",  IF(LEN(M75)=0,0,IF(ISERROR(MATCH(M75,IDSourceRange,0)),1,0)) + IF(LEN(N75)=0,0,IF(ISERROR(MATCH(N75,IDSourceRange,0)),1,0)) + IF(LEN(O75)=0,0,IF(ISERROR(MATCH(O75,IDSourceRange,0)),1,0)) )</f>
        <v>-</v>
      </c>
      <c r="CE75" s="143" t="str">
        <f t="shared" ca="1" si="589"/>
        <v>-</v>
      </c>
      <c r="CF75" s="143" t="s">
        <v>128</v>
      </c>
      <c r="CG75" s="143" t="str">
        <f t="shared" ref="CG75" ca="1" si="598">IF($D75="-","-",IF(X75="-",0,IF(COUNTIF(GridCombinedRange,X75)&gt;1,1,0)))</f>
        <v>-</v>
      </c>
      <c r="CH75" s="143"/>
      <c r="CI75" s="143"/>
      <c r="CJ75" s="143"/>
      <c r="CK75" s="143"/>
      <c r="CL75" s="143"/>
    </row>
    <row r="76" spans="3:90" x14ac:dyDescent="0.3">
      <c r="C76" s="170">
        <v>70</v>
      </c>
      <c r="D76" s="111" t="str">
        <f ca="1">IF(COUNTA(OFFSET(Dashboard!$B$6,C76,0,1,COUNTA(Dashboard!$B$6:$H$6)))&gt;0,"Yes","-")</f>
        <v>-</v>
      </c>
      <c r="E76" s="170" t="str">
        <f ca="1">IF(D76="-","-",IF(LEN(INDEX(Dashboard!B$6:B$206,$C76+1))=0,"x"&amp;C76&amp;"x","x"&amp;INDEX(Dashboard!B$6:B$206,$C76+1)&amp;"x"))</f>
        <v>-</v>
      </c>
      <c r="F76" s="171" t="str">
        <f ca="1">IF(D76="-","-",IF(LEN(INDEX(Dashboard!$C$6:$C$206,C76+1))=0," ",INDEX(Dashboard!$C$6:$C$206,C76+1)))</f>
        <v>-</v>
      </c>
      <c r="G76" s="219" t="str">
        <f ca="1">IF(OR(D76="-",D76=""),"-",IF(LEN(INDEX(Dashboard!$D$6:$D$228,C76+1))=0,"", "x"&amp;SUBSTITUTE(SUBSTITUTE(INDEX(Dashboard!$D$6:$D$228,C76+1)," ",""),",","x,x")&amp;"x"))</f>
        <v>-</v>
      </c>
      <c r="H76" s="111" t="str">
        <f ca="1">IF(D76="-","-",TRIM(INDEX(Dashboard!$E$6:$E$206,C76+1)))</f>
        <v>-</v>
      </c>
      <c r="I76" s="111" t="str">
        <f ca="1">IF(D76="-","-",IF(LEN(INDEX(Dashboard!$F$6:$F$206,C76+1))=0,$BS$8,IF(ISERROR(MATCH(INDEX(Dashboard!$F$6:$F$206,C76+1),$BS$7:$BS$35,0)),$BS$8,INDEX(Dashboard!$F$6:$F$206,C76+1))))</f>
        <v>-</v>
      </c>
      <c r="J76" s="111" t="str">
        <f ca="1">IF(D76="-","-",SUBSTITUTE(INDEX(Dashboard!$G$6:$G$206,C76+1)," ",""))</f>
        <v>-</v>
      </c>
      <c r="K76" s="111" t="str">
        <f ca="1">IF(D76="-","-",IF(LEN(INDEX(Dashboard!$H$6:$H$206,C76+1))=0,"",INDEX(Dashboard!$H$6:$H$206,C76+1)))</f>
        <v>-</v>
      </c>
      <c r="M76" s="172" t="str">
        <f t="shared" ca="1" si="514"/>
        <v>-</v>
      </c>
      <c r="N76" s="172" t="str">
        <f t="shared" ca="1" si="514"/>
        <v>-</v>
      </c>
      <c r="O76" s="172" t="str">
        <f t="shared" ca="1" si="514"/>
        <v>-</v>
      </c>
      <c r="P76" s="173" t="str">
        <f t="shared" ca="1" si="548"/>
        <v>-</v>
      </c>
      <c r="Q76" s="172" t="str">
        <f t="shared" ca="1" si="548"/>
        <v>-</v>
      </c>
      <c r="R76" s="172" t="str">
        <f t="shared" ca="1" si="548"/>
        <v>-</v>
      </c>
      <c r="S76" s="174" t="str">
        <f t="array" aca="1" ref="S76" ca="1">IF($D76="-","-",SUM(IF(LEN(M76:O76)&gt;0,1,0)))</f>
        <v>-</v>
      </c>
      <c r="T76" s="175" t="str">
        <f t="array" aca="1" ref="T76" ca="1">IF(D76="-","-",SUM(IF(ISERROR(SEARCH(E76,$G$7:$G$206)),0,1)))</f>
        <v>-</v>
      </c>
      <c r="V76" s="204"/>
      <c r="W76" s="127"/>
      <c r="X76" s="177" t="str">
        <f t="shared" si="565"/>
        <v>-</v>
      </c>
      <c r="Y76" s="178"/>
      <c r="Z76" s="127"/>
      <c r="AB76" s="179" t="str">
        <f t="shared" ca="1" si="549"/>
        <v>-</v>
      </c>
      <c r="AC76" s="179" t="str">
        <f t="shared" ca="1" si="549"/>
        <v>-</v>
      </c>
      <c r="AD76" s="179" t="str">
        <f t="shared" ca="1" si="549"/>
        <v>-</v>
      </c>
      <c r="AJ76" s="181" t="str">
        <f t="shared" ca="1" si="550"/>
        <v>-</v>
      </c>
      <c r="AK76" s="179" t="str">
        <f t="shared" ca="1" si="551"/>
        <v>-</v>
      </c>
      <c r="AL76" s="179" t="str">
        <f t="shared" ca="1" si="551"/>
        <v>-</v>
      </c>
      <c r="AM76" s="179" t="str">
        <f t="shared" ca="1" si="551"/>
        <v>-</v>
      </c>
      <c r="AO76" s="182" t="str">
        <f t="shared" ca="1" si="552"/>
        <v>-</v>
      </c>
      <c r="AP76" s="182" t="str">
        <f t="shared" ca="1" si="552"/>
        <v>-</v>
      </c>
      <c r="AQ76" s="182" t="str">
        <f t="shared" ca="1" si="552"/>
        <v>-</v>
      </c>
      <c r="AU76" s="185" t="str">
        <f t="shared" ref="AU76" ca="1" si="599">IF($D76="-","-",IF(LEN(M76)=0,"", INDEX($AT$7:$AT$15,MATCH(IF($V76-INDEX(GridXRange,P76)&lt;0,"Negative",IF($V76-INDEX(GridXRange,P76)&gt;0,"Positive","Zero")) &amp; " - " &amp;IF($W76-INDEX(GridYRange,P76)&lt;0,"Negative",IF($W76-INDEX(GridYRange,P76)&gt;0,"Positive","Zero")),$AS$7:$AS$15,0))))</f>
        <v>-</v>
      </c>
      <c r="AV76" s="186" t="str">
        <f t="shared" ref="AV76" ca="1" si="600">IF($D76="-","-",IF(LEN(N76)=0,"", INDEX($AT$7:$AT$15,MATCH(IF($V76-INDEX(GridXRange,Q76)&lt;0,"Negative",IF($V76-INDEX(GridXRange,Q76)&gt;0,"Positive","Zero")) &amp; " - " &amp;IF($W76-INDEX(GridYRange,Q76)&lt;0,"Negative",IF($W76-INDEX(GridYRange,Q76)&gt;0,"Positive","Zero")),$AS$7:$AS$15,0))))</f>
        <v>-</v>
      </c>
      <c r="AW76" s="186" t="str">
        <f t="shared" ref="AW76" ca="1" si="601">IF($D76="-","-",IF(LEN(O76)=0,"", INDEX($AT$7:$AT$15,MATCH(IF($V76-INDEX(GridXRange,R76)&lt;0,"Negative",IF($V76-INDEX(GridXRange,R76)&gt;0,"Positive","Zero")) &amp; " - " &amp;IF($W76-INDEX(GridYRange,R76)&lt;0,"Negative",IF($W76-INDEX(GridYRange,R76)&gt;0,"Positive","Zero")),$AS$7:$AS$15,0))))</f>
        <v>-</v>
      </c>
      <c r="AX76" s="187"/>
      <c r="AY76" s="188"/>
      <c r="AZ76" s="188"/>
      <c r="BA76" s="184"/>
      <c r="BB76" s="187" t="str">
        <f t="shared" ca="1" si="518"/>
        <v>-</v>
      </c>
      <c r="BC76" s="188" t="str">
        <f t="shared" ca="1" si="518"/>
        <v>-</v>
      </c>
      <c r="BD76" s="188" t="str">
        <f t="shared" ca="1" si="518"/>
        <v>-</v>
      </c>
      <c r="BE76" s="189" t="str">
        <f t="shared" ca="1" si="518"/>
        <v>-</v>
      </c>
      <c r="BK76" s="192" t="str">
        <f t="shared" ref="BK76" ca="1" si="602">IF($D76="-","-",$BK$5 + (V76-StartGridX) * (GapXDiff + $BW$7))</f>
        <v>-</v>
      </c>
      <c r="BL76" s="192" t="str">
        <f t="shared" ref="BL76" ca="1" si="603">IF($D76="-","-",$BL$5 + (W76-StartGridY) * (GapYDiff + $BV$7))</f>
        <v>-</v>
      </c>
      <c r="BM76" s="192" t="str">
        <f t="shared" ca="1" si="558"/>
        <v>-</v>
      </c>
      <c r="BN76" s="192" t="str">
        <f t="shared" ca="1" si="559"/>
        <v>-</v>
      </c>
      <c r="BO76" s="192" t="str">
        <f t="shared" ca="1" si="560"/>
        <v>-</v>
      </c>
      <c r="BP76" s="192" t="str">
        <f t="shared" ca="1" si="561"/>
        <v>-</v>
      </c>
      <c r="BQ76" s="192" t="str">
        <f ca="1">IF($D76="-","-",IF(LEN(K76)=0,1,IFERROR(MATCH(K76,Dashboard!$L$25:$L$31,0),1)))</f>
        <v>-</v>
      </c>
      <c r="CC76" s="143" t="str">
        <f t="shared" ref="CC76" ca="1" si="604">IF($D76="-","-",IF(COUNTIF(IDSourceRange,E76)&gt;1,1,0))</f>
        <v>-</v>
      </c>
      <c r="CD76" s="143" t="str">
        <f t="shared" ref="CD76" ca="1" si="605">IF($D76="-","-",  IF(LEN(M76)=0,0,IF(ISERROR(MATCH(M76,IDSourceRange,0)),1,0)) + IF(LEN(N76)=0,0,IF(ISERROR(MATCH(N76,IDSourceRange,0)),1,0)) + IF(LEN(O76)=0,0,IF(ISERROR(MATCH(O76,IDSourceRange,0)),1,0)) )</f>
        <v>-</v>
      </c>
      <c r="CE76" s="143" t="str">
        <f t="shared" ca="1" si="589"/>
        <v>-</v>
      </c>
      <c r="CF76" s="143" t="s">
        <v>128</v>
      </c>
      <c r="CG76" s="143" t="str">
        <f t="shared" ref="CG76" ca="1" si="606">IF($D76="-","-",IF(X76="-",0,IF(COUNTIF(GridCombinedRange,X76)&gt;1,1,0)))</f>
        <v>-</v>
      </c>
      <c r="CH76" s="143"/>
      <c r="CI76" s="143"/>
      <c r="CJ76" s="143"/>
      <c r="CK76" s="143"/>
      <c r="CL76" s="143"/>
    </row>
    <row r="77" spans="3:90" x14ac:dyDescent="0.3">
      <c r="C77" s="170">
        <v>71</v>
      </c>
      <c r="D77" s="111" t="str">
        <f ca="1">IF(COUNTA(OFFSET(Dashboard!$B$6,C77,0,1,COUNTA(Dashboard!$B$6:$H$6)))&gt;0,"Yes","-")</f>
        <v>-</v>
      </c>
      <c r="E77" s="170" t="str">
        <f ca="1">IF(D77="-","-",IF(LEN(INDEX(Dashboard!B$6:B$206,$C77+1))=0,"x"&amp;C77&amp;"x","x"&amp;INDEX(Dashboard!B$6:B$206,$C77+1)&amp;"x"))</f>
        <v>-</v>
      </c>
      <c r="F77" s="171" t="str">
        <f ca="1">IF(D77="-","-",IF(LEN(INDEX(Dashboard!$C$6:$C$206,C77+1))=0," ",INDEX(Dashboard!$C$6:$C$206,C77+1)))</f>
        <v>-</v>
      </c>
      <c r="G77" s="219" t="str">
        <f ca="1">IF(OR(D77="-",D77=""),"-",IF(LEN(INDEX(Dashboard!$D$6:$D$228,C77+1))=0,"", "x"&amp;SUBSTITUTE(SUBSTITUTE(INDEX(Dashboard!$D$6:$D$228,C77+1)," ",""),",","x,x")&amp;"x"))</f>
        <v>-</v>
      </c>
      <c r="H77" s="111" t="str">
        <f ca="1">IF(D77="-","-",TRIM(INDEX(Dashboard!$E$6:$E$206,C77+1)))</f>
        <v>-</v>
      </c>
      <c r="I77" s="111" t="str">
        <f ca="1">IF(D77="-","-",IF(LEN(INDEX(Dashboard!$F$6:$F$206,C77+1))=0,$BS$8,IF(ISERROR(MATCH(INDEX(Dashboard!$F$6:$F$206,C77+1),$BS$7:$BS$35,0)),$BS$8,INDEX(Dashboard!$F$6:$F$206,C77+1))))</f>
        <v>-</v>
      </c>
      <c r="J77" s="111" t="str">
        <f ca="1">IF(D77="-","-",SUBSTITUTE(INDEX(Dashboard!$G$6:$G$206,C77+1)," ",""))</f>
        <v>-</v>
      </c>
      <c r="K77" s="111" t="str">
        <f ca="1">IF(D77="-","-",IF(LEN(INDEX(Dashboard!$H$6:$H$206,C77+1))=0,"",INDEX(Dashboard!$H$6:$H$206,C77+1)))</f>
        <v>-</v>
      </c>
      <c r="M77" s="172" t="str">
        <f t="shared" ca="1" si="514"/>
        <v>-</v>
      </c>
      <c r="N77" s="172" t="str">
        <f t="shared" ca="1" si="514"/>
        <v>-</v>
      </c>
      <c r="O77" s="172" t="str">
        <f t="shared" ca="1" si="514"/>
        <v>-</v>
      </c>
      <c r="P77" s="173" t="str">
        <f t="shared" ca="1" si="548"/>
        <v>-</v>
      </c>
      <c r="Q77" s="172" t="str">
        <f t="shared" ca="1" si="548"/>
        <v>-</v>
      </c>
      <c r="R77" s="172" t="str">
        <f t="shared" ca="1" si="548"/>
        <v>-</v>
      </c>
      <c r="S77" s="174" t="str">
        <f t="array" aca="1" ref="S77" ca="1">IF($D77="-","-",SUM(IF(LEN(M77:O77)&gt;0,1,0)))</f>
        <v>-</v>
      </c>
      <c r="T77" s="175" t="str">
        <f t="array" aca="1" ref="T77" ca="1">IF(D77="-","-",SUM(IF(ISERROR(SEARCH(E77,$G$7:$G$206)),0,1)))</f>
        <v>-</v>
      </c>
      <c r="V77" s="204"/>
      <c r="W77" s="127"/>
      <c r="X77" s="177" t="str">
        <f t="shared" si="565"/>
        <v>-</v>
      </c>
      <c r="Y77" s="178"/>
      <c r="Z77" s="127"/>
      <c r="AB77" s="179" t="str">
        <f t="shared" ca="1" si="549"/>
        <v>-</v>
      </c>
      <c r="AC77" s="179" t="str">
        <f t="shared" ca="1" si="549"/>
        <v>-</v>
      </c>
      <c r="AD77" s="179" t="str">
        <f t="shared" ca="1" si="549"/>
        <v>-</v>
      </c>
      <c r="AJ77" s="181" t="str">
        <f t="shared" ca="1" si="550"/>
        <v>-</v>
      </c>
      <c r="AK77" s="179" t="str">
        <f t="shared" ca="1" si="551"/>
        <v>-</v>
      </c>
      <c r="AL77" s="179" t="str">
        <f t="shared" ca="1" si="551"/>
        <v>-</v>
      </c>
      <c r="AM77" s="179" t="str">
        <f t="shared" ca="1" si="551"/>
        <v>-</v>
      </c>
      <c r="AO77" s="182" t="str">
        <f t="shared" ca="1" si="552"/>
        <v>-</v>
      </c>
      <c r="AP77" s="182" t="str">
        <f t="shared" ca="1" si="552"/>
        <v>-</v>
      </c>
      <c r="AQ77" s="182" t="str">
        <f t="shared" ca="1" si="552"/>
        <v>-</v>
      </c>
      <c r="AU77" s="185" t="str">
        <f t="shared" ref="AU77" ca="1" si="607">IF($D77="-","-",IF(LEN(M77)=0,"", INDEX($AT$7:$AT$15,MATCH(IF($V77-INDEX(GridXRange,P77)&lt;0,"Negative",IF($V77-INDEX(GridXRange,P77)&gt;0,"Positive","Zero")) &amp; " - " &amp;IF($W77-INDEX(GridYRange,P77)&lt;0,"Negative",IF($W77-INDEX(GridYRange,P77)&gt;0,"Positive","Zero")),$AS$7:$AS$15,0))))</f>
        <v>-</v>
      </c>
      <c r="AV77" s="186" t="str">
        <f t="shared" ref="AV77" ca="1" si="608">IF($D77="-","-",IF(LEN(N77)=0,"", INDEX($AT$7:$AT$15,MATCH(IF($V77-INDEX(GridXRange,Q77)&lt;0,"Negative",IF($V77-INDEX(GridXRange,Q77)&gt;0,"Positive","Zero")) &amp; " - " &amp;IF($W77-INDEX(GridYRange,Q77)&lt;0,"Negative",IF($W77-INDEX(GridYRange,Q77)&gt;0,"Positive","Zero")),$AS$7:$AS$15,0))))</f>
        <v>-</v>
      </c>
      <c r="AW77" s="186" t="str">
        <f t="shared" ref="AW77" ca="1" si="609">IF($D77="-","-",IF(LEN(O77)=0,"", INDEX($AT$7:$AT$15,MATCH(IF($V77-INDEX(GridXRange,R77)&lt;0,"Negative",IF($V77-INDEX(GridXRange,R77)&gt;0,"Positive","Zero")) &amp; " - " &amp;IF($W77-INDEX(GridYRange,R77)&lt;0,"Negative",IF($W77-INDEX(GridYRange,R77)&gt;0,"Positive","Zero")),$AS$7:$AS$15,0))))</f>
        <v>-</v>
      </c>
      <c r="AX77" s="187"/>
      <c r="AY77" s="188"/>
      <c r="AZ77" s="188"/>
      <c r="BA77" s="184"/>
      <c r="BB77" s="187" t="str">
        <f t="shared" ca="1" si="518"/>
        <v>-</v>
      </c>
      <c r="BC77" s="188" t="str">
        <f t="shared" ca="1" si="518"/>
        <v>-</v>
      </c>
      <c r="BD77" s="188" t="str">
        <f t="shared" ca="1" si="518"/>
        <v>-</v>
      </c>
      <c r="BE77" s="189" t="str">
        <f t="shared" ca="1" si="518"/>
        <v>-</v>
      </c>
      <c r="BK77" s="192" t="str">
        <f t="shared" ref="BK77" ca="1" si="610">IF($D77="-","-",$BK$5 + (V77-StartGridX) * (GapXDiff + $BW$7))</f>
        <v>-</v>
      </c>
      <c r="BL77" s="192" t="str">
        <f t="shared" ref="BL77" ca="1" si="611">IF($D77="-","-",$BL$5 + (W77-StartGridY) * (GapYDiff + $BV$7))</f>
        <v>-</v>
      </c>
      <c r="BM77" s="192" t="str">
        <f t="shared" ca="1" si="558"/>
        <v>-</v>
      </c>
      <c r="BN77" s="192" t="str">
        <f t="shared" ca="1" si="559"/>
        <v>-</v>
      </c>
      <c r="BO77" s="192" t="str">
        <f t="shared" ca="1" si="560"/>
        <v>-</v>
      </c>
      <c r="BP77" s="192" t="str">
        <f t="shared" ca="1" si="561"/>
        <v>-</v>
      </c>
      <c r="BQ77" s="192" t="str">
        <f ca="1">IF($D77="-","-",IF(LEN(K77)=0,1,IFERROR(MATCH(K77,Dashboard!$L$25:$L$31,0),1)))</f>
        <v>-</v>
      </c>
      <c r="CC77" s="143" t="str">
        <f t="shared" ref="CC77" ca="1" si="612">IF($D77="-","-",IF(COUNTIF(IDSourceRange,E77)&gt;1,1,0))</f>
        <v>-</v>
      </c>
      <c r="CD77" s="143" t="str">
        <f t="shared" ref="CD77" ca="1" si="613">IF($D77="-","-",  IF(LEN(M77)=0,0,IF(ISERROR(MATCH(M77,IDSourceRange,0)),1,0)) + IF(LEN(N77)=0,0,IF(ISERROR(MATCH(N77,IDSourceRange,0)),1,0)) + IF(LEN(O77)=0,0,IF(ISERROR(MATCH(O77,IDSourceRange,0)),1,0)) )</f>
        <v>-</v>
      </c>
      <c r="CE77" s="143" t="str">
        <f t="shared" ca="1" si="589"/>
        <v>-</v>
      </c>
      <c r="CF77" s="143" t="s">
        <v>128</v>
      </c>
      <c r="CG77" s="143" t="str">
        <f t="shared" ref="CG77" ca="1" si="614">IF($D77="-","-",IF(X77="-",0,IF(COUNTIF(GridCombinedRange,X77)&gt;1,1,0)))</f>
        <v>-</v>
      </c>
      <c r="CH77" s="143"/>
      <c r="CI77" s="143"/>
      <c r="CJ77" s="143"/>
      <c r="CK77" s="143"/>
      <c r="CL77" s="143"/>
    </row>
    <row r="78" spans="3:90" x14ac:dyDescent="0.3">
      <c r="C78" s="170">
        <v>72</v>
      </c>
      <c r="D78" s="111" t="str">
        <f ca="1">IF(COUNTA(OFFSET(Dashboard!$B$6,C78,0,1,COUNTA(Dashboard!$B$6:$H$6)))&gt;0,"Yes","-")</f>
        <v>-</v>
      </c>
      <c r="E78" s="170" t="str">
        <f ca="1">IF(D78="-","-",IF(LEN(INDEX(Dashboard!B$6:B$206,$C78+1))=0,"x"&amp;C78&amp;"x","x"&amp;INDEX(Dashboard!B$6:B$206,$C78+1)&amp;"x"))</f>
        <v>-</v>
      </c>
      <c r="F78" s="171" t="str">
        <f ca="1">IF(D78="-","-",IF(LEN(INDEX(Dashboard!$C$6:$C$206,C78+1))=0," ",INDEX(Dashboard!$C$6:$C$206,C78+1)))</f>
        <v>-</v>
      </c>
      <c r="G78" s="219" t="str">
        <f ca="1">IF(OR(D78="-",D78=""),"-",IF(LEN(INDEX(Dashboard!$D$6:$D$228,C78+1))=0,"", "x"&amp;SUBSTITUTE(SUBSTITUTE(INDEX(Dashboard!$D$6:$D$228,C78+1)," ",""),",","x,x")&amp;"x"))</f>
        <v>-</v>
      </c>
      <c r="H78" s="111" t="str">
        <f ca="1">IF(D78="-","-",TRIM(INDEX(Dashboard!$E$6:$E$206,C78+1)))</f>
        <v>-</v>
      </c>
      <c r="I78" s="111" t="str">
        <f ca="1">IF(D78="-","-",IF(LEN(INDEX(Dashboard!$F$6:$F$206,C78+1))=0,$BS$8,IF(ISERROR(MATCH(INDEX(Dashboard!$F$6:$F$206,C78+1),$BS$7:$BS$35,0)),$BS$8,INDEX(Dashboard!$F$6:$F$206,C78+1))))</f>
        <v>-</v>
      </c>
      <c r="J78" s="111" t="str">
        <f ca="1">IF(D78="-","-",SUBSTITUTE(INDEX(Dashboard!$G$6:$G$206,C78+1)," ",""))</f>
        <v>-</v>
      </c>
      <c r="K78" s="111" t="str">
        <f ca="1">IF(D78="-","-",IF(LEN(INDEX(Dashboard!$H$6:$H$206,C78+1))=0,"",INDEX(Dashboard!$H$6:$H$206,C78+1)))</f>
        <v>-</v>
      </c>
      <c r="M78" s="172" t="str">
        <f t="shared" ca="1" si="514"/>
        <v>-</v>
      </c>
      <c r="N78" s="172" t="str">
        <f t="shared" ca="1" si="514"/>
        <v>-</v>
      </c>
      <c r="O78" s="172" t="str">
        <f t="shared" ca="1" si="514"/>
        <v>-</v>
      </c>
      <c r="P78" s="173" t="str">
        <f t="shared" ca="1" si="548"/>
        <v>-</v>
      </c>
      <c r="Q78" s="172" t="str">
        <f t="shared" ca="1" si="548"/>
        <v>-</v>
      </c>
      <c r="R78" s="172" t="str">
        <f t="shared" ca="1" si="548"/>
        <v>-</v>
      </c>
      <c r="S78" s="174" t="str">
        <f t="array" aca="1" ref="S78" ca="1">IF($D78="-","-",SUM(IF(LEN(M78:O78)&gt;0,1,0)))</f>
        <v>-</v>
      </c>
      <c r="T78" s="175" t="str">
        <f t="array" aca="1" ref="T78" ca="1">IF(D78="-","-",SUM(IF(ISERROR(SEARCH(E78,$G$7:$G$206)),0,1)))</f>
        <v>-</v>
      </c>
      <c r="V78" s="204"/>
      <c r="W78" s="127"/>
      <c r="X78" s="177" t="str">
        <f t="shared" si="565"/>
        <v>-</v>
      </c>
      <c r="Y78" s="178"/>
      <c r="Z78" s="127"/>
      <c r="AB78" s="179" t="str">
        <f t="shared" ca="1" si="549"/>
        <v>-</v>
      </c>
      <c r="AC78" s="179" t="str">
        <f t="shared" ca="1" si="549"/>
        <v>-</v>
      </c>
      <c r="AD78" s="179" t="str">
        <f t="shared" ca="1" si="549"/>
        <v>-</v>
      </c>
      <c r="AJ78" s="181" t="str">
        <f t="shared" ca="1" si="550"/>
        <v>-</v>
      </c>
      <c r="AK78" s="179" t="str">
        <f t="shared" ca="1" si="551"/>
        <v>-</v>
      </c>
      <c r="AL78" s="179" t="str">
        <f t="shared" ca="1" si="551"/>
        <v>-</v>
      </c>
      <c r="AM78" s="179" t="str">
        <f t="shared" ca="1" si="551"/>
        <v>-</v>
      </c>
      <c r="AO78" s="182" t="str">
        <f t="shared" ca="1" si="552"/>
        <v>-</v>
      </c>
      <c r="AP78" s="182" t="str">
        <f t="shared" ca="1" si="552"/>
        <v>-</v>
      </c>
      <c r="AQ78" s="182" t="str">
        <f t="shared" ca="1" si="552"/>
        <v>-</v>
      </c>
      <c r="AU78" s="185" t="str">
        <f t="shared" ref="AU78" ca="1" si="615">IF($D78="-","-",IF(LEN(M78)=0,"", INDEX($AT$7:$AT$15,MATCH(IF($V78-INDEX(GridXRange,P78)&lt;0,"Negative",IF($V78-INDEX(GridXRange,P78)&gt;0,"Positive","Zero")) &amp; " - " &amp;IF($W78-INDEX(GridYRange,P78)&lt;0,"Negative",IF($W78-INDEX(GridYRange,P78)&gt;0,"Positive","Zero")),$AS$7:$AS$15,0))))</f>
        <v>-</v>
      </c>
      <c r="AV78" s="186" t="str">
        <f t="shared" ref="AV78" ca="1" si="616">IF($D78="-","-",IF(LEN(N78)=0,"", INDEX($AT$7:$AT$15,MATCH(IF($V78-INDEX(GridXRange,Q78)&lt;0,"Negative",IF($V78-INDEX(GridXRange,Q78)&gt;0,"Positive","Zero")) &amp; " - " &amp;IF($W78-INDEX(GridYRange,Q78)&lt;0,"Negative",IF($W78-INDEX(GridYRange,Q78)&gt;0,"Positive","Zero")),$AS$7:$AS$15,0))))</f>
        <v>-</v>
      </c>
      <c r="AW78" s="186" t="str">
        <f t="shared" ref="AW78" ca="1" si="617">IF($D78="-","-",IF(LEN(O78)=0,"", INDEX($AT$7:$AT$15,MATCH(IF($V78-INDEX(GridXRange,R78)&lt;0,"Negative",IF($V78-INDEX(GridXRange,R78)&gt;0,"Positive","Zero")) &amp; " - " &amp;IF($W78-INDEX(GridYRange,R78)&lt;0,"Negative",IF($W78-INDEX(GridYRange,R78)&gt;0,"Positive","Zero")),$AS$7:$AS$15,0))))</f>
        <v>-</v>
      </c>
      <c r="AX78" s="187"/>
      <c r="AY78" s="188"/>
      <c r="AZ78" s="188"/>
      <c r="BA78" s="184"/>
      <c r="BB78" s="187" t="str">
        <f t="shared" ca="1" si="518"/>
        <v>-</v>
      </c>
      <c r="BC78" s="188" t="str">
        <f t="shared" ca="1" si="518"/>
        <v>-</v>
      </c>
      <c r="BD78" s="188" t="str">
        <f t="shared" ca="1" si="518"/>
        <v>-</v>
      </c>
      <c r="BE78" s="189" t="str">
        <f t="shared" ca="1" si="518"/>
        <v>-</v>
      </c>
      <c r="BK78" s="192" t="str">
        <f t="shared" ref="BK78" ca="1" si="618">IF($D78="-","-",$BK$5 + (V78-StartGridX) * (GapXDiff + $BW$7))</f>
        <v>-</v>
      </c>
      <c r="BL78" s="192" t="str">
        <f t="shared" ref="BL78" ca="1" si="619">IF($D78="-","-",$BL$5 + (W78-StartGridY) * (GapYDiff + $BV$7))</f>
        <v>-</v>
      </c>
      <c r="BM78" s="192" t="str">
        <f t="shared" ca="1" si="558"/>
        <v>-</v>
      </c>
      <c r="BN78" s="192" t="str">
        <f t="shared" ca="1" si="559"/>
        <v>-</v>
      </c>
      <c r="BO78" s="192" t="str">
        <f t="shared" ca="1" si="560"/>
        <v>-</v>
      </c>
      <c r="BP78" s="192" t="str">
        <f t="shared" ca="1" si="561"/>
        <v>-</v>
      </c>
      <c r="BQ78" s="192" t="str">
        <f ca="1">IF($D78="-","-",IF(LEN(K78)=0,1,IFERROR(MATCH(K78,Dashboard!$L$25:$L$31,0),1)))</f>
        <v>-</v>
      </c>
      <c r="CC78" s="143" t="str">
        <f t="shared" ref="CC78" ca="1" si="620">IF($D78="-","-",IF(COUNTIF(IDSourceRange,E78)&gt;1,1,0))</f>
        <v>-</v>
      </c>
      <c r="CD78" s="143" t="str">
        <f t="shared" ref="CD78" ca="1" si="621">IF($D78="-","-",  IF(LEN(M78)=0,0,IF(ISERROR(MATCH(M78,IDSourceRange,0)),1,0)) + IF(LEN(N78)=0,0,IF(ISERROR(MATCH(N78,IDSourceRange,0)),1,0)) + IF(LEN(O78)=0,0,IF(ISERROR(MATCH(O78,IDSourceRange,0)),1,0)) )</f>
        <v>-</v>
      </c>
      <c r="CE78" s="143" t="str">
        <f t="shared" ca="1" si="589"/>
        <v>-</v>
      </c>
      <c r="CF78" s="143" t="s">
        <v>128</v>
      </c>
      <c r="CG78" s="143" t="str">
        <f t="shared" ref="CG78" ca="1" si="622">IF($D78="-","-",IF(X78="-",0,IF(COUNTIF(GridCombinedRange,X78)&gt;1,1,0)))</f>
        <v>-</v>
      </c>
      <c r="CH78" s="143"/>
      <c r="CI78" s="143"/>
      <c r="CJ78" s="143"/>
      <c r="CK78" s="143"/>
      <c r="CL78" s="143"/>
    </row>
    <row r="79" spans="3:90" x14ac:dyDescent="0.3">
      <c r="C79" s="170">
        <v>73</v>
      </c>
      <c r="D79" s="111" t="str">
        <f ca="1">IF(COUNTA(OFFSET(Dashboard!$B$6,C79,0,1,COUNTA(Dashboard!$B$6:$H$6)))&gt;0,"Yes","-")</f>
        <v>-</v>
      </c>
      <c r="E79" s="170" t="str">
        <f ca="1">IF(D79="-","-",IF(LEN(INDEX(Dashboard!B$6:B$206,$C79+1))=0,"x"&amp;C79&amp;"x","x"&amp;INDEX(Dashboard!B$6:B$206,$C79+1)&amp;"x"))</f>
        <v>-</v>
      </c>
      <c r="F79" s="171" t="str">
        <f ca="1">IF(D79="-","-",IF(LEN(INDEX(Dashboard!$C$6:$C$206,C79+1))=0," ",INDEX(Dashboard!$C$6:$C$206,C79+1)))</f>
        <v>-</v>
      </c>
      <c r="G79" s="219" t="str">
        <f ca="1">IF(OR(D79="-",D79=""),"-",IF(LEN(INDEX(Dashboard!$D$6:$D$228,C79+1))=0,"", "x"&amp;SUBSTITUTE(SUBSTITUTE(INDEX(Dashboard!$D$6:$D$228,C79+1)," ",""),",","x,x")&amp;"x"))</f>
        <v>-</v>
      </c>
      <c r="H79" s="111" t="str">
        <f ca="1">IF(D79="-","-",TRIM(INDEX(Dashboard!$E$6:$E$206,C79+1)))</f>
        <v>-</v>
      </c>
      <c r="I79" s="111" t="str">
        <f ca="1">IF(D79="-","-",IF(LEN(INDEX(Dashboard!$F$6:$F$206,C79+1))=0,$BS$8,IF(ISERROR(MATCH(INDEX(Dashboard!$F$6:$F$206,C79+1),$BS$7:$BS$35,0)),$BS$8,INDEX(Dashboard!$F$6:$F$206,C79+1))))</f>
        <v>-</v>
      </c>
      <c r="J79" s="111" t="str">
        <f ca="1">IF(D79="-","-",SUBSTITUTE(INDEX(Dashboard!$G$6:$G$206,C79+1)," ",""))</f>
        <v>-</v>
      </c>
      <c r="K79" s="111" t="str">
        <f ca="1">IF(D79="-","-",IF(LEN(INDEX(Dashboard!$H$6:$H$206,C79+1))=0,"",INDEX(Dashboard!$H$6:$H$206,C79+1)))</f>
        <v>-</v>
      </c>
      <c r="M79" s="172" t="str">
        <f t="shared" ca="1" si="514"/>
        <v>-</v>
      </c>
      <c r="N79" s="172" t="str">
        <f t="shared" ca="1" si="514"/>
        <v>-</v>
      </c>
      <c r="O79" s="172" t="str">
        <f t="shared" ca="1" si="514"/>
        <v>-</v>
      </c>
      <c r="P79" s="173" t="str">
        <f t="shared" ca="1" si="548"/>
        <v>-</v>
      </c>
      <c r="Q79" s="172" t="str">
        <f t="shared" ca="1" si="548"/>
        <v>-</v>
      </c>
      <c r="R79" s="172" t="str">
        <f t="shared" ca="1" si="548"/>
        <v>-</v>
      </c>
      <c r="S79" s="174" t="str">
        <f t="array" aca="1" ref="S79" ca="1">IF($D79="-","-",SUM(IF(LEN(M79:O79)&gt;0,1,0)))</f>
        <v>-</v>
      </c>
      <c r="T79" s="175" t="str">
        <f t="array" aca="1" ref="T79" ca="1">IF(D79="-","-",SUM(IF(ISERROR(SEARCH(E79,$G$7:$G$206)),0,1)))</f>
        <v>-</v>
      </c>
      <c r="V79" s="204"/>
      <c r="W79" s="127"/>
      <c r="X79" s="177" t="str">
        <f t="shared" si="565"/>
        <v>-</v>
      </c>
      <c r="Y79" s="178"/>
      <c r="Z79" s="127"/>
      <c r="AB79" s="179" t="str">
        <f t="shared" ca="1" si="549"/>
        <v>-</v>
      </c>
      <c r="AC79" s="179" t="str">
        <f t="shared" ca="1" si="549"/>
        <v>-</v>
      </c>
      <c r="AD79" s="179" t="str">
        <f t="shared" ca="1" si="549"/>
        <v>-</v>
      </c>
      <c r="AJ79" s="181" t="str">
        <f t="shared" ca="1" si="550"/>
        <v>-</v>
      </c>
      <c r="AK79" s="179" t="str">
        <f t="shared" ca="1" si="551"/>
        <v>-</v>
      </c>
      <c r="AL79" s="179" t="str">
        <f t="shared" ca="1" si="551"/>
        <v>-</v>
      </c>
      <c r="AM79" s="179" t="str">
        <f t="shared" ca="1" si="551"/>
        <v>-</v>
      </c>
      <c r="AO79" s="182" t="str">
        <f t="shared" ca="1" si="552"/>
        <v>-</v>
      </c>
      <c r="AP79" s="182" t="str">
        <f t="shared" ca="1" si="552"/>
        <v>-</v>
      </c>
      <c r="AQ79" s="182" t="str">
        <f t="shared" ca="1" si="552"/>
        <v>-</v>
      </c>
      <c r="AU79" s="185" t="str">
        <f t="shared" ref="AU79" ca="1" si="623">IF($D79="-","-",IF(LEN(M79)=0,"", INDEX($AT$7:$AT$15,MATCH(IF($V79-INDEX(GridXRange,P79)&lt;0,"Negative",IF($V79-INDEX(GridXRange,P79)&gt;0,"Positive","Zero")) &amp; " - " &amp;IF($W79-INDEX(GridYRange,P79)&lt;0,"Negative",IF($W79-INDEX(GridYRange,P79)&gt;0,"Positive","Zero")),$AS$7:$AS$15,0))))</f>
        <v>-</v>
      </c>
      <c r="AV79" s="186" t="str">
        <f t="shared" ref="AV79" ca="1" si="624">IF($D79="-","-",IF(LEN(N79)=0,"", INDEX($AT$7:$AT$15,MATCH(IF($V79-INDEX(GridXRange,Q79)&lt;0,"Negative",IF($V79-INDEX(GridXRange,Q79)&gt;0,"Positive","Zero")) &amp; " - " &amp;IF($W79-INDEX(GridYRange,Q79)&lt;0,"Negative",IF($W79-INDEX(GridYRange,Q79)&gt;0,"Positive","Zero")),$AS$7:$AS$15,0))))</f>
        <v>-</v>
      </c>
      <c r="AW79" s="186" t="str">
        <f t="shared" ref="AW79" ca="1" si="625">IF($D79="-","-",IF(LEN(O79)=0,"", INDEX($AT$7:$AT$15,MATCH(IF($V79-INDEX(GridXRange,R79)&lt;0,"Negative",IF($V79-INDEX(GridXRange,R79)&gt;0,"Positive","Zero")) &amp; " - " &amp;IF($W79-INDEX(GridYRange,R79)&lt;0,"Negative",IF($W79-INDEX(GridYRange,R79)&gt;0,"Positive","Zero")),$AS$7:$AS$15,0))))</f>
        <v>-</v>
      </c>
      <c r="AX79" s="187"/>
      <c r="AY79" s="188"/>
      <c r="AZ79" s="188"/>
      <c r="BA79" s="184"/>
      <c r="BB79" s="187" t="str">
        <f t="shared" ca="1" si="518"/>
        <v>-</v>
      </c>
      <c r="BC79" s="188" t="str">
        <f t="shared" ca="1" si="518"/>
        <v>-</v>
      </c>
      <c r="BD79" s="188" t="str">
        <f t="shared" ca="1" si="518"/>
        <v>-</v>
      </c>
      <c r="BE79" s="189" t="str">
        <f t="shared" ca="1" si="518"/>
        <v>-</v>
      </c>
      <c r="BK79" s="192" t="str">
        <f t="shared" ref="BK79" ca="1" si="626">IF($D79="-","-",$BK$5 + (V79-StartGridX) * (GapXDiff + $BW$7))</f>
        <v>-</v>
      </c>
      <c r="BL79" s="192" t="str">
        <f t="shared" ref="BL79" ca="1" si="627">IF($D79="-","-",$BL$5 + (W79-StartGridY) * (GapYDiff + $BV$7))</f>
        <v>-</v>
      </c>
      <c r="BM79" s="192" t="str">
        <f t="shared" ca="1" si="558"/>
        <v>-</v>
      </c>
      <c r="BN79" s="192" t="str">
        <f t="shared" ca="1" si="559"/>
        <v>-</v>
      </c>
      <c r="BO79" s="192" t="str">
        <f t="shared" ca="1" si="560"/>
        <v>-</v>
      </c>
      <c r="BP79" s="192" t="str">
        <f t="shared" ca="1" si="561"/>
        <v>-</v>
      </c>
      <c r="BQ79" s="192" t="str">
        <f ca="1">IF($D79="-","-",IF(LEN(K79)=0,1,IFERROR(MATCH(K79,Dashboard!$L$25:$L$31,0),1)))</f>
        <v>-</v>
      </c>
      <c r="CC79" s="143" t="str">
        <f t="shared" ref="CC79" ca="1" si="628">IF($D79="-","-",IF(COUNTIF(IDSourceRange,E79)&gt;1,1,0))</f>
        <v>-</v>
      </c>
      <c r="CD79" s="143" t="str">
        <f t="shared" ref="CD79" ca="1" si="629">IF($D79="-","-",  IF(LEN(M79)=0,0,IF(ISERROR(MATCH(M79,IDSourceRange,0)),1,0)) + IF(LEN(N79)=0,0,IF(ISERROR(MATCH(N79,IDSourceRange,0)),1,0)) + IF(LEN(O79)=0,0,IF(ISERROR(MATCH(O79,IDSourceRange,0)),1,0)) )</f>
        <v>-</v>
      </c>
      <c r="CE79" s="143" t="str">
        <f t="shared" ca="1" si="589"/>
        <v>-</v>
      </c>
      <c r="CF79" s="143" t="s">
        <v>128</v>
      </c>
      <c r="CG79" s="143" t="str">
        <f t="shared" ref="CG79" ca="1" si="630">IF($D79="-","-",IF(X79="-",0,IF(COUNTIF(GridCombinedRange,X79)&gt;1,1,0)))</f>
        <v>-</v>
      </c>
      <c r="CH79" s="143"/>
      <c r="CI79" s="143"/>
      <c r="CJ79" s="143"/>
      <c r="CK79" s="143"/>
      <c r="CL79" s="143"/>
    </row>
    <row r="80" spans="3:90" x14ac:dyDescent="0.3">
      <c r="C80" s="170">
        <v>74</v>
      </c>
      <c r="D80" s="111" t="str">
        <f ca="1">IF(COUNTA(OFFSET(Dashboard!$B$6,C80,0,1,COUNTA(Dashboard!$B$6:$H$6)))&gt;0,"Yes","-")</f>
        <v>-</v>
      </c>
      <c r="E80" s="221" t="str">
        <f ca="1">IF(D80="-","-",IF(LEN(INDEX(Dashboard!B$6:B$228,$C80+1))=0,"x"&amp;C80&amp;"x","x"&amp;INDEX(Dashboard!B$6:B$228,$C80+1)&amp;"x"))</f>
        <v>-</v>
      </c>
      <c r="F80" s="171" t="str">
        <f ca="1">IF(D80="-","-",IF(LEN(INDEX(Dashboard!$C$6:$C$206,C80+1))=0," ",INDEX(Dashboard!$C$6:$C$206,C80+1)))</f>
        <v>-</v>
      </c>
      <c r="G80" s="219" t="str">
        <f ca="1">IF(OR(D80="-",D80=""),"-",IF(LEN(INDEX(Dashboard!$D$6:$D$228,C80+1))=0,"", "x"&amp;SUBSTITUTE(SUBSTITUTE(INDEX(Dashboard!$D$6:$D$228,C80+1)," ",""),",","x,x")&amp;"x"))</f>
        <v>-</v>
      </c>
      <c r="H80" s="111" t="str">
        <f ca="1">IF(D80="-","-",TRIM(INDEX(Dashboard!$E$6:$E$206,C80+1)))</f>
        <v>-</v>
      </c>
      <c r="I80" s="111" t="str">
        <f ca="1">IF(D80="-","-",IF(LEN(INDEX(Dashboard!$F$6:$F$206,C80+1))=0,$BS$8,IF(ISERROR(MATCH(INDEX(Dashboard!$F$6:$F$206,C80+1),$BS$7:$BS$35,0)),$BS$8,INDEX(Dashboard!$F$6:$F$206,C80+1))))</f>
        <v>-</v>
      </c>
      <c r="J80" s="111" t="str">
        <f ca="1">IF(D80="-","-",SUBSTITUTE(INDEX(Dashboard!$G$6:$G$206,C80+1)," ",""))</f>
        <v>-</v>
      </c>
      <c r="K80" s="111" t="str">
        <f ca="1">IF(D80="-","-",IF(LEN(INDEX(Dashboard!$H$6:$H$206,C80+1))=0,"",INDEX(Dashboard!$H$6:$H$206,C80+1)))</f>
        <v>-</v>
      </c>
      <c r="M80" s="172" t="str">
        <f t="shared" ca="1" si="514"/>
        <v>-</v>
      </c>
      <c r="N80" s="172" t="str">
        <f t="shared" ca="1" si="514"/>
        <v>-</v>
      </c>
      <c r="O80" s="172" t="str">
        <f t="shared" ca="1" si="514"/>
        <v>-</v>
      </c>
      <c r="P80" s="173" t="str">
        <f t="shared" ca="1" si="548"/>
        <v>-</v>
      </c>
      <c r="Q80" s="172" t="str">
        <f t="shared" ca="1" si="548"/>
        <v>-</v>
      </c>
      <c r="R80" s="172" t="str">
        <f t="shared" ca="1" si="548"/>
        <v>-</v>
      </c>
      <c r="S80" s="174" t="str">
        <f t="array" aca="1" ref="S80" ca="1">IF($D80="-","-",SUM(IF(LEN(M80:O80)&gt;0,1,0)))</f>
        <v>-</v>
      </c>
      <c r="T80" s="175" t="str">
        <f t="array" aca="1" ref="T80" ca="1">IF(D80="-","-",SUM(IF(ISERROR(SEARCH(E80,$G$7:$G$206)),0,1)))</f>
        <v>-</v>
      </c>
      <c r="V80" s="204"/>
      <c r="W80" s="127"/>
      <c r="X80" s="177" t="str">
        <f t="shared" si="565"/>
        <v>-</v>
      </c>
      <c r="Y80" s="178"/>
      <c r="Z80" s="127"/>
      <c r="AB80" s="179" t="str">
        <f t="shared" ca="1" si="549"/>
        <v>-</v>
      </c>
      <c r="AC80" s="179" t="str">
        <f t="shared" ca="1" si="549"/>
        <v>-</v>
      </c>
      <c r="AD80" s="179" t="str">
        <f t="shared" ca="1" si="549"/>
        <v>-</v>
      </c>
      <c r="AJ80" s="181" t="str">
        <f t="shared" ca="1" si="550"/>
        <v>-</v>
      </c>
      <c r="AK80" s="179" t="str">
        <f t="shared" ca="1" si="551"/>
        <v>-</v>
      </c>
      <c r="AL80" s="179" t="str">
        <f t="shared" ca="1" si="551"/>
        <v>-</v>
      </c>
      <c r="AM80" s="179" t="str">
        <f t="shared" ca="1" si="551"/>
        <v>-</v>
      </c>
      <c r="AO80" s="182" t="str">
        <f t="shared" ca="1" si="552"/>
        <v>-</v>
      </c>
      <c r="AP80" s="182" t="str">
        <f t="shared" ca="1" si="552"/>
        <v>-</v>
      </c>
      <c r="AQ80" s="182" t="str">
        <f t="shared" ca="1" si="552"/>
        <v>-</v>
      </c>
      <c r="AU80" s="185" t="str">
        <f t="shared" ref="AU80" ca="1" si="631">IF($D80="-","-",IF(LEN(M80)=0,"", INDEX($AT$7:$AT$15,MATCH(IF($V80-INDEX(GridXRange,P80)&lt;0,"Negative",IF($V80-INDEX(GridXRange,P80)&gt;0,"Positive","Zero")) &amp; " - " &amp;IF($W80-INDEX(GridYRange,P80)&lt;0,"Negative",IF($W80-INDEX(GridYRange,P80)&gt;0,"Positive","Zero")),$AS$7:$AS$15,0))))</f>
        <v>-</v>
      </c>
      <c r="AV80" s="186" t="str">
        <f t="shared" ref="AV80" ca="1" si="632">IF($D80="-","-",IF(LEN(N80)=0,"", INDEX($AT$7:$AT$15,MATCH(IF($V80-INDEX(GridXRange,Q80)&lt;0,"Negative",IF($V80-INDEX(GridXRange,Q80)&gt;0,"Positive","Zero")) &amp; " - " &amp;IF($W80-INDEX(GridYRange,Q80)&lt;0,"Negative",IF($W80-INDEX(GridYRange,Q80)&gt;0,"Positive","Zero")),$AS$7:$AS$15,0))))</f>
        <v>-</v>
      </c>
      <c r="AW80" s="186" t="str">
        <f t="shared" ref="AW80" ca="1" si="633">IF($D80="-","-",IF(LEN(O80)=0,"", INDEX($AT$7:$AT$15,MATCH(IF($V80-INDEX(GridXRange,R80)&lt;0,"Negative",IF($V80-INDEX(GridXRange,R80)&gt;0,"Positive","Zero")) &amp; " - " &amp;IF($W80-INDEX(GridYRange,R80)&lt;0,"Negative",IF($W80-INDEX(GridYRange,R80)&gt;0,"Positive","Zero")),$AS$7:$AS$15,0))))</f>
        <v>-</v>
      </c>
      <c r="AX80" s="187"/>
      <c r="AY80" s="188"/>
      <c r="AZ80" s="188"/>
      <c r="BA80" s="184"/>
      <c r="BB80" s="187" t="str">
        <f t="shared" ca="1" si="518"/>
        <v>-</v>
      </c>
      <c r="BC80" s="188" t="str">
        <f t="shared" ca="1" si="518"/>
        <v>-</v>
      </c>
      <c r="BD80" s="188" t="str">
        <f t="shared" ca="1" si="518"/>
        <v>-</v>
      </c>
      <c r="BE80" s="189" t="str">
        <f t="shared" ca="1" si="518"/>
        <v>-</v>
      </c>
      <c r="BK80" s="192" t="str">
        <f t="shared" ref="BK80" ca="1" si="634">IF($D80="-","-",$BK$5 + (V80-StartGridX) * (GapXDiff + $BW$7))</f>
        <v>-</v>
      </c>
      <c r="BL80" s="192" t="str">
        <f t="shared" ref="BL80" ca="1" si="635">IF($D80="-","-",$BL$5 + (W80-StartGridY) * (GapYDiff + $BV$7))</f>
        <v>-</v>
      </c>
      <c r="BM80" s="192" t="str">
        <f t="shared" ca="1" si="558"/>
        <v>-</v>
      </c>
      <c r="BN80" s="192" t="str">
        <f t="shared" ca="1" si="559"/>
        <v>-</v>
      </c>
      <c r="BO80" s="192" t="str">
        <f t="shared" ca="1" si="560"/>
        <v>-</v>
      </c>
      <c r="BP80" s="192" t="str">
        <f t="shared" ca="1" si="561"/>
        <v>-</v>
      </c>
      <c r="BQ80" s="192" t="str">
        <f ca="1">IF($D80="-","-",IF(LEN(K80)=0,1,IFERROR(MATCH(K80,Dashboard!$L$25:$L$31,0),1)))</f>
        <v>-</v>
      </c>
      <c r="CC80" s="143" t="str">
        <f t="shared" ref="CC80" ca="1" si="636">IF($D80="-","-",IF(COUNTIF(IDSourceRange,E80)&gt;1,1,0))</f>
        <v>-</v>
      </c>
      <c r="CD80" s="143" t="str">
        <f t="shared" ref="CD80" ca="1" si="637">IF($D80="-","-",  IF(LEN(M80)=0,0,IF(ISERROR(MATCH(M80,IDSourceRange,0)),1,0)) + IF(LEN(N80)=0,0,IF(ISERROR(MATCH(N80,IDSourceRange,0)),1,0)) + IF(LEN(O80)=0,0,IF(ISERROR(MATCH(O80,IDSourceRange,0)),1,0)) )</f>
        <v>-</v>
      </c>
      <c r="CE80" s="143" t="str">
        <f t="shared" ca="1" si="589"/>
        <v>-</v>
      </c>
      <c r="CF80" s="143" t="s">
        <v>128</v>
      </c>
      <c r="CG80" s="143" t="str">
        <f t="shared" ref="CG80" ca="1" si="638">IF($D80="-","-",IF(X80="-",0,IF(COUNTIF(GridCombinedRange,X80)&gt;1,1,0)))</f>
        <v>-</v>
      </c>
      <c r="CH80" s="143"/>
      <c r="CI80" s="143"/>
      <c r="CJ80" s="143"/>
      <c r="CK80" s="143"/>
      <c r="CL80" s="143"/>
    </row>
    <row r="81" spans="3:90" x14ac:dyDescent="0.3">
      <c r="C81" s="170">
        <v>75</v>
      </c>
      <c r="D81" s="111" t="str">
        <f ca="1">IF(COUNTA(OFFSET(Dashboard!$B$6,C81,0,1,COUNTA(Dashboard!$B$6:$H$6)))&gt;0,"Yes","-")</f>
        <v>-</v>
      </c>
      <c r="E81" s="170" t="str">
        <f ca="1">IF(D81="-","-",IF(LEN(INDEX(Dashboard!B$6:B$206,$C81+1))=0,"x"&amp;C81&amp;"x","x"&amp;INDEX(Dashboard!B$6:B$206,$C81+1)&amp;"x"))</f>
        <v>-</v>
      </c>
      <c r="F81" s="171" t="str">
        <f ca="1">IF(D81="-","-",IF(LEN(INDEX(Dashboard!$C$6:$C$206,C81+1))=0," ",INDEX(Dashboard!$C$6:$C$206,C81+1)))</f>
        <v>-</v>
      </c>
      <c r="G81" s="219" t="str">
        <f ca="1">IF(OR(D81="-",D81=""),"-",IF(LEN(INDEX(Dashboard!$D$6:$D$228,C81+1))=0,"", "x"&amp;SUBSTITUTE(SUBSTITUTE(INDEX(Dashboard!$D$6:$D$228,C81+1)," ",""),",","x,x")&amp;"x"))</f>
        <v>-</v>
      </c>
      <c r="H81" s="111" t="str">
        <f ca="1">IF(D81="-","-",TRIM(INDEX(Dashboard!$E$6:$E$206,C81+1)))</f>
        <v>-</v>
      </c>
      <c r="I81" s="111" t="str">
        <f ca="1">IF(D81="-","-",IF(LEN(INDEX(Dashboard!$F$6:$F$206,C81+1))=0,$BS$8,IF(ISERROR(MATCH(INDEX(Dashboard!$F$6:$F$206,C81+1),$BS$7:$BS$35,0)),$BS$8,INDEX(Dashboard!$F$6:$F$206,C81+1))))</f>
        <v>-</v>
      </c>
      <c r="J81" s="111" t="str">
        <f ca="1">IF(D81="-","-",SUBSTITUTE(INDEX(Dashboard!$G$6:$G$206,C81+1)," ",""))</f>
        <v>-</v>
      </c>
      <c r="K81" s="111" t="str">
        <f ca="1">IF(D81="-","-",IF(LEN(INDEX(Dashboard!$H$6:$H$206,C81+1))=0,"",INDEX(Dashboard!$H$6:$H$206,C81+1)))</f>
        <v>-</v>
      </c>
      <c r="M81" s="172" t="str">
        <f t="shared" ca="1" si="514"/>
        <v>-</v>
      </c>
      <c r="N81" s="172" t="str">
        <f t="shared" ca="1" si="514"/>
        <v>-</v>
      </c>
      <c r="O81" s="172" t="str">
        <f t="shared" ca="1" si="514"/>
        <v>-</v>
      </c>
      <c r="P81" s="173" t="str">
        <f t="shared" ca="1" si="548"/>
        <v>-</v>
      </c>
      <c r="Q81" s="172" t="str">
        <f t="shared" ca="1" si="548"/>
        <v>-</v>
      </c>
      <c r="R81" s="172" t="str">
        <f t="shared" ca="1" si="548"/>
        <v>-</v>
      </c>
      <c r="S81" s="174" t="str">
        <f t="array" aca="1" ref="S81" ca="1">IF($D81="-","-",SUM(IF(LEN(M81:O81)&gt;0,1,0)))</f>
        <v>-</v>
      </c>
      <c r="T81" s="175" t="str">
        <f t="array" aca="1" ref="T81" ca="1">IF(D81="-","-",SUM(IF(ISERROR(SEARCH(E81,$G$7:$G$206)),0,1)))</f>
        <v>-</v>
      </c>
      <c r="V81" s="204"/>
      <c r="W81" s="127"/>
      <c r="X81" s="177" t="str">
        <f t="shared" si="565"/>
        <v>-</v>
      </c>
      <c r="Y81" s="178"/>
      <c r="Z81" s="127"/>
      <c r="AB81" s="179" t="str">
        <f t="shared" ca="1" si="549"/>
        <v>-</v>
      </c>
      <c r="AC81" s="179" t="str">
        <f t="shared" ca="1" si="549"/>
        <v>-</v>
      </c>
      <c r="AD81" s="179" t="str">
        <f t="shared" ca="1" si="549"/>
        <v>-</v>
      </c>
      <c r="AJ81" s="181" t="str">
        <f t="shared" ca="1" si="550"/>
        <v>-</v>
      </c>
      <c r="AK81" s="179" t="str">
        <f t="shared" ca="1" si="551"/>
        <v>-</v>
      </c>
      <c r="AL81" s="179" t="str">
        <f t="shared" ca="1" si="551"/>
        <v>-</v>
      </c>
      <c r="AM81" s="179" t="str">
        <f t="shared" ca="1" si="551"/>
        <v>-</v>
      </c>
      <c r="AO81" s="182" t="str">
        <f t="shared" ca="1" si="552"/>
        <v>-</v>
      </c>
      <c r="AP81" s="182" t="str">
        <f t="shared" ca="1" si="552"/>
        <v>-</v>
      </c>
      <c r="AQ81" s="182" t="str">
        <f t="shared" ca="1" si="552"/>
        <v>-</v>
      </c>
      <c r="AU81" s="185" t="str">
        <f t="shared" ref="AU81" ca="1" si="639">IF($D81="-","-",IF(LEN(M81)=0,"", INDEX($AT$7:$AT$15,MATCH(IF($V81-INDEX(GridXRange,P81)&lt;0,"Negative",IF($V81-INDEX(GridXRange,P81)&gt;0,"Positive","Zero")) &amp; " - " &amp;IF($W81-INDEX(GridYRange,P81)&lt;0,"Negative",IF($W81-INDEX(GridYRange,P81)&gt;0,"Positive","Zero")),$AS$7:$AS$15,0))))</f>
        <v>-</v>
      </c>
      <c r="AV81" s="186" t="str">
        <f t="shared" ref="AV81" ca="1" si="640">IF($D81="-","-",IF(LEN(N81)=0,"", INDEX($AT$7:$AT$15,MATCH(IF($V81-INDEX(GridXRange,Q81)&lt;0,"Negative",IF($V81-INDEX(GridXRange,Q81)&gt;0,"Positive","Zero")) &amp; " - " &amp;IF($W81-INDEX(GridYRange,Q81)&lt;0,"Negative",IF($W81-INDEX(GridYRange,Q81)&gt;0,"Positive","Zero")),$AS$7:$AS$15,0))))</f>
        <v>-</v>
      </c>
      <c r="AW81" s="186" t="str">
        <f t="shared" ref="AW81" ca="1" si="641">IF($D81="-","-",IF(LEN(O81)=0,"", INDEX($AT$7:$AT$15,MATCH(IF($V81-INDEX(GridXRange,R81)&lt;0,"Negative",IF($V81-INDEX(GridXRange,R81)&gt;0,"Positive","Zero")) &amp; " - " &amp;IF($W81-INDEX(GridYRange,R81)&lt;0,"Negative",IF($W81-INDEX(GridYRange,R81)&gt;0,"Positive","Zero")),$AS$7:$AS$15,0))))</f>
        <v>-</v>
      </c>
      <c r="AX81" s="187"/>
      <c r="AY81" s="188"/>
      <c r="AZ81" s="188"/>
      <c r="BA81" s="184"/>
      <c r="BB81" s="187" t="str">
        <f t="shared" ca="1" si="518"/>
        <v>-</v>
      </c>
      <c r="BC81" s="188" t="str">
        <f t="shared" ca="1" si="518"/>
        <v>-</v>
      </c>
      <c r="BD81" s="188" t="str">
        <f t="shared" ca="1" si="518"/>
        <v>-</v>
      </c>
      <c r="BE81" s="189" t="str">
        <f t="shared" ca="1" si="518"/>
        <v>-</v>
      </c>
      <c r="BK81" s="192" t="str">
        <f t="shared" ref="BK81" ca="1" si="642">IF($D81="-","-",$BK$5 + (V81-StartGridX) * (GapXDiff + $BW$7))</f>
        <v>-</v>
      </c>
      <c r="BL81" s="192" t="str">
        <f t="shared" ref="BL81" ca="1" si="643">IF($D81="-","-",$BL$5 + (W81-StartGridY) * (GapYDiff + $BV$7))</f>
        <v>-</v>
      </c>
      <c r="BM81" s="192" t="str">
        <f t="shared" ca="1" si="558"/>
        <v>-</v>
      </c>
      <c r="BN81" s="192" t="str">
        <f t="shared" ca="1" si="559"/>
        <v>-</v>
      </c>
      <c r="BO81" s="192" t="str">
        <f t="shared" ca="1" si="560"/>
        <v>-</v>
      </c>
      <c r="BP81" s="192" t="str">
        <f t="shared" ca="1" si="561"/>
        <v>-</v>
      </c>
      <c r="BQ81" s="192" t="str">
        <f ca="1">IF($D81="-","-",IF(LEN(K81)=0,1,IFERROR(MATCH(K81,Dashboard!$L$25:$L$31,0),1)))</f>
        <v>-</v>
      </c>
      <c r="CC81" s="143" t="str">
        <f t="shared" ref="CC81" ca="1" si="644">IF($D81="-","-",IF(COUNTIF(IDSourceRange,E81)&gt;1,1,0))</f>
        <v>-</v>
      </c>
      <c r="CD81" s="143" t="str">
        <f t="shared" ref="CD81" ca="1" si="645">IF($D81="-","-",  IF(LEN(M81)=0,0,IF(ISERROR(MATCH(M81,IDSourceRange,0)),1,0)) + IF(LEN(N81)=0,0,IF(ISERROR(MATCH(N81,IDSourceRange,0)),1,0)) + IF(LEN(O81)=0,0,IF(ISERROR(MATCH(O81,IDSourceRange,0)),1,0)) )</f>
        <v>-</v>
      </c>
      <c r="CE81" s="143" t="str">
        <f t="shared" ca="1" si="589"/>
        <v>-</v>
      </c>
      <c r="CF81" s="143" t="s">
        <v>128</v>
      </c>
      <c r="CG81" s="143" t="str">
        <f t="shared" ref="CG81" ca="1" si="646">IF($D81="-","-",IF(X81="-",0,IF(COUNTIF(GridCombinedRange,X81)&gt;1,1,0)))</f>
        <v>-</v>
      </c>
      <c r="CH81" s="143"/>
      <c r="CI81" s="143"/>
      <c r="CJ81" s="143"/>
      <c r="CK81" s="143"/>
      <c r="CL81" s="143"/>
    </row>
    <row r="82" spans="3:90" x14ac:dyDescent="0.3">
      <c r="C82" s="170">
        <v>76</v>
      </c>
      <c r="D82" s="111" t="str">
        <f ca="1">IF(COUNTA(OFFSET(Dashboard!$B$6,C82,0,1,COUNTA(Dashboard!$B$6:$H$6)))&gt;0,"Yes","-")</f>
        <v>-</v>
      </c>
      <c r="E82" s="170" t="str">
        <f ca="1">IF(D82="-","-",IF(LEN(INDEX(Dashboard!B$6:B$206,$C82+1))=0,"x"&amp;C82&amp;"x","x"&amp;INDEX(Dashboard!B$6:B$206,$C82+1)&amp;"x"))</f>
        <v>-</v>
      </c>
      <c r="F82" s="171" t="str">
        <f ca="1">IF(D82="-","-",IF(LEN(INDEX(Dashboard!$C$6:$C$206,C82+1))=0," ",INDEX(Dashboard!$C$6:$C$206,C82+1)))</f>
        <v>-</v>
      </c>
      <c r="G82" s="219" t="str">
        <f ca="1">IF(OR(D82="-",D82=""),"-",IF(LEN(INDEX(Dashboard!$D$6:$D$228,C82+1))=0,"", "x"&amp;SUBSTITUTE(SUBSTITUTE(INDEX(Dashboard!$D$6:$D$228,C82+1)," ",""),",","x,x")&amp;"x"))</f>
        <v>-</v>
      </c>
      <c r="H82" s="111" t="str">
        <f ca="1">IF(D82="-","-",TRIM(INDEX(Dashboard!$E$6:$E$206,C82+1)))</f>
        <v>-</v>
      </c>
      <c r="I82" s="111" t="str">
        <f ca="1">IF(D82="-","-",IF(LEN(INDEX(Dashboard!$F$6:$F$206,C82+1))=0,$BS$8,IF(ISERROR(MATCH(INDEX(Dashboard!$F$6:$F$206,C82+1),$BS$7:$BS$35,0)),$BS$8,INDEX(Dashboard!$F$6:$F$206,C82+1))))</f>
        <v>-</v>
      </c>
      <c r="J82" s="111" t="str">
        <f ca="1">IF(D82="-","-",SUBSTITUTE(INDEX(Dashboard!$G$6:$G$206,C82+1)," ",""))</f>
        <v>-</v>
      </c>
      <c r="K82" s="111" t="str">
        <f ca="1">IF(D82="-","-",IF(LEN(INDEX(Dashboard!$H$6:$H$206,C82+1))=0,"",INDEX(Dashboard!$H$6:$H$206,C82+1)))</f>
        <v>-</v>
      </c>
      <c r="M82" s="172" t="str">
        <f t="shared" ca="1" si="514"/>
        <v>-</v>
      </c>
      <c r="N82" s="172" t="str">
        <f t="shared" ca="1" si="514"/>
        <v>-</v>
      </c>
      <c r="O82" s="172" t="str">
        <f t="shared" ca="1" si="514"/>
        <v>-</v>
      </c>
      <c r="P82" s="173" t="str">
        <f t="shared" ca="1" si="548"/>
        <v>-</v>
      </c>
      <c r="Q82" s="172" t="str">
        <f t="shared" ca="1" si="548"/>
        <v>-</v>
      </c>
      <c r="R82" s="172" t="str">
        <f t="shared" ca="1" si="548"/>
        <v>-</v>
      </c>
      <c r="S82" s="174" t="str">
        <f t="array" aca="1" ref="S82" ca="1">IF($D82="-","-",SUM(IF(LEN(M82:O82)&gt;0,1,0)))</f>
        <v>-</v>
      </c>
      <c r="T82" s="175" t="str">
        <f t="array" aca="1" ref="T82" ca="1">IF(D82="-","-",SUM(IF(ISERROR(SEARCH(E82,$G$7:$G$206)),0,1)))</f>
        <v>-</v>
      </c>
      <c r="V82" s="204"/>
      <c r="W82" s="127"/>
      <c r="X82" s="177" t="str">
        <f t="shared" si="565"/>
        <v>-</v>
      </c>
      <c r="Y82" s="178"/>
      <c r="Z82" s="127"/>
      <c r="AB82" s="179" t="str">
        <f t="shared" ca="1" si="549"/>
        <v>-</v>
      </c>
      <c r="AC82" s="179" t="str">
        <f t="shared" ca="1" si="549"/>
        <v>-</v>
      </c>
      <c r="AD82" s="179" t="str">
        <f t="shared" ca="1" si="549"/>
        <v>-</v>
      </c>
      <c r="AJ82" s="181" t="str">
        <f t="shared" ca="1" si="550"/>
        <v>-</v>
      </c>
      <c r="AK82" s="179" t="str">
        <f t="shared" ca="1" si="551"/>
        <v>-</v>
      </c>
      <c r="AL82" s="179" t="str">
        <f t="shared" ca="1" si="551"/>
        <v>-</v>
      </c>
      <c r="AM82" s="179" t="str">
        <f t="shared" ca="1" si="551"/>
        <v>-</v>
      </c>
      <c r="AO82" s="182" t="str">
        <f t="shared" ca="1" si="552"/>
        <v>-</v>
      </c>
      <c r="AP82" s="182" t="str">
        <f t="shared" ca="1" si="552"/>
        <v>-</v>
      </c>
      <c r="AQ82" s="182" t="str">
        <f t="shared" ca="1" si="552"/>
        <v>-</v>
      </c>
      <c r="AU82" s="185" t="str">
        <f t="shared" ref="AU82" ca="1" si="647">IF($D82="-","-",IF(LEN(M82)=0,"", INDEX($AT$7:$AT$15,MATCH(IF($V82-INDEX(GridXRange,P82)&lt;0,"Negative",IF($V82-INDEX(GridXRange,P82)&gt;0,"Positive","Zero")) &amp; " - " &amp;IF($W82-INDEX(GridYRange,P82)&lt;0,"Negative",IF($W82-INDEX(GridYRange,P82)&gt;0,"Positive","Zero")),$AS$7:$AS$15,0))))</f>
        <v>-</v>
      </c>
      <c r="AV82" s="186" t="str">
        <f t="shared" ref="AV82" ca="1" si="648">IF($D82="-","-",IF(LEN(N82)=0,"", INDEX($AT$7:$AT$15,MATCH(IF($V82-INDEX(GridXRange,Q82)&lt;0,"Negative",IF($V82-INDEX(GridXRange,Q82)&gt;0,"Positive","Zero")) &amp; " - " &amp;IF($W82-INDEX(GridYRange,Q82)&lt;0,"Negative",IF($W82-INDEX(GridYRange,Q82)&gt;0,"Positive","Zero")),$AS$7:$AS$15,0))))</f>
        <v>-</v>
      </c>
      <c r="AW82" s="186" t="str">
        <f t="shared" ref="AW82" ca="1" si="649">IF($D82="-","-",IF(LEN(O82)=0,"", INDEX($AT$7:$AT$15,MATCH(IF($V82-INDEX(GridXRange,R82)&lt;0,"Negative",IF($V82-INDEX(GridXRange,R82)&gt;0,"Positive","Zero")) &amp; " - " &amp;IF($W82-INDEX(GridYRange,R82)&lt;0,"Negative",IF($W82-INDEX(GridYRange,R82)&gt;0,"Positive","Zero")),$AS$7:$AS$15,0))))</f>
        <v>-</v>
      </c>
      <c r="AX82" s="187"/>
      <c r="AY82" s="188"/>
      <c r="AZ82" s="188"/>
      <c r="BA82" s="184"/>
      <c r="BB82" s="187" t="str">
        <f t="shared" ca="1" si="518"/>
        <v>-</v>
      </c>
      <c r="BC82" s="188" t="str">
        <f t="shared" ca="1" si="518"/>
        <v>-</v>
      </c>
      <c r="BD82" s="188" t="str">
        <f t="shared" ca="1" si="518"/>
        <v>-</v>
      </c>
      <c r="BE82" s="189" t="str">
        <f t="shared" ca="1" si="518"/>
        <v>-</v>
      </c>
      <c r="BK82" s="192" t="str">
        <f t="shared" ref="BK82" ca="1" si="650">IF($D82="-","-",$BK$5 + (V82-StartGridX) * (GapXDiff + $BW$7))</f>
        <v>-</v>
      </c>
      <c r="BL82" s="192" t="str">
        <f t="shared" ref="BL82" ca="1" si="651">IF($D82="-","-",$BL$5 + (W82-StartGridY) * (GapYDiff + $BV$7))</f>
        <v>-</v>
      </c>
      <c r="BM82" s="192" t="str">
        <f t="shared" ca="1" si="558"/>
        <v>-</v>
      </c>
      <c r="BN82" s="192" t="str">
        <f t="shared" ca="1" si="559"/>
        <v>-</v>
      </c>
      <c r="BO82" s="192" t="str">
        <f t="shared" ca="1" si="560"/>
        <v>-</v>
      </c>
      <c r="BP82" s="192" t="str">
        <f t="shared" ca="1" si="561"/>
        <v>-</v>
      </c>
      <c r="BQ82" s="192" t="str">
        <f ca="1">IF($D82="-","-",IF(LEN(K82)=0,1,IFERROR(MATCH(K82,Dashboard!$L$25:$L$31,0),1)))</f>
        <v>-</v>
      </c>
      <c r="CC82" s="143" t="str">
        <f t="shared" ref="CC82" ca="1" si="652">IF($D82="-","-",IF(COUNTIF(IDSourceRange,E82)&gt;1,1,0))</f>
        <v>-</v>
      </c>
      <c r="CD82" s="143" t="str">
        <f t="shared" ref="CD82" ca="1" si="653">IF($D82="-","-",  IF(LEN(M82)=0,0,IF(ISERROR(MATCH(M82,IDSourceRange,0)),1,0)) + IF(LEN(N82)=0,0,IF(ISERROR(MATCH(N82,IDSourceRange,0)),1,0)) + IF(LEN(O82)=0,0,IF(ISERROR(MATCH(O82,IDSourceRange,0)),1,0)) )</f>
        <v>-</v>
      </c>
      <c r="CE82" s="143" t="str">
        <f t="shared" ca="1" si="589"/>
        <v>-</v>
      </c>
      <c r="CF82" s="143" t="s">
        <v>128</v>
      </c>
      <c r="CG82" s="143" t="str">
        <f t="shared" ref="CG82" ca="1" si="654">IF($D82="-","-",IF(X82="-",0,IF(COUNTIF(GridCombinedRange,X82)&gt;1,1,0)))</f>
        <v>-</v>
      </c>
      <c r="CH82" s="143"/>
      <c r="CI82" s="143"/>
      <c r="CJ82" s="143"/>
      <c r="CK82" s="143"/>
      <c r="CL82" s="143"/>
    </row>
    <row r="83" spans="3:90" x14ac:dyDescent="0.3">
      <c r="C83" s="170">
        <v>77</v>
      </c>
      <c r="D83" s="111" t="str">
        <f ca="1">IF(COUNTA(OFFSET(Dashboard!$B$6,C83,0,1,COUNTA(Dashboard!$B$6:$H$6)))&gt;0,"Yes","-")</f>
        <v>-</v>
      </c>
      <c r="E83" s="170" t="str">
        <f ca="1">IF(D83="-","-",IF(LEN(INDEX(Dashboard!B$6:B$206,$C83+1))=0,"x"&amp;C83&amp;"x","x"&amp;INDEX(Dashboard!B$6:B$206,$C83+1)&amp;"x"))</f>
        <v>-</v>
      </c>
      <c r="F83" s="171" t="str">
        <f ca="1">IF(D83="-","-",IF(LEN(INDEX(Dashboard!$C$6:$C$206,C83+1))=0," ",INDEX(Dashboard!$C$6:$C$206,C83+1)))</f>
        <v>-</v>
      </c>
      <c r="G83" s="219" t="str">
        <f ca="1">IF(OR(D83="-",D83=""),"-",IF(LEN(INDEX(Dashboard!$D$6:$D$228,C83+1))=0,"", "x"&amp;SUBSTITUTE(SUBSTITUTE(INDEX(Dashboard!$D$6:$D$228,C83+1)," ",""),",","x,x")&amp;"x"))</f>
        <v>-</v>
      </c>
      <c r="H83" s="111" t="str">
        <f ca="1">IF(D83="-","-",TRIM(INDEX(Dashboard!$E$6:$E$206,C83+1)))</f>
        <v>-</v>
      </c>
      <c r="I83" s="111" t="str">
        <f ca="1">IF(D83="-","-",IF(LEN(INDEX(Dashboard!$F$6:$F$206,C83+1))=0,$BS$8,IF(ISERROR(MATCH(INDEX(Dashboard!$F$6:$F$206,C83+1),$BS$7:$BS$35,0)),$BS$8,INDEX(Dashboard!$F$6:$F$206,C83+1))))</f>
        <v>-</v>
      </c>
      <c r="J83" s="111" t="str">
        <f ca="1">IF(D83="-","-",SUBSTITUTE(INDEX(Dashboard!$G$6:$G$206,C83+1)," ",""))</f>
        <v>-</v>
      </c>
      <c r="K83" s="111" t="str">
        <f ca="1">IF(D83="-","-",IF(LEN(INDEX(Dashboard!$H$6:$H$206,C83+1))=0,"",INDEX(Dashboard!$H$6:$H$206,C83+1)))</f>
        <v>-</v>
      </c>
      <c r="M83" s="172" t="str">
        <f t="shared" ca="1" si="514"/>
        <v>-</v>
      </c>
      <c r="N83" s="172" t="str">
        <f t="shared" ca="1" si="514"/>
        <v>-</v>
      </c>
      <c r="O83" s="172" t="str">
        <f t="shared" ca="1" si="514"/>
        <v>-</v>
      </c>
      <c r="P83" s="173" t="str">
        <f t="shared" ca="1" si="548"/>
        <v>-</v>
      </c>
      <c r="Q83" s="172" t="str">
        <f t="shared" ca="1" si="548"/>
        <v>-</v>
      </c>
      <c r="R83" s="172" t="str">
        <f t="shared" ca="1" si="548"/>
        <v>-</v>
      </c>
      <c r="S83" s="174" t="str">
        <f t="array" aca="1" ref="S83" ca="1">IF($D83="-","-",SUM(IF(LEN(M83:O83)&gt;0,1,0)))</f>
        <v>-</v>
      </c>
      <c r="T83" s="175" t="str">
        <f t="array" aca="1" ref="T83" ca="1">IF(D83="-","-",SUM(IF(ISERROR(SEARCH(E83,$G$7:$G$206)),0,1)))</f>
        <v>-</v>
      </c>
      <c r="V83" s="204"/>
      <c r="W83" s="127"/>
      <c r="X83" s="177" t="str">
        <f t="shared" si="565"/>
        <v>-</v>
      </c>
      <c r="Y83" s="178"/>
      <c r="Z83" s="127"/>
      <c r="AB83" s="179" t="str">
        <f t="shared" ca="1" si="549"/>
        <v>-</v>
      </c>
      <c r="AC83" s="179" t="str">
        <f t="shared" ca="1" si="549"/>
        <v>-</v>
      </c>
      <c r="AD83" s="179" t="str">
        <f t="shared" ca="1" si="549"/>
        <v>-</v>
      </c>
      <c r="AJ83" s="181" t="str">
        <f t="shared" ca="1" si="550"/>
        <v>-</v>
      </c>
      <c r="AK83" s="179" t="str">
        <f t="shared" ca="1" si="551"/>
        <v>-</v>
      </c>
      <c r="AL83" s="179" t="str">
        <f t="shared" ca="1" si="551"/>
        <v>-</v>
      </c>
      <c r="AM83" s="179" t="str">
        <f t="shared" ca="1" si="551"/>
        <v>-</v>
      </c>
      <c r="AO83" s="182" t="str">
        <f t="shared" ca="1" si="552"/>
        <v>-</v>
      </c>
      <c r="AP83" s="182" t="str">
        <f t="shared" ca="1" si="552"/>
        <v>-</v>
      </c>
      <c r="AQ83" s="182" t="str">
        <f t="shared" ca="1" si="552"/>
        <v>-</v>
      </c>
      <c r="AU83" s="185" t="str">
        <f t="shared" ref="AU83" ca="1" si="655">IF($D83="-","-",IF(LEN(M83)=0,"", INDEX($AT$7:$AT$15,MATCH(IF($V83-INDEX(GridXRange,P83)&lt;0,"Negative",IF($V83-INDEX(GridXRange,P83)&gt;0,"Positive","Zero")) &amp; " - " &amp;IF($W83-INDEX(GridYRange,P83)&lt;0,"Negative",IF($W83-INDEX(GridYRange,P83)&gt;0,"Positive","Zero")),$AS$7:$AS$15,0))))</f>
        <v>-</v>
      </c>
      <c r="AV83" s="186" t="str">
        <f t="shared" ref="AV83" ca="1" si="656">IF($D83="-","-",IF(LEN(N83)=0,"", INDEX($AT$7:$AT$15,MATCH(IF($V83-INDEX(GridXRange,Q83)&lt;0,"Negative",IF($V83-INDEX(GridXRange,Q83)&gt;0,"Positive","Zero")) &amp; " - " &amp;IF($W83-INDEX(GridYRange,Q83)&lt;0,"Negative",IF($W83-INDEX(GridYRange,Q83)&gt;0,"Positive","Zero")),$AS$7:$AS$15,0))))</f>
        <v>-</v>
      </c>
      <c r="AW83" s="186" t="str">
        <f t="shared" ref="AW83" ca="1" si="657">IF($D83="-","-",IF(LEN(O83)=0,"", INDEX($AT$7:$AT$15,MATCH(IF($V83-INDEX(GridXRange,R83)&lt;0,"Negative",IF($V83-INDEX(GridXRange,R83)&gt;0,"Positive","Zero")) &amp; " - " &amp;IF($W83-INDEX(GridYRange,R83)&lt;0,"Negative",IF($W83-INDEX(GridYRange,R83)&gt;0,"Positive","Zero")),$AS$7:$AS$15,0))))</f>
        <v>-</v>
      </c>
      <c r="AX83" s="187"/>
      <c r="AY83" s="188"/>
      <c r="AZ83" s="188"/>
      <c r="BA83" s="184"/>
      <c r="BB83" s="187" t="str">
        <f t="shared" ca="1" si="518"/>
        <v>-</v>
      </c>
      <c r="BC83" s="188" t="str">
        <f t="shared" ca="1" si="518"/>
        <v>-</v>
      </c>
      <c r="BD83" s="188" t="str">
        <f t="shared" ca="1" si="518"/>
        <v>-</v>
      </c>
      <c r="BE83" s="189" t="str">
        <f t="shared" ca="1" si="518"/>
        <v>-</v>
      </c>
      <c r="BK83" s="192" t="str">
        <f t="shared" ref="BK83" ca="1" si="658">IF($D83="-","-",$BK$5 + (V83-StartGridX) * (GapXDiff + $BW$7))</f>
        <v>-</v>
      </c>
      <c r="BL83" s="192" t="str">
        <f t="shared" ref="BL83" ca="1" si="659">IF($D83="-","-",$BL$5 + (W83-StartGridY) * (GapYDiff + $BV$7))</f>
        <v>-</v>
      </c>
      <c r="BM83" s="192" t="str">
        <f t="shared" ca="1" si="558"/>
        <v>-</v>
      </c>
      <c r="BN83" s="192" t="str">
        <f t="shared" ca="1" si="559"/>
        <v>-</v>
      </c>
      <c r="BO83" s="192" t="str">
        <f t="shared" ca="1" si="560"/>
        <v>-</v>
      </c>
      <c r="BP83" s="192" t="str">
        <f t="shared" ca="1" si="561"/>
        <v>-</v>
      </c>
      <c r="BQ83" s="192" t="str">
        <f ca="1">IF($D83="-","-",IF(LEN(K83)=0,1,IFERROR(MATCH(K83,Dashboard!$L$25:$L$31,0),1)))</f>
        <v>-</v>
      </c>
      <c r="CC83" s="143" t="str">
        <f t="shared" ref="CC83" ca="1" si="660">IF($D83="-","-",IF(COUNTIF(IDSourceRange,E83)&gt;1,1,0))</f>
        <v>-</v>
      </c>
      <c r="CD83" s="143" t="str">
        <f t="shared" ref="CD83" ca="1" si="661">IF($D83="-","-",  IF(LEN(M83)=0,0,IF(ISERROR(MATCH(M83,IDSourceRange,0)),1,0)) + IF(LEN(N83)=0,0,IF(ISERROR(MATCH(N83,IDSourceRange,0)),1,0)) + IF(LEN(O83)=0,0,IF(ISERROR(MATCH(O83,IDSourceRange,0)),1,0)) )</f>
        <v>-</v>
      </c>
      <c r="CE83" s="143" t="str">
        <f t="shared" ca="1" si="589"/>
        <v>-</v>
      </c>
      <c r="CF83" s="143" t="s">
        <v>128</v>
      </c>
      <c r="CG83" s="143" t="str">
        <f t="shared" ref="CG83" ca="1" si="662">IF($D83="-","-",IF(X83="-",0,IF(COUNTIF(GridCombinedRange,X83)&gt;1,1,0)))</f>
        <v>-</v>
      </c>
      <c r="CH83" s="143"/>
      <c r="CI83" s="143"/>
      <c r="CJ83" s="143"/>
      <c r="CK83" s="143"/>
      <c r="CL83" s="143"/>
    </row>
    <row r="84" spans="3:90" x14ac:dyDescent="0.3">
      <c r="C84" s="170">
        <v>78</v>
      </c>
      <c r="D84" s="111" t="str">
        <f ca="1">IF(COUNTA(OFFSET(Dashboard!$B$6,C84,0,1,COUNTA(Dashboard!$B$6:$H$6)))&gt;0,"Yes","-")</f>
        <v>-</v>
      </c>
      <c r="E84" s="221" t="str">
        <f ca="1">IF(D84="-","-",IF(LEN(INDEX(Dashboard!B$6:B$228,$C84+1))=0,"x"&amp;C84&amp;"x","x"&amp;INDEX(Dashboard!B$6:B$228,$C84+1)&amp;"x"))</f>
        <v>-</v>
      </c>
      <c r="F84" s="171" t="str">
        <f ca="1">IF(D84="-","-",IF(LEN(INDEX(Dashboard!$C$6:$C$206,C84+1))=0," ",INDEX(Dashboard!$C$6:$C$206,C84+1)))</f>
        <v>-</v>
      </c>
      <c r="G84" s="219" t="str">
        <f ca="1">IF(OR(D84="-",D84=""),"-",IF(LEN(INDEX(Dashboard!$D$6:$D$228,C84+1))=0,"", "x"&amp;SUBSTITUTE(SUBSTITUTE(INDEX(Dashboard!$D$6:$D$228,C84+1)," ",""),",","x,x")&amp;"x"))</f>
        <v>-</v>
      </c>
      <c r="H84" s="111" t="str">
        <f ca="1">IF(D84="-","-",TRIM(INDEX(Dashboard!$E$6:$E$206,C84+1)))</f>
        <v>-</v>
      </c>
      <c r="I84" s="111" t="str">
        <f ca="1">IF(D84="-","-",IF(LEN(INDEX(Dashboard!$F$6:$F$206,C84+1))=0,$BS$8,IF(ISERROR(MATCH(INDEX(Dashboard!$F$6:$F$206,C84+1),$BS$7:$BS$35,0)),$BS$8,INDEX(Dashboard!$F$6:$F$206,C84+1))))</f>
        <v>-</v>
      </c>
      <c r="J84" s="111" t="str">
        <f ca="1">IF(D84="-","-",SUBSTITUTE(INDEX(Dashboard!$G$6:$G$206,C84+1)," ",""))</f>
        <v>-</v>
      </c>
      <c r="K84" s="111" t="str">
        <f ca="1">IF(D84="-","-",IF(LEN(INDEX(Dashboard!$H$6:$H$206,C84+1))=0,"",INDEX(Dashboard!$H$6:$H$206,C84+1)))</f>
        <v>-</v>
      </c>
      <c r="M84" s="172" t="str">
        <f t="shared" ca="1" si="514"/>
        <v>-</v>
      </c>
      <c r="N84" s="172" t="str">
        <f t="shared" ca="1" si="514"/>
        <v>-</v>
      </c>
      <c r="O84" s="172" t="str">
        <f t="shared" ca="1" si="514"/>
        <v>-</v>
      </c>
      <c r="P84" s="173" t="str">
        <f t="shared" ca="1" si="548"/>
        <v>-</v>
      </c>
      <c r="Q84" s="172" t="str">
        <f t="shared" ca="1" si="548"/>
        <v>-</v>
      </c>
      <c r="R84" s="172" t="str">
        <f t="shared" ca="1" si="548"/>
        <v>-</v>
      </c>
      <c r="S84" s="174" t="str">
        <f t="array" aca="1" ref="S84" ca="1">IF($D84="-","-",SUM(IF(LEN(M84:O84)&gt;0,1,0)))</f>
        <v>-</v>
      </c>
      <c r="T84" s="175" t="str">
        <f t="array" aca="1" ref="T84" ca="1">IF(D84="-","-",SUM(IF(ISERROR(SEARCH(E84,$G$7:$G$206)),0,1)))</f>
        <v>-</v>
      </c>
      <c r="V84" s="204"/>
      <c r="W84" s="127"/>
      <c r="X84" s="177" t="str">
        <f t="shared" si="565"/>
        <v>-</v>
      </c>
      <c r="Y84" s="178"/>
      <c r="Z84" s="127"/>
      <c r="AB84" s="179" t="str">
        <f t="shared" ca="1" si="549"/>
        <v>-</v>
      </c>
      <c r="AC84" s="179" t="str">
        <f t="shared" ca="1" si="549"/>
        <v>-</v>
      </c>
      <c r="AD84" s="179" t="str">
        <f t="shared" ca="1" si="549"/>
        <v>-</v>
      </c>
      <c r="AJ84" s="181" t="str">
        <f t="shared" ca="1" si="550"/>
        <v>-</v>
      </c>
      <c r="AK84" s="179" t="str">
        <f t="shared" ca="1" si="551"/>
        <v>-</v>
      </c>
      <c r="AL84" s="179" t="str">
        <f t="shared" ca="1" si="551"/>
        <v>-</v>
      </c>
      <c r="AM84" s="179" t="str">
        <f t="shared" ca="1" si="551"/>
        <v>-</v>
      </c>
      <c r="AO84" s="182" t="str">
        <f t="shared" ca="1" si="552"/>
        <v>-</v>
      </c>
      <c r="AP84" s="182" t="str">
        <f t="shared" ca="1" si="552"/>
        <v>-</v>
      </c>
      <c r="AQ84" s="182" t="str">
        <f t="shared" ca="1" si="552"/>
        <v>-</v>
      </c>
      <c r="AU84" s="185" t="str">
        <f t="shared" ref="AU84" ca="1" si="663">IF($D84="-","-",IF(LEN(M84)=0,"", INDEX($AT$7:$AT$15,MATCH(IF($V84-INDEX(GridXRange,P84)&lt;0,"Negative",IF($V84-INDEX(GridXRange,P84)&gt;0,"Positive","Zero")) &amp; " - " &amp;IF($W84-INDEX(GridYRange,P84)&lt;0,"Negative",IF($W84-INDEX(GridYRange,P84)&gt;0,"Positive","Zero")),$AS$7:$AS$15,0))))</f>
        <v>-</v>
      </c>
      <c r="AV84" s="186" t="str">
        <f t="shared" ref="AV84" ca="1" si="664">IF($D84="-","-",IF(LEN(N84)=0,"", INDEX($AT$7:$AT$15,MATCH(IF($V84-INDEX(GridXRange,Q84)&lt;0,"Negative",IF($V84-INDEX(GridXRange,Q84)&gt;0,"Positive","Zero")) &amp; " - " &amp;IF($W84-INDEX(GridYRange,Q84)&lt;0,"Negative",IF($W84-INDEX(GridYRange,Q84)&gt;0,"Positive","Zero")),$AS$7:$AS$15,0))))</f>
        <v>-</v>
      </c>
      <c r="AW84" s="186" t="str">
        <f t="shared" ref="AW84" ca="1" si="665">IF($D84="-","-",IF(LEN(O84)=0,"", INDEX($AT$7:$AT$15,MATCH(IF($V84-INDEX(GridXRange,R84)&lt;0,"Negative",IF($V84-INDEX(GridXRange,R84)&gt;0,"Positive","Zero")) &amp; " - " &amp;IF($W84-INDEX(GridYRange,R84)&lt;0,"Negative",IF($W84-INDEX(GridYRange,R84)&gt;0,"Positive","Zero")),$AS$7:$AS$15,0))))</f>
        <v>-</v>
      </c>
      <c r="AX84" s="187"/>
      <c r="AY84" s="188"/>
      <c r="AZ84" s="188"/>
      <c r="BA84" s="184"/>
      <c r="BB84" s="187" t="str">
        <f t="shared" ca="1" si="518"/>
        <v>-</v>
      </c>
      <c r="BC84" s="188" t="str">
        <f t="shared" ca="1" si="518"/>
        <v>-</v>
      </c>
      <c r="BD84" s="188" t="str">
        <f t="shared" ca="1" si="518"/>
        <v>-</v>
      </c>
      <c r="BE84" s="189" t="str">
        <f t="shared" ca="1" si="518"/>
        <v>-</v>
      </c>
      <c r="BK84" s="192" t="str">
        <f t="shared" ref="BK84" ca="1" si="666">IF($D84="-","-",$BK$5 + (V84-StartGridX) * (GapXDiff + $BW$7))</f>
        <v>-</v>
      </c>
      <c r="BL84" s="192" t="str">
        <f t="shared" ref="BL84" ca="1" si="667">IF($D84="-","-",$BL$5 + (W84-StartGridY) * (GapYDiff + $BV$7))</f>
        <v>-</v>
      </c>
      <c r="BM84" s="192" t="str">
        <f t="shared" ca="1" si="558"/>
        <v>-</v>
      </c>
      <c r="BN84" s="192" t="str">
        <f t="shared" ca="1" si="559"/>
        <v>-</v>
      </c>
      <c r="BO84" s="192" t="str">
        <f t="shared" ca="1" si="560"/>
        <v>-</v>
      </c>
      <c r="BP84" s="192" t="str">
        <f t="shared" ca="1" si="561"/>
        <v>-</v>
      </c>
      <c r="BQ84" s="192" t="str">
        <f ca="1">IF($D84="-","-",IF(LEN(K84)=0,1,IFERROR(MATCH(K84,Dashboard!$L$25:$L$31,0),1)))</f>
        <v>-</v>
      </c>
      <c r="CC84" s="143" t="str">
        <f t="shared" ref="CC84" ca="1" si="668">IF($D84="-","-",IF(COUNTIF(IDSourceRange,E84)&gt;1,1,0))</f>
        <v>-</v>
      </c>
      <c r="CD84" s="143" t="str">
        <f t="shared" ref="CD84" ca="1" si="669">IF($D84="-","-",  IF(LEN(M84)=0,0,IF(ISERROR(MATCH(M84,IDSourceRange,0)),1,0)) + IF(LEN(N84)=0,0,IF(ISERROR(MATCH(N84,IDSourceRange,0)),1,0)) + IF(LEN(O84)=0,0,IF(ISERROR(MATCH(O84,IDSourceRange,0)),1,0)) )</f>
        <v>-</v>
      </c>
      <c r="CE84" s="143" t="str">
        <f t="shared" ca="1" si="589"/>
        <v>-</v>
      </c>
      <c r="CF84" s="143" t="s">
        <v>128</v>
      </c>
      <c r="CG84" s="143" t="str">
        <f t="shared" ref="CG84" ca="1" si="670">IF($D84="-","-",IF(X84="-",0,IF(COUNTIF(GridCombinedRange,X84)&gt;1,1,0)))</f>
        <v>-</v>
      </c>
      <c r="CH84" s="143"/>
      <c r="CI84" s="143"/>
      <c r="CJ84" s="143"/>
      <c r="CK84" s="143"/>
      <c r="CL84" s="143"/>
    </row>
    <row r="85" spans="3:90" x14ac:dyDescent="0.3">
      <c r="C85" s="170">
        <v>79</v>
      </c>
      <c r="D85" s="111" t="str">
        <f ca="1">IF(COUNTA(OFFSET(Dashboard!$B$6,C85,0,1,COUNTA(Dashboard!$B$6:$H$6)))&gt;0,"Yes","-")</f>
        <v>-</v>
      </c>
      <c r="E85" s="170" t="str">
        <f ca="1">IF(D85="-","-",IF(LEN(INDEX(Dashboard!B$6:B$206,$C85+1))=0,"x"&amp;C85&amp;"x","x"&amp;INDEX(Dashboard!B$6:B$206,$C85+1)&amp;"x"))</f>
        <v>-</v>
      </c>
      <c r="F85" s="171" t="str">
        <f ca="1">IF(D85="-","-",IF(LEN(INDEX(Dashboard!$C$6:$C$206,C85+1))=0," ",INDEX(Dashboard!$C$6:$C$206,C85+1)))</f>
        <v>-</v>
      </c>
      <c r="G85" s="219" t="str">
        <f ca="1">IF(OR(D85="-",D85=""),"-",IF(LEN(INDEX(Dashboard!$D$6:$D$228,C85+1))=0,"", "x"&amp;SUBSTITUTE(SUBSTITUTE(INDEX(Dashboard!$D$6:$D$228,C85+1)," ",""),",","x,x")&amp;"x"))</f>
        <v>-</v>
      </c>
      <c r="H85" s="111" t="str">
        <f ca="1">IF(D85="-","-",TRIM(INDEX(Dashboard!$E$6:$E$206,C85+1)))</f>
        <v>-</v>
      </c>
      <c r="I85" s="111" t="str">
        <f ca="1">IF(D85="-","-",IF(LEN(INDEX(Dashboard!$F$6:$F$206,C85+1))=0,$BS$8,IF(ISERROR(MATCH(INDEX(Dashboard!$F$6:$F$206,C85+1),$BS$7:$BS$35,0)),$BS$8,INDEX(Dashboard!$F$6:$F$206,C85+1))))</f>
        <v>-</v>
      </c>
      <c r="J85" s="111" t="str">
        <f ca="1">IF(D85="-","-",SUBSTITUTE(INDEX(Dashboard!$G$6:$G$206,C85+1)," ",""))</f>
        <v>-</v>
      </c>
      <c r="K85" s="111" t="str">
        <f ca="1">IF(D85="-","-",IF(LEN(INDEX(Dashboard!$H$6:$H$206,C85+1))=0,"",INDEX(Dashboard!$H$6:$H$206,C85+1)))</f>
        <v>-</v>
      </c>
      <c r="M85" s="172" t="str">
        <f t="shared" ca="1" si="514"/>
        <v>-</v>
      </c>
      <c r="N85" s="172" t="str">
        <f t="shared" ca="1" si="514"/>
        <v>-</v>
      </c>
      <c r="O85" s="172" t="str">
        <f t="shared" ca="1" si="514"/>
        <v>-</v>
      </c>
      <c r="P85" s="173" t="str">
        <f t="shared" ca="1" si="548"/>
        <v>-</v>
      </c>
      <c r="Q85" s="172" t="str">
        <f t="shared" ca="1" si="548"/>
        <v>-</v>
      </c>
      <c r="R85" s="172" t="str">
        <f t="shared" ca="1" si="548"/>
        <v>-</v>
      </c>
      <c r="S85" s="174" t="str">
        <f t="array" aca="1" ref="S85" ca="1">IF($D85="-","-",SUM(IF(LEN(M85:O85)&gt;0,1,0)))</f>
        <v>-</v>
      </c>
      <c r="T85" s="175" t="str">
        <f t="array" aca="1" ref="T85" ca="1">IF(D85="-","-",SUM(IF(ISERROR(SEARCH(E85,$G$7:$G$206)),0,1)))</f>
        <v>-</v>
      </c>
      <c r="V85" s="204"/>
      <c r="W85" s="127"/>
      <c r="X85" s="177" t="str">
        <f t="shared" si="565"/>
        <v>-</v>
      </c>
      <c r="Y85" s="178"/>
      <c r="Z85" s="127"/>
      <c r="AB85" s="179" t="str">
        <f t="shared" ca="1" si="549"/>
        <v>-</v>
      </c>
      <c r="AC85" s="179" t="str">
        <f t="shared" ca="1" si="549"/>
        <v>-</v>
      </c>
      <c r="AD85" s="179" t="str">
        <f t="shared" ca="1" si="549"/>
        <v>-</v>
      </c>
      <c r="AJ85" s="181" t="str">
        <f t="shared" ca="1" si="550"/>
        <v>-</v>
      </c>
      <c r="AK85" s="179" t="str">
        <f t="shared" ca="1" si="551"/>
        <v>-</v>
      </c>
      <c r="AL85" s="179" t="str">
        <f t="shared" ca="1" si="551"/>
        <v>-</v>
      </c>
      <c r="AM85" s="179" t="str">
        <f t="shared" ca="1" si="551"/>
        <v>-</v>
      </c>
      <c r="AO85" s="182" t="str">
        <f t="shared" ca="1" si="552"/>
        <v>-</v>
      </c>
      <c r="AP85" s="182" t="str">
        <f t="shared" ca="1" si="552"/>
        <v>-</v>
      </c>
      <c r="AQ85" s="182" t="str">
        <f t="shared" ca="1" si="552"/>
        <v>-</v>
      </c>
      <c r="AU85" s="185" t="str">
        <f t="shared" ref="AU85" ca="1" si="671">IF($D85="-","-",IF(LEN(M85)=0,"", INDEX($AT$7:$AT$15,MATCH(IF($V85-INDEX(GridXRange,P85)&lt;0,"Negative",IF($V85-INDEX(GridXRange,P85)&gt;0,"Positive","Zero")) &amp; " - " &amp;IF($W85-INDEX(GridYRange,P85)&lt;0,"Negative",IF($W85-INDEX(GridYRange,P85)&gt;0,"Positive","Zero")),$AS$7:$AS$15,0))))</f>
        <v>-</v>
      </c>
      <c r="AV85" s="186" t="str">
        <f t="shared" ref="AV85" ca="1" si="672">IF($D85="-","-",IF(LEN(N85)=0,"", INDEX($AT$7:$AT$15,MATCH(IF($V85-INDEX(GridXRange,Q85)&lt;0,"Negative",IF($V85-INDEX(GridXRange,Q85)&gt;0,"Positive","Zero")) &amp; " - " &amp;IF($W85-INDEX(GridYRange,Q85)&lt;0,"Negative",IF($W85-INDEX(GridYRange,Q85)&gt;0,"Positive","Zero")),$AS$7:$AS$15,0))))</f>
        <v>-</v>
      </c>
      <c r="AW85" s="186" t="str">
        <f t="shared" ref="AW85" ca="1" si="673">IF($D85="-","-",IF(LEN(O85)=0,"", INDEX($AT$7:$AT$15,MATCH(IF($V85-INDEX(GridXRange,R85)&lt;0,"Negative",IF($V85-INDEX(GridXRange,R85)&gt;0,"Positive","Zero")) &amp; " - " &amp;IF($W85-INDEX(GridYRange,R85)&lt;0,"Negative",IF($W85-INDEX(GridYRange,R85)&gt;0,"Positive","Zero")),$AS$7:$AS$15,0))))</f>
        <v>-</v>
      </c>
      <c r="AX85" s="187"/>
      <c r="AY85" s="188"/>
      <c r="AZ85" s="188"/>
      <c r="BA85" s="184"/>
      <c r="BB85" s="187" t="str">
        <f t="shared" ca="1" si="518"/>
        <v>-</v>
      </c>
      <c r="BC85" s="188" t="str">
        <f t="shared" ca="1" si="518"/>
        <v>-</v>
      </c>
      <c r="BD85" s="188" t="str">
        <f t="shared" ca="1" si="518"/>
        <v>-</v>
      </c>
      <c r="BE85" s="189" t="str">
        <f t="shared" ca="1" si="518"/>
        <v>-</v>
      </c>
      <c r="BK85" s="192" t="str">
        <f t="shared" ref="BK85" ca="1" si="674">IF($D85="-","-",$BK$5 + (V85-StartGridX) * (GapXDiff + $BW$7))</f>
        <v>-</v>
      </c>
      <c r="BL85" s="192" t="str">
        <f t="shared" ref="BL85" ca="1" si="675">IF($D85="-","-",$BL$5 + (W85-StartGridY) * (GapYDiff + $BV$7))</f>
        <v>-</v>
      </c>
      <c r="BM85" s="192" t="str">
        <f t="shared" ca="1" si="558"/>
        <v>-</v>
      </c>
      <c r="BN85" s="192" t="str">
        <f t="shared" ca="1" si="559"/>
        <v>-</v>
      </c>
      <c r="BO85" s="192" t="str">
        <f t="shared" ca="1" si="560"/>
        <v>-</v>
      </c>
      <c r="BP85" s="192" t="str">
        <f t="shared" ca="1" si="561"/>
        <v>-</v>
      </c>
      <c r="BQ85" s="192" t="str">
        <f ca="1">IF($D85="-","-",IF(LEN(K85)=0,1,IFERROR(MATCH(K85,Dashboard!$L$25:$L$31,0),1)))</f>
        <v>-</v>
      </c>
      <c r="CC85" s="143" t="str">
        <f t="shared" ref="CC85" ca="1" si="676">IF($D85="-","-",IF(COUNTIF(IDSourceRange,E85)&gt;1,1,0))</f>
        <v>-</v>
      </c>
      <c r="CD85" s="143" t="str">
        <f t="shared" ref="CD85" ca="1" si="677">IF($D85="-","-",  IF(LEN(M85)=0,0,IF(ISERROR(MATCH(M85,IDSourceRange,0)),1,0)) + IF(LEN(N85)=0,0,IF(ISERROR(MATCH(N85,IDSourceRange,0)),1,0)) + IF(LEN(O85)=0,0,IF(ISERROR(MATCH(O85,IDSourceRange,0)),1,0)) )</f>
        <v>-</v>
      </c>
      <c r="CE85" s="143" t="str">
        <f t="shared" ca="1" si="589"/>
        <v>-</v>
      </c>
      <c r="CF85" s="143" t="s">
        <v>128</v>
      </c>
      <c r="CG85" s="143" t="str">
        <f t="shared" ref="CG85" ca="1" si="678">IF($D85="-","-",IF(X85="-",0,IF(COUNTIF(GridCombinedRange,X85)&gt;1,1,0)))</f>
        <v>-</v>
      </c>
      <c r="CH85" s="143"/>
      <c r="CI85" s="143"/>
      <c r="CJ85" s="143"/>
      <c r="CK85" s="143"/>
      <c r="CL85" s="143"/>
    </row>
    <row r="86" spans="3:90" x14ac:dyDescent="0.3">
      <c r="C86" s="170">
        <v>80</v>
      </c>
      <c r="D86" s="111" t="str">
        <f ca="1">IF(COUNTA(OFFSET(Dashboard!$B$6,C86,0,1,COUNTA(Dashboard!$B$6:$H$6)))&gt;0,"Yes","-")</f>
        <v>-</v>
      </c>
      <c r="E86" s="170" t="str">
        <f ca="1">IF(D86="-","-",IF(LEN(INDEX(Dashboard!B$6:B$206,$C86+1))=0,"x"&amp;C86&amp;"x","x"&amp;INDEX(Dashboard!B$6:B$206,$C86+1)&amp;"x"))</f>
        <v>-</v>
      </c>
      <c r="F86" s="171" t="str">
        <f ca="1">IF(D86="-","-",IF(LEN(INDEX(Dashboard!$C$6:$C$206,C86+1))=0," ",INDEX(Dashboard!$C$6:$C$206,C86+1)))</f>
        <v>-</v>
      </c>
      <c r="G86" s="219" t="str">
        <f ca="1">IF(OR(D86="-",D86=""),"-",IF(LEN(INDEX(Dashboard!$D$6:$D$228,C86+1))=0,"", "x"&amp;SUBSTITUTE(SUBSTITUTE(INDEX(Dashboard!$D$6:$D$228,C86+1)," ",""),",","x,x")&amp;"x"))</f>
        <v>-</v>
      </c>
      <c r="H86" s="111" t="str">
        <f ca="1">IF(D86="-","-",TRIM(INDEX(Dashboard!$E$6:$E$206,C86+1)))</f>
        <v>-</v>
      </c>
      <c r="I86" s="111" t="str">
        <f ca="1">IF(D86="-","-",IF(LEN(INDEX(Dashboard!$F$6:$F$206,C86+1))=0,$BS$8,IF(ISERROR(MATCH(INDEX(Dashboard!$F$6:$F$206,C86+1),$BS$7:$BS$35,0)),$BS$8,INDEX(Dashboard!$F$6:$F$206,C86+1))))</f>
        <v>-</v>
      </c>
      <c r="J86" s="111" t="str">
        <f ca="1">IF(D86="-","-",SUBSTITUTE(INDEX(Dashboard!$G$6:$G$206,C86+1)," ",""))</f>
        <v>-</v>
      </c>
      <c r="K86" s="111" t="str">
        <f ca="1">IF(D86="-","-",IF(LEN(INDEX(Dashboard!$H$6:$H$206,C86+1))=0,"",INDEX(Dashboard!$H$6:$H$206,C86+1)))</f>
        <v>-</v>
      </c>
      <c r="M86" s="172" t="str">
        <f t="shared" ca="1" si="514"/>
        <v>-</v>
      </c>
      <c r="N86" s="172" t="str">
        <f t="shared" ca="1" si="514"/>
        <v>-</v>
      </c>
      <c r="O86" s="172" t="str">
        <f t="shared" ca="1" si="514"/>
        <v>-</v>
      </c>
      <c r="P86" s="173" t="str">
        <f t="shared" ca="1" si="548"/>
        <v>-</v>
      </c>
      <c r="Q86" s="172" t="str">
        <f t="shared" ca="1" si="548"/>
        <v>-</v>
      </c>
      <c r="R86" s="172" t="str">
        <f t="shared" ca="1" si="548"/>
        <v>-</v>
      </c>
      <c r="S86" s="174" t="str">
        <f t="array" aca="1" ref="S86" ca="1">IF($D86="-","-",SUM(IF(LEN(M86:O86)&gt;0,1,0)))</f>
        <v>-</v>
      </c>
      <c r="T86" s="175" t="str">
        <f t="array" aca="1" ref="T86" ca="1">IF(D86="-","-",SUM(IF(ISERROR(SEARCH(E86,$G$7:$G$206)),0,1)))</f>
        <v>-</v>
      </c>
      <c r="V86" s="204"/>
      <c r="W86" s="127"/>
      <c r="X86" s="177" t="str">
        <f t="shared" si="565"/>
        <v>-</v>
      </c>
      <c r="Y86" s="178"/>
      <c r="Z86" s="127"/>
      <c r="AB86" s="179" t="str">
        <f t="shared" ca="1" si="549"/>
        <v>-</v>
      </c>
      <c r="AC86" s="179" t="str">
        <f t="shared" ca="1" si="549"/>
        <v>-</v>
      </c>
      <c r="AD86" s="179" t="str">
        <f t="shared" ca="1" si="549"/>
        <v>-</v>
      </c>
      <c r="AJ86" s="181" t="str">
        <f t="shared" ca="1" si="550"/>
        <v>-</v>
      </c>
      <c r="AK86" s="179" t="str">
        <f t="shared" ca="1" si="551"/>
        <v>-</v>
      </c>
      <c r="AL86" s="179" t="str">
        <f t="shared" ca="1" si="551"/>
        <v>-</v>
      </c>
      <c r="AM86" s="179" t="str">
        <f t="shared" ca="1" si="551"/>
        <v>-</v>
      </c>
      <c r="AO86" s="182" t="str">
        <f t="shared" ca="1" si="552"/>
        <v>-</v>
      </c>
      <c r="AP86" s="182" t="str">
        <f t="shared" ca="1" si="552"/>
        <v>-</v>
      </c>
      <c r="AQ86" s="182" t="str">
        <f t="shared" ca="1" si="552"/>
        <v>-</v>
      </c>
      <c r="AU86" s="185" t="str">
        <f t="shared" ref="AU86" ca="1" si="679">IF($D86="-","-",IF(LEN(M86)=0,"", INDEX($AT$7:$AT$15,MATCH(IF($V86-INDEX(GridXRange,P86)&lt;0,"Negative",IF($V86-INDEX(GridXRange,P86)&gt;0,"Positive","Zero")) &amp; " - " &amp;IF($W86-INDEX(GridYRange,P86)&lt;0,"Negative",IF($W86-INDEX(GridYRange,P86)&gt;0,"Positive","Zero")),$AS$7:$AS$15,0))))</f>
        <v>-</v>
      </c>
      <c r="AV86" s="186" t="str">
        <f t="shared" ref="AV86" ca="1" si="680">IF($D86="-","-",IF(LEN(N86)=0,"", INDEX($AT$7:$AT$15,MATCH(IF($V86-INDEX(GridXRange,Q86)&lt;0,"Negative",IF($V86-INDEX(GridXRange,Q86)&gt;0,"Positive","Zero")) &amp; " - " &amp;IF($W86-INDEX(GridYRange,Q86)&lt;0,"Negative",IF($W86-INDEX(GridYRange,Q86)&gt;0,"Positive","Zero")),$AS$7:$AS$15,0))))</f>
        <v>-</v>
      </c>
      <c r="AW86" s="186" t="str">
        <f t="shared" ref="AW86" ca="1" si="681">IF($D86="-","-",IF(LEN(O86)=0,"", INDEX($AT$7:$AT$15,MATCH(IF($V86-INDEX(GridXRange,R86)&lt;0,"Negative",IF($V86-INDEX(GridXRange,R86)&gt;0,"Positive","Zero")) &amp; " - " &amp;IF($W86-INDEX(GridYRange,R86)&lt;0,"Negative",IF($W86-INDEX(GridYRange,R86)&gt;0,"Positive","Zero")),$AS$7:$AS$15,0))))</f>
        <v>-</v>
      </c>
      <c r="AX86" s="187"/>
      <c r="AY86" s="188"/>
      <c r="AZ86" s="188"/>
      <c r="BA86" s="184"/>
      <c r="BB86" s="187" t="str">
        <f t="shared" ca="1" si="518"/>
        <v>-</v>
      </c>
      <c r="BC86" s="188" t="str">
        <f t="shared" ca="1" si="518"/>
        <v>-</v>
      </c>
      <c r="BD86" s="188" t="str">
        <f t="shared" ca="1" si="518"/>
        <v>-</v>
      </c>
      <c r="BE86" s="189" t="str">
        <f t="shared" ca="1" si="518"/>
        <v>-</v>
      </c>
      <c r="BK86" s="192" t="str">
        <f t="shared" ref="BK86" ca="1" si="682">IF($D86="-","-",$BK$5 + (V86-StartGridX) * (GapXDiff + $BW$7))</f>
        <v>-</v>
      </c>
      <c r="BL86" s="192" t="str">
        <f t="shared" ref="BL86" ca="1" si="683">IF($D86="-","-",$BL$5 + (W86-StartGridY) * (GapYDiff + $BV$7))</f>
        <v>-</v>
      </c>
      <c r="BM86" s="192" t="str">
        <f t="shared" ca="1" si="558"/>
        <v>-</v>
      </c>
      <c r="BN86" s="192" t="str">
        <f t="shared" ca="1" si="559"/>
        <v>-</v>
      </c>
      <c r="BO86" s="192" t="str">
        <f t="shared" ca="1" si="560"/>
        <v>-</v>
      </c>
      <c r="BP86" s="192" t="str">
        <f t="shared" ca="1" si="561"/>
        <v>-</v>
      </c>
      <c r="BQ86" s="192" t="str">
        <f ca="1">IF($D86="-","-",IF(LEN(K86)=0,1,IFERROR(MATCH(K86,Dashboard!$L$25:$L$31,0),1)))</f>
        <v>-</v>
      </c>
      <c r="CC86" s="143" t="str">
        <f t="shared" ref="CC86" ca="1" si="684">IF($D86="-","-",IF(COUNTIF(IDSourceRange,E86)&gt;1,1,0))</f>
        <v>-</v>
      </c>
      <c r="CD86" s="143" t="str">
        <f t="shared" ref="CD86" ca="1" si="685">IF($D86="-","-",  IF(LEN(M86)=0,0,IF(ISERROR(MATCH(M86,IDSourceRange,0)),1,0)) + IF(LEN(N86)=0,0,IF(ISERROR(MATCH(N86,IDSourceRange,0)),1,0)) + IF(LEN(O86)=0,0,IF(ISERROR(MATCH(O86,IDSourceRange,0)),1,0)) )</f>
        <v>-</v>
      </c>
      <c r="CE86" s="143" t="str">
        <f t="shared" ca="1" si="589"/>
        <v>-</v>
      </c>
      <c r="CF86" s="143" t="s">
        <v>128</v>
      </c>
      <c r="CG86" s="143" t="str">
        <f t="shared" ref="CG86" ca="1" si="686">IF($D86="-","-",IF(X86="-",0,IF(COUNTIF(GridCombinedRange,X86)&gt;1,1,0)))</f>
        <v>-</v>
      </c>
      <c r="CH86" s="143"/>
      <c r="CI86" s="143"/>
      <c r="CJ86" s="143"/>
      <c r="CK86" s="143"/>
      <c r="CL86" s="143"/>
    </row>
    <row r="87" spans="3:90" x14ac:dyDescent="0.3">
      <c r="C87" s="170">
        <v>81</v>
      </c>
      <c r="D87" s="111" t="str">
        <f ca="1">IF(COUNTA(OFFSET(Dashboard!$B$6,C87,0,1,COUNTA(Dashboard!$B$6:$H$6)))&gt;0,"Yes","-")</f>
        <v>-</v>
      </c>
      <c r="E87" s="170" t="str">
        <f ca="1">IF(D87="-","-",IF(LEN(INDEX(Dashboard!B$6:B$206,$C87+1))=0,"x"&amp;C87&amp;"x","x"&amp;INDEX(Dashboard!B$6:B$206,$C87+1)&amp;"x"))</f>
        <v>-</v>
      </c>
      <c r="F87" s="171" t="str">
        <f ca="1">IF(D87="-","-",IF(LEN(INDEX(Dashboard!$C$6:$C$206,C87+1))=0," ",INDEX(Dashboard!$C$6:$C$206,C87+1)))</f>
        <v>-</v>
      </c>
      <c r="G87" s="219" t="str">
        <f ca="1">IF(OR(D87="-",D87=""),"-",IF(LEN(INDEX(Dashboard!$D$6:$D$228,C87+1))=0,"", "x"&amp;SUBSTITUTE(SUBSTITUTE(INDEX(Dashboard!$D$6:$D$228,C87+1)," ",""),",","x,x")&amp;"x"))</f>
        <v>-</v>
      </c>
      <c r="H87" s="111" t="str">
        <f ca="1">IF(D87="-","-",TRIM(INDEX(Dashboard!$E$6:$E$206,C87+1)))</f>
        <v>-</v>
      </c>
      <c r="I87" s="111" t="str">
        <f ca="1">IF(D87="-","-",IF(LEN(INDEX(Dashboard!$F$6:$F$206,C87+1))=0,$BS$8,IF(ISERROR(MATCH(INDEX(Dashboard!$F$6:$F$206,C87+1),$BS$7:$BS$35,0)),$BS$8,INDEX(Dashboard!$F$6:$F$206,C87+1))))</f>
        <v>-</v>
      </c>
      <c r="J87" s="111" t="str">
        <f ca="1">IF(D87="-","-",SUBSTITUTE(INDEX(Dashboard!$G$6:$G$206,C87+1)," ",""))</f>
        <v>-</v>
      </c>
      <c r="K87" s="111" t="str">
        <f ca="1">IF(D87="-","-",IF(LEN(INDEX(Dashboard!$H$6:$H$206,C87+1))=0,"",INDEX(Dashboard!$H$6:$H$206,C87+1)))</f>
        <v>-</v>
      </c>
      <c r="M87" s="172" t="str">
        <f t="shared" ref="M87:O106" ca="1" si="687">IF($D87="-","-",TRIM(MID(SUBSTITUTE($G87,",",REPT(" ",LEN($G87))),(M$6-1)*LEN($G87)+1,LEN($G87))))</f>
        <v>-</v>
      </c>
      <c r="N87" s="172" t="str">
        <f t="shared" ca="1" si="687"/>
        <v>-</v>
      </c>
      <c r="O87" s="172" t="str">
        <f t="shared" ca="1" si="687"/>
        <v>-</v>
      </c>
      <c r="P87" s="173" t="str">
        <f t="shared" ca="1" si="548"/>
        <v>-</v>
      </c>
      <c r="Q87" s="172" t="str">
        <f t="shared" ca="1" si="548"/>
        <v>-</v>
      </c>
      <c r="R87" s="172" t="str">
        <f t="shared" ca="1" si="548"/>
        <v>-</v>
      </c>
      <c r="S87" s="174" t="str">
        <f t="array" aca="1" ref="S87" ca="1">IF($D87="-","-",SUM(IF(LEN(M87:O87)&gt;0,1,0)))</f>
        <v>-</v>
      </c>
      <c r="T87" s="175" t="str">
        <f t="array" aca="1" ref="T87" ca="1">IF(D87="-","-",SUM(IF(ISERROR(SEARCH(E87,$G$7:$G$206)),0,1)))</f>
        <v>-</v>
      </c>
      <c r="V87" s="204"/>
      <c r="W87" s="127"/>
      <c r="X87" s="177" t="str">
        <f t="shared" si="565"/>
        <v>-</v>
      </c>
      <c r="Y87" s="178"/>
      <c r="Z87" s="127"/>
      <c r="AB87" s="179" t="str">
        <f t="shared" ca="1" si="549"/>
        <v>-</v>
      </c>
      <c r="AC87" s="179" t="str">
        <f t="shared" ca="1" si="549"/>
        <v>-</v>
      </c>
      <c r="AD87" s="179" t="str">
        <f t="shared" ca="1" si="549"/>
        <v>-</v>
      </c>
      <c r="AJ87" s="181" t="str">
        <f t="shared" ca="1" si="550"/>
        <v>-</v>
      </c>
      <c r="AK87" s="179" t="str">
        <f t="shared" ca="1" si="551"/>
        <v>-</v>
      </c>
      <c r="AL87" s="179" t="str">
        <f t="shared" ca="1" si="551"/>
        <v>-</v>
      </c>
      <c r="AM87" s="179" t="str">
        <f t="shared" ca="1" si="551"/>
        <v>-</v>
      </c>
      <c r="AO87" s="182" t="str">
        <f t="shared" ca="1" si="552"/>
        <v>-</v>
      </c>
      <c r="AP87" s="182" t="str">
        <f t="shared" ca="1" si="552"/>
        <v>-</v>
      </c>
      <c r="AQ87" s="182" t="str">
        <f t="shared" ca="1" si="552"/>
        <v>-</v>
      </c>
      <c r="AU87" s="185" t="str">
        <f t="shared" ref="AU87" ca="1" si="688">IF($D87="-","-",IF(LEN(M87)=0,"", INDEX($AT$7:$AT$15,MATCH(IF($V87-INDEX(GridXRange,P87)&lt;0,"Negative",IF($V87-INDEX(GridXRange,P87)&gt;0,"Positive","Zero")) &amp; " - " &amp;IF($W87-INDEX(GridYRange,P87)&lt;0,"Negative",IF($W87-INDEX(GridYRange,P87)&gt;0,"Positive","Zero")),$AS$7:$AS$15,0))))</f>
        <v>-</v>
      </c>
      <c r="AV87" s="186" t="str">
        <f t="shared" ref="AV87" ca="1" si="689">IF($D87="-","-",IF(LEN(N87)=0,"", INDEX($AT$7:$AT$15,MATCH(IF($V87-INDEX(GridXRange,Q87)&lt;0,"Negative",IF($V87-INDEX(GridXRange,Q87)&gt;0,"Positive","Zero")) &amp; " - " &amp;IF($W87-INDEX(GridYRange,Q87)&lt;0,"Negative",IF($W87-INDEX(GridYRange,Q87)&gt;0,"Positive","Zero")),$AS$7:$AS$15,0))))</f>
        <v>-</v>
      </c>
      <c r="AW87" s="186" t="str">
        <f t="shared" ref="AW87" ca="1" si="690">IF($D87="-","-",IF(LEN(O87)=0,"", INDEX($AT$7:$AT$15,MATCH(IF($V87-INDEX(GridXRange,R87)&lt;0,"Negative",IF($V87-INDEX(GridXRange,R87)&gt;0,"Positive","Zero")) &amp; " - " &amp;IF($W87-INDEX(GridYRange,R87)&lt;0,"Negative",IF($W87-INDEX(GridYRange,R87)&gt;0,"Positive","Zero")),$AS$7:$AS$15,0))))</f>
        <v>-</v>
      </c>
      <c r="AX87" s="187"/>
      <c r="AY87" s="188"/>
      <c r="AZ87" s="188"/>
      <c r="BA87" s="184"/>
      <c r="BB87" s="187" t="str">
        <f t="shared" ref="BB87:BE106" ca="1" si="691">IF($D87="-","-",INDEX($BX$7:$CA$35,MATCH($I87,$BS$7:$BS$35,0),BB$6))</f>
        <v>-</v>
      </c>
      <c r="BC87" s="188" t="str">
        <f t="shared" ca="1" si="691"/>
        <v>-</v>
      </c>
      <c r="BD87" s="188" t="str">
        <f t="shared" ca="1" si="691"/>
        <v>-</v>
      </c>
      <c r="BE87" s="189" t="str">
        <f t="shared" ca="1" si="691"/>
        <v>-</v>
      </c>
      <c r="BK87" s="192" t="str">
        <f t="shared" ref="BK87" ca="1" si="692">IF($D87="-","-",$BK$5 + (V87-StartGridX) * (GapXDiff + $BW$7))</f>
        <v>-</v>
      </c>
      <c r="BL87" s="192" t="str">
        <f t="shared" ref="BL87" ca="1" si="693">IF($D87="-","-",$BL$5 + (W87-StartGridY) * (GapYDiff + $BV$7))</f>
        <v>-</v>
      </c>
      <c r="BM87" s="192" t="str">
        <f t="shared" ca="1" si="558"/>
        <v>-</v>
      </c>
      <c r="BN87" s="192" t="str">
        <f t="shared" ca="1" si="559"/>
        <v>-</v>
      </c>
      <c r="BO87" s="192" t="str">
        <f t="shared" ca="1" si="560"/>
        <v>-</v>
      </c>
      <c r="BP87" s="192" t="str">
        <f t="shared" ca="1" si="561"/>
        <v>-</v>
      </c>
      <c r="BQ87" s="192" t="str">
        <f ca="1">IF($D87="-","-",IF(LEN(K87)=0,1,IFERROR(MATCH(K87,Dashboard!$L$25:$L$31,0),1)))</f>
        <v>-</v>
      </c>
      <c r="CC87" s="143" t="str">
        <f t="shared" ref="CC87" ca="1" si="694">IF($D87="-","-",IF(COUNTIF(IDSourceRange,E87)&gt;1,1,0))</f>
        <v>-</v>
      </c>
      <c r="CD87" s="143" t="str">
        <f t="shared" ref="CD87" ca="1" si="695">IF($D87="-","-",  IF(LEN(M87)=0,0,IF(ISERROR(MATCH(M87,IDSourceRange,0)),1,0)) + IF(LEN(N87)=0,0,IF(ISERROR(MATCH(N87,IDSourceRange,0)),1,0)) + IF(LEN(O87)=0,0,IF(ISERROR(MATCH(O87,IDSourceRange,0)),1,0)) )</f>
        <v>-</v>
      </c>
      <c r="CE87" s="143" t="str">
        <f t="shared" ca="1" si="589"/>
        <v>-</v>
      </c>
      <c r="CF87" s="143" t="s">
        <v>128</v>
      </c>
      <c r="CG87" s="143" t="str">
        <f t="shared" ref="CG87" ca="1" si="696">IF($D87="-","-",IF(X87="-",0,IF(COUNTIF(GridCombinedRange,X87)&gt;1,1,0)))</f>
        <v>-</v>
      </c>
      <c r="CH87" s="143"/>
      <c r="CI87" s="143"/>
      <c r="CJ87" s="143"/>
      <c r="CK87" s="143"/>
      <c r="CL87" s="143"/>
    </row>
    <row r="88" spans="3:90" x14ac:dyDescent="0.3">
      <c r="C88" s="170">
        <v>82</v>
      </c>
      <c r="D88" s="111" t="str">
        <f ca="1">IF(COUNTA(OFFSET(Dashboard!$B$6,C88,0,1,COUNTA(Dashboard!$B$6:$H$6)))&gt;0,"Yes","-")</f>
        <v>-</v>
      </c>
      <c r="E88" s="170" t="str">
        <f ca="1">IF(D88="-","-",IF(LEN(INDEX(Dashboard!B$6:B$206,$C88+1))=0,"x"&amp;C88&amp;"x","x"&amp;INDEX(Dashboard!B$6:B$206,$C88+1)&amp;"x"))</f>
        <v>-</v>
      </c>
      <c r="F88" s="171" t="str">
        <f ca="1">IF(D88="-","-",IF(LEN(INDEX(Dashboard!$C$6:$C$206,C88+1))=0," ",INDEX(Dashboard!$C$6:$C$206,C88+1)))</f>
        <v>-</v>
      </c>
      <c r="G88" s="219" t="str">
        <f ca="1">IF(OR(D88="-",D88=""),"-",IF(LEN(INDEX(Dashboard!$D$6:$D$228,C88+1))=0,"", "x"&amp;SUBSTITUTE(SUBSTITUTE(INDEX(Dashboard!$D$6:$D$228,C88+1)," ",""),",","x,x")&amp;"x"))</f>
        <v>-</v>
      </c>
      <c r="H88" s="111" t="str">
        <f ca="1">IF(D88="-","-",TRIM(INDEX(Dashboard!$E$6:$E$206,C88+1)))</f>
        <v>-</v>
      </c>
      <c r="I88" s="111" t="str">
        <f ca="1">IF(D88="-","-",IF(LEN(INDEX(Dashboard!$F$6:$F$206,C88+1))=0,$BS$8,IF(ISERROR(MATCH(INDEX(Dashboard!$F$6:$F$206,C88+1),$BS$7:$BS$35,0)),$BS$8,INDEX(Dashboard!$F$6:$F$206,C88+1))))</f>
        <v>-</v>
      </c>
      <c r="J88" s="219" t="str">
        <f ca="1">IF(D88="-","-",SUBSTITUTE(INDEX(Dashboard!$G$6:$G$228,C88+1)," ",""))</f>
        <v>-</v>
      </c>
      <c r="K88" s="111" t="str">
        <f ca="1">IF(D88="-","-",IF(LEN(INDEX(Dashboard!$H$6:$H$206,C88+1))=0,"",INDEX(Dashboard!$H$6:$H$206,C88+1)))</f>
        <v>-</v>
      </c>
      <c r="M88" s="172" t="str">
        <f t="shared" ca="1" si="687"/>
        <v>-</v>
      </c>
      <c r="N88" s="172" t="str">
        <f t="shared" ca="1" si="687"/>
        <v>-</v>
      </c>
      <c r="O88" s="172" t="str">
        <f t="shared" ca="1" si="687"/>
        <v>-</v>
      </c>
      <c r="P88" s="173" t="str">
        <f t="shared" ca="1" si="548"/>
        <v>-</v>
      </c>
      <c r="Q88" s="172" t="str">
        <f t="shared" ca="1" si="548"/>
        <v>-</v>
      </c>
      <c r="R88" s="172" t="str">
        <f t="shared" ca="1" si="548"/>
        <v>-</v>
      </c>
      <c r="S88" s="174" t="str">
        <f t="array" aca="1" ref="S88" ca="1">IF($D88="-","-",SUM(IF(LEN(M88:O88)&gt;0,1,0)))</f>
        <v>-</v>
      </c>
      <c r="T88" s="175" t="str">
        <f t="array" aca="1" ref="T88" ca="1">IF(D88="-","-",SUM(IF(ISERROR(SEARCH(E88,$G$7:$G$206)),0,1)))</f>
        <v>-</v>
      </c>
      <c r="V88" s="204"/>
      <c r="W88" s="127"/>
      <c r="X88" s="177" t="str">
        <f t="shared" si="565"/>
        <v>-</v>
      </c>
      <c r="Y88" s="178"/>
      <c r="Z88" s="127"/>
      <c r="AB88" s="179" t="str">
        <f t="shared" ca="1" si="549"/>
        <v>-</v>
      </c>
      <c r="AC88" s="179" t="str">
        <f t="shared" ca="1" si="549"/>
        <v>-</v>
      </c>
      <c r="AD88" s="179" t="str">
        <f t="shared" ca="1" si="549"/>
        <v>-</v>
      </c>
      <c r="AJ88" s="181" t="str">
        <f t="shared" ca="1" si="550"/>
        <v>-</v>
      </c>
      <c r="AK88" s="179" t="str">
        <f t="shared" ca="1" si="551"/>
        <v>-</v>
      </c>
      <c r="AL88" s="179" t="str">
        <f t="shared" ca="1" si="551"/>
        <v>-</v>
      </c>
      <c r="AM88" s="179" t="str">
        <f t="shared" ca="1" si="551"/>
        <v>-</v>
      </c>
      <c r="AO88" s="182" t="str">
        <f t="shared" ca="1" si="552"/>
        <v>-</v>
      </c>
      <c r="AP88" s="182" t="str">
        <f t="shared" ca="1" si="552"/>
        <v>-</v>
      </c>
      <c r="AQ88" s="182" t="str">
        <f t="shared" ca="1" si="552"/>
        <v>-</v>
      </c>
      <c r="AU88" s="185" t="str">
        <f t="shared" ref="AU88" ca="1" si="697">IF($D88="-","-",IF(LEN(M88)=0,"", INDEX($AT$7:$AT$15,MATCH(IF($V88-INDEX(GridXRange,P88)&lt;0,"Negative",IF($V88-INDEX(GridXRange,P88)&gt;0,"Positive","Zero")) &amp; " - " &amp;IF($W88-INDEX(GridYRange,P88)&lt;0,"Negative",IF($W88-INDEX(GridYRange,P88)&gt;0,"Positive","Zero")),$AS$7:$AS$15,0))))</f>
        <v>-</v>
      </c>
      <c r="AV88" s="186" t="str">
        <f t="shared" ref="AV88" ca="1" si="698">IF($D88="-","-",IF(LEN(N88)=0,"", INDEX($AT$7:$AT$15,MATCH(IF($V88-INDEX(GridXRange,Q88)&lt;0,"Negative",IF($V88-INDEX(GridXRange,Q88)&gt;0,"Positive","Zero")) &amp; " - " &amp;IF($W88-INDEX(GridYRange,Q88)&lt;0,"Negative",IF($W88-INDEX(GridYRange,Q88)&gt;0,"Positive","Zero")),$AS$7:$AS$15,0))))</f>
        <v>-</v>
      </c>
      <c r="AW88" s="186" t="str">
        <f t="shared" ref="AW88" ca="1" si="699">IF($D88="-","-",IF(LEN(O88)=0,"", INDEX($AT$7:$AT$15,MATCH(IF($V88-INDEX(GridXRange,R88)&lt;0,"Negative",IF($V88-INDEX(GridXRange,R88)&gt;0,"Positive","Zero")) &amp; " - " &amp;IF($W88-INDEX(GridYRange,R88)&lt;0,"Negative",IF($W88-INDEX(GridYRange,R88)&gt;0,"Positive","Zero")),$AS$7:$AS$15,0))))</f>
        <v>-</v>
      </c>
      <c r="AX88" s="187"/>
      <c r="AY88" s="188"/>
      <c r="AZ88" s="188"/>
      <c r="BA88" s="184"/>
      <c r="BB88" s="187" t="str">
        <f t="shared" ca="1" si="691"/>
        <v>-</v>
      </c>
      <c r="BC88" s="188" t="str">
        <f t="shared" ca="1" si="691"/>
        <v>-</v>
      </c>
      <c r="BD88" s="188" t="str">
        <f t="shared" ca="1" si="691"/>
        <v>-</v>
      </c>
      <c r="BE88" s="189" t="str">
        <f t="shared" ca="1" si="691"/>
        <v>-</v>
      </c>
      <c r="BK88" s="192" t="str">
        <f t="shared" ref="BK88" ca="1" si="700">IF($D88="-","-",$BK$5 + (V88-StartGridX) * (GapXDiff + $BW$7))</f>
        <v>-</v>
      </c>
      <c r="BL88" s="192" t="str">
        <f t="shared" ref="BL88" ca="1" si="701">IF($D88="-","-",$BL$5 + (W88-StartGridY) * (GapYDiff + $BV$7))</f>
        <v>-</v>
      </c>
      <c r="BM88" s="192" t="str">
        <f t="shared" ca="1" si="558"/>
        <v>-</v>
      </c>
      <c r="BN88" s="192" t="str">
        <f t="shared" ca="1" si="559"/>
        <v>-</v>
      </c>
      <c r="BO88" s="192" t="str">
        <f t="shared" ca="1" si="560"/>
        <v>-</v>
      </c>
      <c r="BP88" s="192" t="str">
        <f t="shared" ca="1" si="561"/>
        <v>-</v>
      </c>
      <c r="BQ88" s="192" t="str">
        <f ca="1">IF($D88="-","-",IF(LEN(K88)=0,1,IFERROR(MATCH(K88,Dashboard!$L$25:$L$31,0),1)))</f>
        <v>-</v>
      </c>
      <c r="CC88" s="143" t="str">
        <f t="shared" ref="CC88" ca="1" si="702">IF($D88="-","-",IF(COUNTIF(IDSourceRange,E88)&gt;1,1,0))</f>
        <v>-</v>
      </c>
      <c r="CD88" s="143" t="str">
        <f t="shared" ref="CD88" ca="1" si="703">IF($D88="-","-",  IF(LEN(M88)=0,0,IF(ISERROR(MATCH(M88,IDSourceRange,0)),1,0)) + IF(LEN(N88)=0,0,IF(ISERROR(MATCH(N88,IDSourceRange,0)),1,0)) + IF(LEN(O88)=0,0,IF(ISERROR(MATCH(O88,IDSourceRange,0)),1,0)) )</f>
        <v>-</v>
      </c>
      <c r="CE88" s="143" t="str">
        <f t="shared" ca="1" si="589"/>
        <v>-</v>
      </c>
      <c r="CF88" s="143" t="s">
        <v>128</v>
      </c>
      <c r="CG88" s="143" t="str">
        <f t="shared" ref="CG88" ca="1" si="704">IF($D88="-","-",IF(X88="-",0,IF(COUNTIF(GridCombinedRange,X88)&gt;1,1,0)))</f>
        <v>-</v>
      </c>
      <c r="CH88" s="143"/>
      <c r="CI88" s="143"/>
      <c r="CJ88" s="143"/>
      <c r="CK88" s="143"/>
      <c r="CL88" s="143"/>
    </row>
    <row r="89" spans="3:90" x14ac:dyDescent="0.3">
      <c r="C89" s="170">
        <v>83</v>
      </c>
      <c r="D89" s="111" t="str">
        <f ca="1">IF(COUNTA(OFFSET(Dashboard!$B$6,C89,0,1,COUNTA(Dashboard!$B$6:$H$6)))&gt;0,"Yes","-")</f>
        <v>-</v>
      </c>
      <c r="E89" s="170" t="str">
        <f ca="1">IF(D89="-","-",IF(LEN(INDEX(Dashboard!B$6:B$206,$C89+1))=0,"x"&amp;C89&amp;"x","x"&amp;INDEX(Dashboard!B$6:B$206,$C89+1)&amp;"x"))</f>
        <v>-</v>
      </c>
      <c r="F89" s="171" t="str">
        <f ca="1">IF(D89="-","-",IF(LEN(INDEX(Dashboard!$C$6:$C$206,C89+1))=0," ",INDEX(Dashboard!$C$6:$C$206,C89+1)))</f>
        <v>-</v>
      </c>
      <c r="G89" s="219" t="str">
        <f ca="1">IF(OR(D89="-",D89=""),"-",IF(LEN(INDEX(Dashboard!$D$6:$D$228,C89+1))=0,"", "x"&amp;SUBSTITUTE(SUBSTITUTE(INDEX(Dashboard!$D$6:$D$228,C89+1)," ",""),",","x,x")&amp;"x"))</f>
        <v>-</v>
      </c>
      <c r="H89" s="111" t="str">
        <f ca="1">IF(D89="-","-",TRIM(INDEX(Dashboard!$E$6:$E$206,C89+1)))</f>
        <v>-</v>
      </c>
      <c r="I89" s="111" t="str">
        <f ca="1">IF(D89="-","-",IF(LEN(INDEX(Dashboard!$F$6:$F$206,C89+1))=0,$BS$8,IF(ISERROR(MATCH(INDEX(Dashboard!$F$6:$F$206,C89+1),$BS$7:$BS$35,0)),$BS$8,INDEX(Dashboard!$F$6:$F$206,C89+1))))</f>
        <v>-</v>
      </c>
      <c r="J89" s="111" t="str">
        <f ca="1">IF(D89="-","-",SUBSTITUTE(INDEX(Dashboard!$G$6:$G$206,C89+1)," ",""))</f>
        <v>-</v>
      </c>
      <c r="K89" s="111" t="str">
        <f ca="1">IF(D89="-","-",IF(LEN(INDEX(Dashboard!$H$6:$H$206,C89+1))=0,"",INDEX(Dashboard!$H$6:$H$206,C89+1)))</f>
        <v>-</v>
      </c>
      <c r="M89" s="172" t="str">
        <f t="shared" ca="1" si="687"/>
        <v>-</v>
      </c>
      <c r="N89" s="172" t="str">
        <f t="shared" ca="1" si="687"/>
        <v>-</v>
      </c>
      <c r="O89" s="172" t="str">
        <f t="shared" ca="1" si="687"/>
        <v>-</v>
      </c>
      <c r="P89" s="173" t="str">
        <f t="shared" ca="1" si="548"/>
        <v>-</v>
      </c>
      <c r="Q89" s="172" t="str">
        <f t="shared" ca="1" si="548"/>
        <v>-</v>
      </c>
      <c r="R89" s="172" t="str">
        <f t="shared" ca="1" si="548"/>
        <v>-</v>
      </c>
      <c r="S89" s="174" t="str">
        <f t="array" aca="1" ref="S89" ca="1">IF($D89="-","-",SUM(IF(LEN(M89:O89)&gt;0,1,0)))</f>
        <v>-</v>
      </c>
      <c r="T89" s="175" t="str">
        <f t="array" aca="1" ref="T89" ca="1">IF(D89="-","-",SUM(IF(ISERROR(SEARCH(E89,$G$7:$G$206)),0,1)))</f>
        <v>-</v>
      </c>
      <c r="V89" s="204"/>
      <c r="W89" s="127"/>
      <c r="X89" s="177" t="str">
        <f t="shared" si="565"/>
        <v>-</v>
      </c>
      <c r="Y89" s="178"/>
      <c r="Z89" s="127"/>
      <c r="AB89" s="179" t="str">
        <f t="shared" ca="1" si="549"/>
        <v>-</v>
      </c>
      <c r="AC89" s="179" t="str">
        <f t="shared" ca="1" si="549"/>
        <v>-</v>
      </c>
      <c r="AD89" s="179" t="str">
        <f t="shared" ca="1" si="549"/>
        <v>-</v>
      </c>
      <c r="AJ89" s="181" t="str">
        <f t="shared" ca="1" si="550"/>
        <v>-</v>
      </c>
      <c r="AK89" s="179" t="str">
        <f t="shared" ca="1" si="551"/>
        <v>-</v>
      </c>
      <c r="AL89" s="179" t="str">
        <f t="shared" ca="1" si="551"/>
        <v>-</v>
      </c>
      <c r="AM89" s="179" t="str">
        <f t="shared" ca="1" si="551"/>
        <v>-</v>
      </c>
      <c r="AO89" s="182" t="str">
        <f t="shared" ca="1" si="552"/>
        <v>-</v>
      </c>
      <c r="AP89" s="182" t="str">
        <f t="shared" ca="1" si="552"/>
        <v>-</v>
      </c>
      <c r="AQ89" s="182" t="str">
        <f t="shared" ca="1" si="552"/>
        <v>-</v>
      </c>
      <c r="AU89" s="185" t="str">
        <f t="shared" ref="AU89" ca="1" si="705">IF($D89="-","-",IF(LEN(M89)=0,"", INDEX($AT$7:$AT$15,MATCH(IF($V89-INDEX(GridXRange,P89)&lt;0,"Negative",IF($V89-INDEX(GridXRange,P89)&gt;0,"Positive","Zero")) &amp; " - " &amp;IF($W89-INDEX(GridYRange,P89)&lt;0,"Negative",IF($W89-INDEX(GridYRange,P89)&gt;0,"Positive","Zero")),$AS$7:$AS$15,0))))</f>
        <v>-</v>
      </c>
      <c r="AV89" s="186" t="str">
        <f t="shared" ref="AV89" ca="1" si="706">IF($D89="-","-",IF(LEN(N89)=0,"", INDEX($AT$7:$AT$15,MATCH(IF($V89-INDEX(GridXRange,Q89)&lt;0,"Negative",IF($V89-INDEX(GridXRange,Q89)&gt;0,"Positive","Zero")) &amp; " - " &amp;IF($W89-INDEX(GridYRange,Q89)&lt;0,"Negative",IF($W89-INDEX(GridYRange,Q89)&gt;0,"Positive","Zero")),$AS$7:$AS$15,0))))</f>
        <v>-</v>
      </c>
      <c r="AW89" s="186" t="str">
        <f t="shared" ref="AW89" ca="1" si="707">IF($D89="-","-",IF(LEN(O89)=0,"", INDEX($AT$7:$AT$15,MATCH(IF($V89-INDEX(GridXRange,R89)&lt;0,"Negative",IF($V89-INDEX(GridXRange,R89)&gt;0,"Positive","Zero")) &amp; " - " &amp;IF($W89-INDEX(GridYRange,R89)&lt;0,"Negative",IF($W89-INDEX(GridYRange,R89)&gt;0,"Positive","Zero")),$AS$7:$AS$15,0))))</f>
        <v>-</v>
      </c>
      <c r="AX89" s="187"/>
      <c r="AY89" s="188"/>
      <c r="AZ89" s="188"/>
      <c r="BA89" s="184"/>
      <c r="BB89" s="187" t="str">
        <f t="shared" ca="1" si="691"/>
        <v>-</v>
      </c>
      <c r="BC89" s="188" t="str">
        <f t="shared" ca="1" si="691"/>
        <v>-</v>
      </c>
      <c r="BD89" s="188" t="str">
        <f t="shared" ca="1" si="691"/>
        <v>-</v>
      </c>
      <c r="BE89" s="189" t="str">
        <f t="shared" ca="1" si="691"/>
        <v>-</v>
      </c>
      <c r="BK89" s="192" t="str">
        <f t="shared" ref="BK89" ca="1" si="708">IF($D89="-","-",$BK$5 + (V89-StartGridX) * (GapXDiff + $BW$7))</f>
        <v>-</v>
      </c>
      <c r="BL89" s="192" t="str">
        <f t="shared" ref="BL89" ca="1" si="709">IF($D89="-","-",$BL$5 + (W89-StartGridY) * (GapYDiff + $BV$7))</f>
        <v>-</v>
      </c>
      <c r="BM89" s="192" t="str">
        <f t="shared" ca="1" si="558"/>
        <v>-</v>
      </c>
      <c r="BN89" s="192" t="str">
        <f t="shared" ca="1" si="559"/>
        <v>-</v>
      </c>
      <c r="BO89" s="192" t="str">
        <f t="shared" ca="1" si="560"/>
        <v>-</v>
      </c>
      <c r="BP89" s="192" t="str">
        <f t="shared" ca="1" si="561"/>
        <v>-</v>
      </c>
      <c r="BQ89" s="192" t="str">
        <f ca="1">IF($D89="-","-",IF(LEN(K89)=0,1,IFERROR(MATCH(K89,Dashboard!$L$25:$L$31,0),1)))</f>
        <v>-</v>
      </c>
      <c r="CC89" s="143" t="str">
        <f t="shared" ref="CC89" ca="1" si="710">IF($D89="-","-",IF(COUNTIF(IDSourceRange,E89)&gt;1,1,0))</f>
        <v>-</v>
      </c>
      <c r="CD89" s="143" t="str">
        <f t="shared" ref="CD89" ca="1" si="711">IF($D89="-","-",  IF(LEN(M89)=0,0,IF(ISERROR(MATCH(M89,IDSourceRange,0)),1,0)) + IF(LEN(N89)=0,0,IF(ISERROR(MATCH(N89,IDSourceRange,0)),1,0)) + IF(LEN(O89)=0,0,IF(ISERROR(MATCH(O89,IDSourceRange,0)),1,0)) )</f>
        <v>-</v>
      </c>
      <c r="CE89" s="143" t="str">
        <f t="shared" ca="1" si="589"/>
        <v>-</v>
      </c>
      <c r="CF89" s="143" t="s">
        <v>128</v>
      </c>
      <c r="CG89" s="143" t="str">
        <f t="shared" ref="CG89" ca="1" si="712">IF($D89="-","-",IF(X89="-",0,IF(COUNTIF(GridCombinedRange,X89)&gt;1,1,0)))</f>
        <v>-</v>
      </c>
      <c r="CH89" s="143"/>
      <c r="CI89" s="143"/>
      <c r="CJ89" s="143"/>
      <c r="CK89" s="143"/>
      <c r="CL89" s="143"/>
    </row>
    <row r="90" spans="3:90" x14ac:dyDescent="0.3">
      <c r="C90" s="170">
        <v>84</v>
      </c>
      <c r="D90" s="111" t="str">
        <f ca="1">IF(COUNTA(OFFSET(Dashboard!$B$6,C90,0,1,COUNTA(Dashboard!$B$6:$H$6)))&gt;0,"Yes","-")</f>
        <v>-</v>
      </c>
      <c r="E90" s="170" t="str">
        <f ca="1">IF(D90="-","-",IF(LEN(INDEX(Dashboard!B$6:B$206,$C90+1))=0,"x"&amp;C90&amp;"x","x"&amp;INDEX(Dashboard!B$6:B$206,$C90+1)&amp;"x"))</f>
        <v>-</v>
      </c>
      <c r="F90" s="171" t="str">
        <f ca="1">IF(D90="-","-",IF(LEN(INDEX(Dashboard!$C$6:$C$206,C90+1))=0," ",INDEX(Dashboard!$C$6:$C$206,C90+1)))</f>
        <v>-</v>
      </c>
      <c r="G90" s="219" t="str">
        <f ca="1">IF(OR(D90="-",D90=""),"-",IF(LEN(INDEX(Dashboard!$D$6:$D$228,C90+1))=0,"", "x"&amp;SUBSTITUTE(SUBSTITUTE(INDEX(Dashboard!$D$6:$D$228,C90+1)," ",""),",","x,x")&amp;"x"))</f>
        <v>-</v>
      </c>
      <c r="H90" s="111" t="str">
        <f ca="1">IF(D90="-","-",TRIM(INDEX(Dashboard!$E$6:$E$206,C90+1)))</f>
        <v>-</v>
      </c>
      <c r="I90" s="111" t="str">
        <f ca="1">IF(D90="-","-",IF(LEN(INDEX(Dashboard!$F$6:$F$206,C90+1))=0,$BS$8,IF(ISERROR(MATCH(INDEX(Dashboard!$F$6:$F$206,C90+1),$BS$7:$BS$35,0)),$BS$8,INDEX(Dashboard!$F$6:$F$206,C90+1))))</f>
        <v>-</v>
      </c>
      <c r="J90" s="111" t="str">
        <f ca="1">IF(D90="-","-",SUBSTITUTE(INDEX(Dashboard!$G$6:$G$206,C90+1)," ",""))</f>
        <v>-</v>
      </c>
      <c r="K90" s="111" t="str">
        <f ca="1">IF(D90="-","-",IF(LEN(INDEX(Dashboard!$H$6:$H$206,C90+1))=0,"",INDEX(Dashboard!$H$6:$H$206,C90+1)))</f>
        <v>-</v>
      </c>
      <c r="M90" s="172" t="str">
        <f t="shared" ca="1" si="687"/>
        <v>-</v>
      </c>
      <c r="N90" s="172" t="str">
        <f t="shared" ca="1" si="687"/>
        <v>-</v>
      </c>
      <c r="O90" s="172" t="str">
        <f t="shared" ca="1" si="687"/>
        <v>-</v>
      </c>
      <c r="P90" s="173" t="str">
        <f t="shared" ca="1" si="548"/>
        <v>-</v>
      </c>
      <c r="Q90" s="172" t="str">
        <f t="shared" ca="1" si="548"/>
        <v>-</v>
      </c>
      <c r="R90" s="172" t="str">
        <f t="shared" ca="1" si="548"/>
        <v>-</v>
      </c>
      <c r="S90" s="174" t="str">
        <f t="array" aca="1" ref="S90" ca="1">IF($D90="-","-",SUM(IF(LEN(M90:O90)&gt;0,1,0)))</f>
        <v>-</v>
      </c>
      <c r="T90" s="175" t="str">
        <f t="array" aca="1" ref="T90" ca="1">IF(D90="-","-",SUM(IF(ISERROR(SEARCH(E90,$G$7:$G$206)),0,1)))</f>
        <v>-</v>
      </c>
      <c r="V90" s="204"/>
      <c r="W90" s="127"/>
      <c r="X90" s="177" t="str">
        <f t="shared" si="565"/>
        <v>-</v>
      </c>
      <c r="Y90" s="178"/>
      <c r="Z90" s="127"/>
      <c r="AB90" s="179" t="str">
        <f t="shared" ca="1" si="549"/>
        <v>-</v>
      </c>
      <c r="AC90" s="179" t="str">
        <f t="shared" ca="1" si="549"/>
        <v>-</v>
      </c>
      <c r="AD90" s="179" t="str">
        <f t="shared" ca="1" si="549"/>
        <v>-</v>
      </c>
      <c r="AJ90" s="181" t="str">
        <f t="shared" ca="1" si="550"/>
        <v>-</v>
      </c>
      <c r="AK90" s="179" t="str">
        <f t="shared" ca="1" si="551"/>
        <v>-</v>
      </c>
      <c r="AL90" s="179" t="str">
        <f t="shared" ca="1" si="551"/>
        <v>-</v>
      </c>
      <c r="AM90" s="179" t="str">
        <f t="shared" ca="1" si="551"/>
        <v>-</v>
      </c>
      <c r="AO90" s="182" t="str">
        <f t="shared" ca="1" si="552"/>
        <v>-</v>
      </c>
      <c r="AP90" s="182" t="str">
        <f t="shared" ca="1" si="552"/>
        <v>-</v>
      </c>
      <c r="AQ90" s="182" t="str">
        <f t="shared" ca="1" si="552"/>
        <v>-</v>
      </c>
      <c r="AU90" s="185" t="str">
        <f t="shared" ref="AU90" ca="1" si="713">IF($D90="-","-",IF(LEN(M90)=0,"", INDEX($AT$7:$AT$15,MATCH(IF($V90-INDEX(GridXRange,P90)&lt;0,"Negative",IF($V90-INDEX(GridXRange,P90)&gt;0,"Positive","Zero")) &amp; " - " &amp;IF($W90-INDEX(GridYRange,P90)&lt;0,"Negative",IF($W90-INDEX(GridYRange,P90)&gt;0,"Positive","Zero")),$AS$7:$AS$15,0))))</f>
        <v>-</v>
      </c>
      <c r="AV90" s="186" t="str">
        <f t="shared" ref="AV90" ca="1" si="714">IF($D90="-","-",IF(LEN(N90)=0,"", INDEX($AT$7:$AT$15,MATCH(IF($V90-INDEX(GridXRange,Q90)&lt;0,"Negative",IF($V90-INDEX(GridXRange,Q90)&gt;0,"Positive","Zero")) &amp; " - " &amp;IF($W90-INDEX(GridYRange,Q90)&lt;0,"Negative",IF($W90-INDEX(GridYRange,Q90)&gt;0,"Positive","Zero")),$AS$7:$AS$15,0))))</f>
        <v>-</v>
      </c>
      <c r="AW90" s="186" t="str">
        <f t="shared" ref="AW90" ca="1" si="715">IF($D90="-","-",IF(LEN(O90)=0,"", INDEX($AT$7:$AT$15,MATCH(IF($V90-INDEX(GridXRange,R90)&lt;0,"Negative",IF($V90-INDEX(GridXRange,R90)&gt;0,"Positive","Zero")) &amp; " - " &amp;IF($W90-INDEX(GridYRange,R90)&lt;0,"Negative",IF($W90-INDEX(GridYRange,R90)&gt;0,"Positive","Zero")),$AS$7:$AS$15,0))))</f>
        <v>-</v>
      </c>
      <c r="AX90" s="187"/>
      <c r="AY90" s="188"/>
      <c r="AZ90" s="188"/>
      <c r="BA90" s="184"/>
      <c r="BB90" s="187" t="str">
        <f t="shared" ca="1" si="691"/>
        <v>-</v>
      </c>
      <c r="BC90" s="188" t="str">
        <f t="shared" ca="1" si="691"/>
        <v>-</v>
      </c>
      <c r="BD90" s="188" t="str">
        <f t="shared" ca="1" si="691"/>
        <v>-</v>
      </c>
      <c r="BE90" s="189" t="str">
        <f t="shared" ca="1" si="691"/>
        <v>-</v>
      </c>
      <c r="BK90" s="192" t="str">
        <f t="shared" ref="BK90" ca="1" si="716">IF($D90="-","-",$BK$5 + (V90-StartGridX) * (GapXDiff + $BW$7))</f>
        <v>-</v>
      </c>
      <c r="BL90" s="192" t="str">
        <f t="shared" ref="BL90" ca="1" si="717">IF($D90="-","-",$BL$5 + (W90-StartGridY) * (GapYDiff + $BV$7))</f>
        <v>-</v>
      </c>
      <c r="BM90" s="192" t="str">
        <f t="shared" ca="1" si="558"/>
        <v>-</v>
      </c>
      <c r="BN90" s="192" t="str">
        <f t="shared" ca="1" si="559"/>
        <v>-</v>
      </c>
      <c r="BO90" s="192" t="str">
        <f t="shared" ca="1" si="560"/>
        <v>-</v>
      </c>
      <c r="BP90" s="192" t="str">
        <f t="shared" ca="1" si="561"/>
        <v>-</v>
      </c>
      <c r="BQ90" s="192" t="str">
        <f ca="1">IF($D90="-","-",IF(LEN(K90)=0,1,IFERROR(MATCH(K90,Dashboard!$L$25:$L$31,0),1)))</f>
        <v>-</v>
      </c>
      <c r="CC90" s="143" t="str">
        <f t="shared" ref="CC90" ca="1" si="718">IF($D90="-","-",IF(COUNTIF(IDSourceRange,E90)&gt;1,1,0))</f>
        <v>-</v>
      </c>
      <c r="CD90" s="143" t="str">
        <f t="shared" ref="CD90" ca="1" si="719">IF($D90="-","-",  IF(LEN(M90)=0,0,IF(ISERROR(MATCH(M90,IDSourceRange,0)),1,0)) + IF(LEN(N90)=0,0,IF(ISERROR(MATCH(N90,IDSourceRange,0)),1,0)) + IF(LEN(O90)=0,0,IF(ISERROR(MATCH(O90,IDSourceRange,0)),1,0)) )</f>
        <v>-</v>
      </c>
      <c r="CE90" s="143" t="str">
        <f t="shared" ca="1" si="589"/>
        <v>-</v>
      </c>
      <c r="CF90" s="143" t="s">
        <v>128</v>
      </c>
      <c r="CG90" s="143" t="str">
        <f t="shared" ref="CG90" ca="1" si="720">IF($D90="-","-",IF(X90="-",0,IF(COUNTIF(GridCombinedRange,X90)&gt;1,1,0)))</f>
        <v>-</v>
      </c>
      <c r="CH90" s="143"/>
      <c r="CI90" s="143"/>
      <c r="CJ90" s="143"/>
      <c r="CK90" s="143"/>
      <c r="CL90" s="143"/>
    </row>
    <row r="91" spans="3:90" x14ac:dyDescent="0.3">
      <c r="C91" s="170">
        <v>85</v>
      </c>
      <c r="D91" s="111" t="str">
        <f ca="1">IF(COUNTA(OFFSET(Dashboard!$B$6,C91,0,1,COUNTA(Dashboard!$B$6:$H$6)))&gt;0,"Yes","-")</f>
        <v>-</v>
      </c>
      <c r="E91" s="170" t="str">
        <f ca="1">IF(D91="-","-",IF(LEN(INDEX(Dashboard!B$6:B$206,$C91+1))=0,"x"&amp;C91&amp;"x","x"&amp;INDEX(Dashboard!B$6:B$206,$C91+1)&amp;"x"))</f>
        <v>-</v>
      </c>
      <c r="F91" s="171" t="str">
        <f ca="1">IF(D91="-","-",IF(LEN(INDEX(Dashboard!$C$6:$C$206,C91+1))=0," ",INDEX(Dashboard!$C$6:$C$206,C91+1)))</f>
        <v>-</v>
      </c>
      <c r="G91" s="219" t="str">
        <f ca="1">IF(OR(D91="-",D91=""),"-",IF(LEN(INDEX(Dashboard!$D$6:$D$228,C91+1))=0,"", "x"&amp;SUBSTITUTE(SUBSTITUTE(INDEX(Dashboard!$D$6:$D$228,C91+1)," ",""),",","x,x")&amp;"x"))</f>
        <v>-</v>
      </c>
      <c r="H91" s="111" t="str">
        <f ca="1">IF(D91="-","-",TRIM(INDEX(Dashboard!$E$6:$E$206,C91+1)))</f>
        <v>-</v>
      </c>
      <c r="I91" s="111" t="str">
        <f ca="1">IF(D91="-","-",IF(LEN(INDEX(Dashboard!$F$6:$F$206,C91+1))=0,$BS$8,IF(ISERROR(MATCH(INDEX(Dashboard!$F$6:$F$206,C91+1),$BS$7:$BS$35,0)),$BS$8,INDEX(Dashboard!$F$6:$F$206,C91+1))))</f>
        <v>-</v>
      </c>
      <c r="J91" s="111" t="str">
        <f ca="1">IF(D91="-","-",SUBSTITUTE(INDEX(Dashboard!$G$6:$G$206,C91+1)," ",""))</f>
        <v>-</v>
      </c>
      <c r="K91" s="111" t="str">
        <f ca="1">IF(D91="-","-",IF(LEN(INDEX(Dashboard!$H$6:$H$206,C91+1))=0,"",INDEX(Dashboard!$H$6:$H$206,C91+1)))</f>
        <v>-</v>
      </c>
      <c r="M91" s="172" t="str">
        <f t="shared" ca="1" si="687"/>
        <v>-</v>
      </c>
      <c r="N91" s="172" t="str">
        <f t="shared" ca="1" si="687"/>
        <v>-</v>
      </c>
      <c r="O91" s="172" t="str">
        <f t="shared" ca="1" si="687"/>
        <v>-</v>
      </c>
      <c r="P91" s="173" t="str">
        <f t="shared" ca="1" si="548"/>
        <v>-</v>
      </c>
      <c r="Q91" s="172" t="str">
        <f t="shared" ca="1" si="548"/>
        <v>-</v>
      </c>
      <c r="R91" s="172" t="str">
        <f t="shared" ca="1" si="548"/>
        <v>-</v>
      </c>
      <c r="S91" s="174" t="str">
        <f t="array" aca="1" ref="S91" ca="1">IF($D91="-","-",SUM(IF(LEN(M91:O91)&gt;0,1,0)))</f>
        <v>-</v>
      </c>
      <c r="T91" s="175" t="str">
        <f t="array" aca="1" ref="T91" ca="1">IF(D91="-","-",SUM(IF(ISERROR(SEARCH(E91,$G$7:$G$206)),0,1)))</f>
        <v>-</v>
      </c>
      <c r="V91" s="204"/>
      <c r="W91" s="127"/>
      <c r="X91" s="177" t="str">
        <f t="shared" si="565"/>
        <v>-</v>
      </c>
      <c r="Y91" s="178"/>
      <c r="Z91" s="127"/>
      <c r="AB91" s="179" t="str">
        <f t="shared" ca="1" si="549"/>
        <v>-</v>
      </c>
      <c r="AC91" s="179" t="str">
        <f t="shared" ca="1" si="549"/>
        <v>-</v>
      </c>
      <c r="AD91" s="179" t="str">
        <f t="shared" ca="1" si="549"/>
        <v>-</v>
      </c>
      <c r="AJ91" s="181" t="str">
        <f t="shared" ca="1" si="550"/>
        <v>-</v>
      </c>
      <c r="AK91" s="179" t="str">
        <f t="shared" ca="1" si="551"/>
        <v>-</v>
      </c>
      <c r="AL91" s="179" t="str">
        <f t="shared" ca="1" si="551"/>
        <v>-</v>
      </c>
      <c r="AM91" s="179" t="str">
        <f t="shared" ca="1" si="551"/>
        <v>-</v>
      </c>
      <c r="AO91" s="182" t="str">
        <f t="shared" ca="1" si="552"/>
        <v>-</v>
      </c>
      <c r="AP91" s="182" t="str">
        <f t="shared" ca="1" si="552"/>
        <v>-</v>
      </c>
      <c r="AQ91" s="182" t="str">
        <f t="shared" ca="1" si="552"/>
        <v>-</v>
      </c>
      <c r="AU91" s="185" t="str">
        <f t="shared" ref="AU91" ca="1" si="721">IF($D91="-","-",IF(LEN(M91)=0,"", INDEX($AT$7:$AT$15,MATCH(IF($V91-INDEX(GridXRange,P91)&lt;0,"Negative",IF($V91-INDEX(GridXRange,P91)&gt;0,"Positive","Zero")) &amp; " - " &amp;IF($W91-INDEX(GridYRange,P91)&lt;0,"Negative",IF($W91-INDEX(GridYRange,P91)&gt;0,"Positive","Zero")),$AS$7:$AS$15,0))))</f>
        <v>-</v>
      </c>
      <c r="AV91" s="186" t="str">
        <f t="shared" ref="AV91" ca="1" si="722">IF($D91="-","-",IF(LEN(N91)=0,"", INDEX($AT$7:$AT$15,MATCH(IF($V91-INDEX(GridXRange,Q91)&lt;0,"Negative",IF($V91-INDEX(GridXRange,Q91)&gt;0,"Positive","Zero")) &amp; " - " &amp;IF($W91-INDEX(GridYRange,Q91)&lt;0,"Negative",IF($W91-INDEX(GridYRange,Q91)&gt;0,"Positive","Zero")),$AS$7:$AS$15,0))))</f>
        <v>-</v>
      </c>
      <c r="AW91" s="186" t="str">
        <f t="shared" ref="AW91" ca="1" si="723">IF($D91="-","-",IF(LEN(O91)=0,"", INDEX($AT$7:$AT$15,MATCH(IF($V91-INDEX(GridXRange,R91)&lt;0,"Negative",IF($V91-INDEX(GridXRange,R91)&gt;0,"Positive","Zero")) &amp; " - " &amp;IF($W91-INDEX(GridYRange,R91)&lt;0,"Negative",IF($W91-INDEX(GridYRange,R91)&gt;0,"Positive","Zero")),$AS$7:$AS$15,0))))</f>
        <v>-</v>
      </c>
      <c r="AX91" s="187"/>
      <c r="AY91" s="188"/>
      <c r="AZ91" s="188"/>
      <c r="BA91" s="184"/>
      <c r="BB91" s="187" t="str">
        <f t="shared" ca="1" si="691"/>
        <v>-</v>
      </c>
      <c r="BC91" s="188" t="str">
        <f t="shared" ca="1" si="691"/>
        <v>-</v>
      </c>
      <c r="BD91" s="188" t="str">
        <f t="shared" ca="1" si="691"/>
        <v>-</v>
      </c>
      <c r="BE91" s="189" t="str">
        <f t="shared" ca="1" si="691"/>
        <v>-</v>
      </c>
      <c r="BK91" s="192" t="str">
        <f t="shared" ref="BK91" ca="1" si="724">IF($D91="-","-",$BK$5 + (V91-StartGridX) * (GapXDiff + $BW$7))</f>
        <v>-</v>
      </c>
      <c r="BL91" s="192" t="str">
        <f t="shared" ref="BL91" ca="1" si="725">IF($D91="-","-",$BL$5 + (W91-StartGridY) * (GapYDiff + $BV$7))</f>
        <v>-</v>
      </c>
      <c r="BM91" s="192" t="str">
        <f t="shared" ca="1" si="558"/>
        <v>-</v>
      </c>
      <c r="BN91" s="192" t="str">
        <f t="shared" ca="1" si="559"/>
        <v>-</v>
      </c>
      <c r="BO91" s="192" t="str">
        <f t="shared" ca="1" si="560"/>
        <v>-</v>
      </c>
      <c r="BP91" s="192" t="str">
        <f t="shared" ca="1" si="561"/>
        <v>-</v>
      </c>
      <c r="BQ91" s="192" t="str">
        <f ca="1">IF($D91="-","-",IF(LEN(K91)=0,1,IFERROR(MATCH(K91,Dashboard!$L$25:$L$31,0),1)))</f>
        <v>-</v>
      </c>
      <c r="CC91" s="143" t="str">
        <f t="shared" ref="CC91" ca="1" si="726">IF($D91="-","-",IF(COUNTIF(IDSourceRange,E91)&gt;1,1,0))</f>
        <v>-</v>
      </c>
      <c r="CD91" s="143" t="str">
        <f t="shared" ref="CD91" ca="1" si="727">IF($D91="-","-",  IF(LEN(M91)=0,0,IF(ISERROR(MATCH(M91,IDSourceRange,0)),1,0)) + IF(LEN(N91)=0,0,IF(ISERROR(MATCH(N91,IDSourceRange,0)),1,0)) + IF(LEN(O91)=0,0,IF(ISERROR(MATCH(O91,IDSourceRange,0)),1,0)) )</f>
        <v>-</v>
      </c>
      <c r="CE91" s="143" t="str">
        <f t="shared" ca="1" si="589"/>
        <v>-</v>
      </c>
      <c r="CF91" s="143" t="s">
        <v>128</v>
      </c>
      <c r="CG91" s="143" t="str">
        <f t="shared" ref="CG91" ca="1" si="728">IF($D91="-","-",IF(X91="-",0,IF(COUNTIF(GridCombinedRange,X91)&gt;1,1,0)))</f>
        <v>-</v>
      </c>
      <c r="CH91" s="143"/>
      <c r="CI91" s="143"/>
      <c r="CJ91" s="143"/>
      <c r="CK91" s="143"/>
      <c r="CL91" s="143"/>
    </row>
    <row r="92" spans="3:90" x14ac:dyDescent="0.3">
      <c r="C92" s="170">
        <v>86</v>
      </c>
      <c r="D92" s="111" t="str">
        <f ca="1">IF(COUNTA(OFFSET(Dashboard!$B$6,C92,0,1,COUNTA(Dashboard!$B$6:$H$6)))&gt;0,"Yes","-")</f>
        <v>-</v>
      </c>
      <c r="E92" s="170" t="str">
        <f ca="1">IF(D92="-","-",IF(LEN(INDEX(Dashboard!B$6:B$206,$C92+1))=0,"x"&amp;C92&amp;"x","x"&amp;INDEX(Dashboard!B$6:B$206,$C92+1)&amp;"x"))</f>
        <v>-</v>
      </c>
      <c r="F92" s="171" t="str">
        <f ca="1">IF(D92="-","-",IF(LEN(INDEX(Dashboard!$C$6:$C$206,C92+1))=0," ",INDEX(Dashboard!$C$6:$C$206,C92+1)))</f>
        <v>-</v>
      </c>
      <c r="G92" s="219" t="str">
        <f ca="1">IF(OR(D92="-",D92=""),"-",IF(LEN(INDEX(Dashboard!$D$6:$D$228,C92+1))=0,"", "x"&amp;SUBSTITUTE(SUBSTITUTE(INDEX(Dashboard!$D$6:$D$228,C92+1)," ",""),",","x,x")&amp;"x"))</f>
        <v>-</v>
      </c>
      <c r="H92" s="111" t="str">
        <f ca="1">IF(D92="-","-",TRIM(INDEX(Dashboard!$E$6:$E$206,C92+1)))</f>
        <v>-</v>
      </c>
      <c r="I92" s="111" t="str">
        <f ca="1">IF(D92="-","-",IF(LEN(INDEX(Dashboard!$F$6:$F$206,C92+1))=0,$BS$8,IF(ISERROR(MATCH(INDEX(Dashboard!$F$6:$F$206,C92+1),$BS$7:$BS$35,0)),$BS$8,INDEX(Dashboard!$F$6:$F$206,C92+1))))</f>
        <v>-</v>
      </c>
      <c r="J92" s="219" t="str">
        <f ca="1">IF(D92="-","-",SUBSTITUTE(INDEX(Dashboard!$G$6:$G$228,C92+1)," ",""))</f>
        <v>-</v>
      </c>
      <c r="K92" s="111" t="str">
        <f ca="1">IF(D92="-","-",IF(LEN(INDEX(Dashboard!$H$6:$H$206,C92+1))=0,"",INDEX(Dashboard!$H$6:$H$206,C92+1)))</f>
        <v>-</v>
      </c>
      <c r="M92" s="172" t="str">
        <f t="shared" ca="1" si="687"/>
        <v>-</v>
      </c>
      <c r="N92" s="172" t="str">
        <f t="shared" ca="1" si="687"/>
        <v>-</v>
      </c>
      <c r="O92" s="172" t="str">
        <f t="shared" ca="1" si="687"/>
        <v>-</v>
      </c>
      <c r="P92" s="173" t="str">
        <f t="shared" ca="1" si="548"/>
        <v>-</v>
      </c>
      <c r="Q92" s="172" t="str">
        <f t="shared" ca="1" si="548"/>
        <v>-</v>
      </c>
      <c r="R92" s="172" t="str">
        <f t="shared" ca="1" si="548"/>
        <v>-</v>
      </c>
      <c r="S92" s="174" t="str">
        <f t="array" aca="1" ref="S92" ca="1">IF($D92="-","-",SUM(IF(LEN(M92:O92)&gt;0,1,0)))</f>
        <v>-</v>
      </c>
      <c r="T92" s="175" t="str">
        <f t="array" aca="1" ref="T92" ca="1">IF(D92="-","-",SUM(IF(ISERROR(SEARCH(E92,$G$7:$G$206)),0,1)))</f>
        <v>-</v>
      </c>
      <c r="V92" s="204"/>
      <c r="W92" s="127"/>
      <c r="X92" s="177" t="str">
        <f t="shared" si="565"/>
        <v>-</v>
      </c>
      <c r="Y92" s="178"/>
      <c r="Z92" s="127"/>
      <c r="AB92" s="179" t="str">
        <f t="shared" ca="1" si="549"/>
        <v>-</v>
      </c>
      <c r="AC92" s="179" t="str">
        <f t="shared" ca="1" si="549"/>
        <v>-</v>
      </c>
      <c r="AD92" s="179" t="str">
        <f t="shared" ca="1" si="549"/>
        <v>-</v>
      </c>
      <c r="AJ92" s="181" t="str">
        <f t="shared" ca="1" si="550"/>
        <v>-</v>
      </c>
      <c r="AK92" s="179" t="str">
        <f t="shared" ca="1" si="551"/>
        <v>-</v>
      </c>
      <c r="AL92" s="179" t="str">
        <f t="shared" ca="1" si="551"/>
        <v>-</v>
      </c>
      <c r="AM92" s="179" t="str">
        <f t="shared" ca="1" si="551"/>
        <v>-</v>
      </c>
      <c r="AO92" s="182" t="str">
        <f t="shared" ca="1" si="552"/>
        <v>-</v>
      </c>
      <c r="AP92" s="182" t="str">
        <f t="shared" ca="1" si="552"/>
        <v>-</v>
      </c>
      <c r="AQ92" s="182" t="str">
        <f t="shared" ca="1" si="552"/>
        <v>-</v>
      </c>
      <c r="AU92" s="185" t="str">
        <f t="shared" ref="AU92" ca="1" si="729">IF($D92="-","-",IF(LEN(M92)=0,"", INDEX($AT$7:$AT$15,MATCH(IF($V92-INDEX(GridXRange,P92)&lt;0,"Negative",IF($V92-INDEX(GridXRange,P92)&gt;0,"Positive","Zero")) &amp; " - " &amp;IF($W92-INDEX(GridYRange,P92)&lt;0,"Negative",IF($W92-INDEX(GridYRange,P92)&gt;0,"Positive","Zero")),$AS$7:$AS$15,0))))</f>
        <v>-</v>
      </c>
      <c r="AV92" s="186" t="str">
        <f t="shared" ref="AV92" ca="1" si="730">IF($D92="-","-",IF(LEN(N92)=0,"", INDEX($AT$7:$AT$15,MATCH(IF($V92-INDEX(GridXRange,Q92)&lt;0,"Negative",IF($V92-INDEX(GridXRange,Q92)&gt;0,"Positive","Zero")) &amp; " - " &amp;IF($W92-INDEX(GridYRange,Q92)&lt;0,"Negative",IF($W92-INDEX(GridYRange,Q92)&gt;0,"Positive","Zero")),$AS$7:$AS$15,0))))</f>
        <v>-</v>
      </c>
      <c r="AW92" s="186" t="str">
        <f t="shared" ref="AW92" ca="1" si="731">IF($D92="-","-",IF(LEN(O92)=0,"", INDEX($AT$7:$AT$15,MATCH(IF($V92-INDEX(GridXRange,R92)&lt;0,"Negative",IF($V92-INDEX(GridXRange,R92)&gt;0,"Positive","Zero")) &amp; " - " &amp;IF($W92-INDEX(GridYRange,R92)&lt;0,"Negative",IF($W92-INDEX(GridYRange,R92)&gt;0,"Positive","Zero")),$AS$7:$AS$15,0))))</f>
        <v>-</v>
      </c>
      <c r="AX92" s="187"/>
      <c r="AY92" s="188"/>
      <c r="AZ92" s="188"/>
      <c r="BA92" s="184"/>
      <c r="BB92" s="187" t="str">
        <f t="shared" ca="1" si="691"/>
        <v>-</v>
      </c>
      <c r="BC92" s="188" t="str">
        <f t="shared" ca="1" si="691"/>
        <v>-</v>
      </c>
      <c r="BD92" s="188" t="str">
        <f t="shared" ca="1" si="691"/>
        <v>-</v>
      </c>
      <c r="BE92" s="189" t="str">
        <f t="shared" ca="1" si="691"/>
        <v>-</v>
      </c>
      <c r="BK92" s="192" t="str">
        <f t="shared" ref="BK92" ca="1" si="732">IF($D92="-","-",$BK$5 + (V92-StartGridX) * (GapXDiff + $BW$7))</f>
        <v>-</v>
      </c>
      <c r="BL92" s="192" t="str">
        <f t="shared" ref="BL92" ca="1" si="733">IF($D92="-","-",$BL$5 + (W92-StartGridY) * (GapYDiff + $BV$7))</f>
        <v>-</v>
      </c>
      <c r="BM92" s="192" t="str">
        <f t="shared" ca="1" si="558"/>
        <v>-</v>
      </c>
      <c r="BN92" s="192" t="str">
        <f t="shared" ca="1" si="559"/>
        <v>-</v>
      </c>
      <c r="BO92" s="192" t="str">
        <f t="shared" ca="1" si="560"/>
        <v>-</v>
      </c>
      <c r="BP92" s="192" t="str">
        <f t="shared" ca="1" si="561"/>
        <v>-</v>
      </c>
      <c r="BQ92" s="192" t="str">
        <f ca="1">IF($D92="-","-",IF(LEN(K92)=0,1,IFERROR(MATCH(K92,Dashboard!$L$25:$L$31,0),1)))</f>
        <v>-</v>
      </c>
      <c r="CC92" s="143" t="str">
        <f t="shared" ref="CC92" ca="1" si="734">IF($D92="-","-",IF(COUNTIF(IDSourceRange,E92)&gt;1,1,0))</f>
        <v>-</v>
      </c>
      <c r="CD92" s="143" t="str">
        <f t="shared" ref="CD92" ca="1" si="735">IF($D92="-","-",  IF(LEN(M92)=0,0,IF(ISERROR(MATCH(M92,IDSourceRange,0)),1,0)) + IF(LEN(N92)=0,0,IF(ISERROR(MATCH(N92,IDSourceRange,0)),1,0)) + IF(LEN(O92)=0,0,IF(ISERROR(MATCH(O92,IDSourceRange,0)),1,0)) )</f>
        <v>-</v>
      </c>
      <c r="CE92" s="143" t="str">
        <f t="shared" ca="1" si="589"/>
        <v>-</v>
      </c>
      <c r="CF92" s="143" t="s">
        <v>128</v>
      </c>
      <c r="CG92" s="143" t="str">
        <f t="shared" ref="CG92" ca="1" si="736">IF($D92="-","-",IF(X92="-",0,IF(COUNTIF(GridCombinedRange,X92)&gt;1,1,0)))</f>
        <v>-</v>
      </c>
      <c r="CH92" s="143"/>
      <c r="CI92" s="143"/>
      <c r="CJ92" s="143"/>
      <c r="CK92" s="143"/>
      <c r="CL92" s="143"/>
    </row>
    <row r="93" spans="3:90" x14ac:dyDescent="0.3">
      <c r="C93" s="170">
        <v>87</v>
      </c>
      <c r="D93" s="111" t="str">
        <f ca="1">IF(COUNTA(OFFSET(Dashboard!$B$6,C93,0,1,COUNTA(Dashboard!$B$6:$H$6)))&gt;0,"Yes","-")</f>
        <v>-</v>
      </c>
      <c r="E93" s="170" t="str">
        <f ca="1">IF(D93="-","-",IF(LEN(INDEX(Dashboard!B$6:B$206,$C93+1))=0,"x"&amp;C93&amp;"x","x"&amp;INDEX(Dashboard!B$6:B$206,$C93+1)&amp;"x"))</f>
        <v>-</v>
      </c>
      <c r="F93" s="171" t="str">
        <f ca="1">IF(D93="-","-",IF(LEN(INDEX(Dashboard!$C$6:$C$206,C93+1))=0," ",INDEX(Dashboard!$C$6:$C$206,C93+1)))</f>
        <v>-</v>
      </c>
      <c r="G93" s="219" t="str">
        <f ca="1">IF(OR(D93="-",D93=""),"-",IF(LEN(INDEX(Dashboard!$D$6:$D$228,C93+1))=0,"", "x"&amp;SUBSTITUTE(SUBSTITUTE(INDEX(Dashboard!$D$6:$D$228,C93+1)," ",""),",","x,x")&amp;"x"))</f>
        <v>-</v>
      </c>
      <c r="H93" s="111" t="str">
        <f ca="1">IF(D93="-","-",TRIM(INDEX(Dashboard!$E$6:$E$206,C93+1)))</f>
        <v>-</v>
      </c>
      <c r="I93" s="111" t="str">
        <f ca="1">IF(D93="-","-",IF(LEN(INDEX(Dashboard!$F$6:$F$206,C93+1))=0,$BS$8,IF(ISERROR(MATCH(INDEX(Dashboard!$F$6:$F$206,C93+1),$BS$7:$BS$35,0)),$BS$8,INDEX(Dashboard!$F$6:$F$206,C93+1))))</f>
        <v>-</v>
      </c>
      <c r="J93" s="111" t="str">
        <f ca="1">IF(D93="-","-",SUBSTITUTE(INDEX(Dashboard!$G$6:$G$206,C93+1)," ",""))</f>
        <v>-</v>
      </c>
      <c r="K93" s="111" t="str">
        <f ca="1">IF(D93="-","-",IF(LEN(INDEX(Dashboard!$H$6:$H$206,C93+1))=0,"",INDEX(Dashboard!$H$6:$H$206,C93+1)))</f>
        <v>-</v>
      </c>
      <c r="M93" s="172" t="str">
        <f t="shared" ca="1" si="687"/>
        <v>-</v>
      </c>
      <c r="N93" s="172" t="str">
        <f t="shared" ca="1" si="687"/>
        <v>-</v>
      </c>
      <c r="O93" s="172" t="str">
        <f t="shared" ca="1" si="687"/>
        <v>-</v>
      </c>
      <c r="P93" s="173" t="str">
        <f t="shared" ca="1" si="548"/>
        <v>-</v>
      </c>
      <c r="Q93" s="172" t="str">
        <f t="shared" ca="1" si="548"/>
        <v>-</v>
      </c>
      <c r="R93" s="172" t="str">
        <f t="shared" ca="1" si="548"/>
        <v>-</v>
      </c>
      <c r="S93" s="174" t="str">
        <f t="array" aca="1" ref="S93" ca="1">IF($D93="-","-",SUM(IF(LEN(M93:O93)&gt;0,1,0)))</f>
        <v>-</v>
      </c>
      <c r="T93" s="175" t="str">
        <f t="array" aca="1" ref="T93" ca="1">IF(D93="-","-",SUM(IF(ISERROR(SEARCH(E93,$G$7:$G$206)),0,1)))</f>
        <v>-</v>
      </c>
      <c r="V93" s="204"/>
      <c r="W93" s="127"/>
      <c r="X93" s="177" t="str">
        <f t="shared" si="565"/>
        <v>-</v>
      </c>
      <c r="Y93" s="178"/>
      <c r="Z93" s="127"/>
      <c r="AB93" s="179" t="str">
        <f t="shared" ca="1" si="549"/>
        <v>-</v>
      </c>
      <c r="AC93" s="179" t="str">
        <f t="shared" ca="1" si="549"/>
        <v>-</v>
      </c>
      <c r="AD93" s="179" t="str">
        <f t="shared" ca="1" si="549"/>
        <v>-</v>
      </c>
      <c r="AJ93" s="181" t="str">
        <f t="shared" ca="1" si="550"/>
        <v>-</v>
      </c>
      <c r="AK93" s="179" t="str">
        <f t="shared" ca="1" si="551"/>
        <v>-</v>
      </c>
      <c r="AL93" s="179" t="str">
        <f t="shared" ca="1" si="551"/>
        <v>-</v>
      </c>
      <c r="AM93" s="179" t="str">
        <f t="shared" ca="1" si="551"/>
        <v>-</v>
      </c>
      <c r="AO93" s="182" t="str">
        <f t="shared" ca="1" si="552"/>
        <v>-</v>
      </c>
      <c r="AP93" s="182" t="str">
        <f t="shared" ca="1" si="552"/>
        <v>-</v>
      </c>
      <c r="AQ93" s="182" t="str">
        <f t="shared" ca="1" si="552"/>
        <v>-</v>
      </c>
      <c r="AU93" s="185" t="str">
        <f t="shared" ref="AU93" ca="1" si="737">IF($D93="-","-",IF(LEN(M93)=0,"", INDEX($AT$7:$AT$15,MATCH(IF($V93-INDEX(GridXRange,P93)&lt;0,"Negative",IF($V93-INDEX(GridXRange,P93)&gt;0,"Positive","Zero")) &amp; " - " &amp;IF($W93-INDEX(GridYRange,P93)&lt;0,"Negative",IF($W93-INDEX(GridYRange,P93)&gt;0,"Positive","Zero")),$AS$7:$AS$15,0))))</f>
        <v>-</v>
      </c>
      <c r="AV93" s="186" t="str">
        <f t="shared" ref="AV93" ca="1" si="738">IF($D93="-","-",IF(LEN(N93)=0,"", INDEX($AT$7:$AT$15,MATCH(IF($V93-INDEX(GridXRange,Q93)&lt;0,"Negative",IF($V93-INDEX(GridXRange,Q93)&gt;0,"Positive","Zero")) &amp; " - " &amp;IF($W93-INDEX(GridYRange,Q93)&lt;0,"Negative",IF($W93-INDEX(GridYRange,Q93)&gt;0,"Positive","Zero")),$AS$7:$AS$15,0))))</f>
        <v>-</v>
      </c>
      <c r="AW93" s="186" t="str">
        <f t="shared" ref="AW93" ca="1" si="739">IF($D93="-","-",IF(LEN(O93)=0,"", INDEX($AT$7:$AT$15,MATCH(IF($V93-INDEX(GridXRange,R93)&lt;0,"Negative",IF($V93-INDEX(GridXRange,R93)&gt;0,"Positive","Zero")) &amp; " - " &amp;IF($W93-INDEX(GridYRange,R93)&lt;0,"Negative",IF($W93-INDEX(GridYRange,R93)&gt;0,"Positive","Zero")),$AS$7:$AS$15,0))))</f>
        <v>-</v>
      </c>
      <c r="AX93" s="187"/>
      <c r="AY93" s="188"/>
      <c r="AZ93" s="188"/>
      <c r="BA93" s="184"/>
      <c r="BB93" s="187" t="str">
        <f t="shared" ca="1" si="691"/>
        <v>-</v>
      </c>
      <c r="BC93" s="188" t="str">
        <f t="shared" ca="1" si="691"/>
        <v>-</v>
      </c>
      <c r="BD93" s="188" t="str">
        <f t="shared" ca="1" si="691"/>
        <v>-</v>
      </c>
      <c r="BE93" s="189" t="str">
        <f t="shared" ca="1" si="691"/>
        <v>-</v>
      </c>
      <c r="BK93" s="192" t="str">
        <f t="shared" ref="BK93" ca="1" si="740">IF($D93="-","-",$BK$5 + (V93-StartGridX) * (GapXDiff + $BW$7))</f>
        <v>-</v>
      </c>
      <c r="BL93" s="192" t="str">
        <f t="shared" ref="BL93" ca="1" si="741">IF($D93="-","-",$BL$5 + (W93-StartGridY) * (GapYDiff + $BV$7))</f>
        <v>-</v>
      </c>
      <c r="BM93" s="192" t="str">
        <f t="shared" ca="1" si="558"/>
        <v>-</v>
      </c>
      <c r="BN93" s="192" t="str">
        <f t="shared" ca="1" si="559"/>
        <v>-</v>
      </c>
      <c r="BO93" s="192" t="str">
        <f t="shared" ca="1" si="560"/>
        <v>-</v>
      </c>
      <c r="BP93" s="192" t="str">
        <f t="shared" ca="1" si="561"/>
        <v>-</v>
      </c>
      <c r="BQ93" s="192" t="str">
        <f ca="1">IF($D93="-","-",IF(LEN(K93)=0,1,IFERROR(MATCH(K93,Dashboard!$L$25:$L$31,0),1)))</f>
        <v>-</v>
      </c>
      <c r="CC93" s="143" t="str">
        <f t="shared" ref="CC93" ca="1" si="742">IF($D93="-","-",IF(COUNTIF(IDSourceRange,E93)&gt;1,1,0))</f>
        <v>-</v>
      </c>
      <c r="CD93" s="143" t="str">
        <f t="shared" ref="CD93" ca="1" si="743">IF($D93="-","-",  IF(LEN(M93)=0,0,IF(ISERROR(MATCH(M93,IDSourceRange,0)),1,0)) + IF(LEN(N93)=0,0,IF(ISERROR(MATCH(N93,IDSourceRange,0)),1,0)) + IF(LEN(O93)=0,0,IF(ISERROR(MATCH(O93,IDSourceRange,0)),1,0)) )</f>
        <v>-</v>
      </c>
      <c r="CE93" s="143" t="str">
        <f t="shared" ca="1" si="589"/>
        <v>-</v>
      </c>
      <c r="CF93" s="143" t="s">
        <v>128</v>
      </c>
      <c r="CG93" s="143" t="str">
        <f t="shared" ref="CG93" ca="1" si="744">IF($D93="-","-",IF(X93="-",0,IF(COUNTIF(GridCombinedRange,X93)&gt;1,1,0)))</f>
        <v>-</v>
      </c>
      <c r="CH93" s="143"/>
      <c r="CI93" s="143"/>
      <c r="CJ93" s="143"/>
      <c r="CK93" s="143"/>
      <c r="CL93" s="143"/>
    </row>
    <row r="94" spans="3:90" x14ac:dyDescent="0.3">
      <c r="C94" s="170">
        <v>88</v>
      </c>
      <c r="D94" s="111" t="str">
        <f ca="1">IF(COUNTA(OFFSET(Dashboard!$B$6,C94,0,1,COUNTA(Dashboard!$B$6:$H$6)))&gt;0,"Yes","-")</f>
        <v>-</v>
      </c>
      <c r="E94" s="170" t="str">
        <f ca="1">IF(D94="-","-",IF(LEN(INDEX(Dashboard!B$6:B$206,$C94+1))=0,"x"&amp;C94&amp;"x","x"&amp;INDEX(Dashboard!B$6:B$206,$C94+1)&amp;"x"))</f>
        <v>-</v>
      </c>
      <c r="F94" s="171" t="str">
        <f ca="1">IF(D94="-","-",IF(LEN(INDEX(Dashboard!$C$6:$C$206,C94+1))=0," ",INDEX(Dashboard!$C$6:$C$206,C94+1)))</f>
        <v>-</v>
      </c>
      <c r="G94" s="219" t="str">
        <f ca="1">IF(OR(D94="-",D94=""),"-",IF(LEN(INDEX(Dashboard!$D$6:$D$228,C94+1))=0,"", "x"&amp;SUBSTITUTE(SUBSTITUTE(INDEX(Dashboard!$D$6:$D$228,C94+1)," ",""),",","x,x")&amp;"x"))</f>
        <v>-</v>
      </c>
      <c r="H94" s="111" t="str">
        <f ca="1">IF(D94="-","-",TRIM(INDEX(Dashboard!$E$6:$E$206,C94+1)))</f>
        <v>-</v>
      </c>
      <c r="I94" s="111" t="str">
        <f ca="1">IF(D94="-","-",IF(LEN(INDEX(Dashboard!$F$6:$F$206,C94+1))=0,$BS$8,IF(ISERROR(MATCH(INDEX(Dashboard!$F$6:$F$206,C94+1),$BS$7:$BS$35,0)),$BS$8,INDEX(Dashboard!$F$6:$F$206,C94+1))))</f>
        <v>-</v>
      </c>
      <c r="J94" s="111" t="str">
        <f ca="1">IF(D94="-","-",SUBSTITUTE(INDEX(Dashboard!$G$6:$G$206,C94+1)," ",""))</f>
        <v>-</v>
      </c>
      <c r="K94" s="111" t="str">
        <f ca="1">IF(D94="-","-",IF(LEN(INDEX(Dashboard!$H$6:$H$206,C94+1))=0,"",INDEX(Dashboard!$H$6:$H$206,C94+1)))</f>
        <v>-</v>
      </c>
      <c r="M94" s="172" t="str">
        <f t="shared" ca="1" si="687"/>
        <v>-</v>
      </c>
      <c r="N94" s="172" t="str">
        <f t="shared" ca="1" si="687"/>
        <v>-</v>
      </c>
      <c r="O94" s="172" t="str">
        <f t="shared" ca="1" si="687"/>
        <v>-</v>
      </c>
      <c r="P94" s="173" t="str">
        <f t="shared" ca="1" si="548"/>
        <v>-</v>
      </c>
      <c r="Q94" s="172" t="str">
        <f t="shared" ca="1" si="548"/>
        <v>-</v>
      </c>
      <c r="R94" s="172" t="str">
        <f t="shared" ca="1" si="548"/>
        <v>-</v>
      </c>
      <c r="S94" s="174" t="str">
        <f t="array" aca="1" ref="S94" ca="1">IF($D94="-","-",SUM(IF(LEN(M94:O94)&gt;0,1,0)))</f>
        <v>-</v>
      </c>
      <c r="T94" s="175" t="str">
        <f t="array" aca="1" ref="T94" ca="1">IF(D94="-","-",SUM(IF(ISERROR(SEARCH(E94,$G$7:$G$206)),0,1)))</f>
        <v>-</v>
      </c>
      <c r="V94" s="204"/>
      <c r="W94" s="127"/>
      <c r="X94" s="177" t="str">
        <f t="shared" si="565"/>
        <v>-</v>
      </c>
      <c r="Y94" s="178"/>
      <c r="Z94" s="127"/>
      <c r="AB94" s="179" t="str">
        <f t="shared" ca="1" si="549"/>
        <v>-</v>
      </c>
      <c r="AC94" s="179" t="str">
        <f t="shared" ca="1" si="549"/>
        <v>-</v>
      </c>
      <c r="AD94" s="179" t="str">
        <f t="shared" ca="1" si="549"/>
        <v>-</v>
      </c>
      <c r="AJ94" s="181" t="str">
        <f t="shared" ca="1" si="550"/>
        <v>-</v>
      </c>
      <c r="AK94" s="179" t="str">
        <f t="shared" ca="1" si="551"/>
        <v>-</v>
      </c>
      <c r="AL94" s="179" t="str">
        <f t="shared" ca="1" si="551"/>
        <v>-</v>
      </c>
      <c r="AM94" s="179" t="str">
        <f t="shared" ca="1" si="551"/>
        <v>-</v>
      </c>
      <c r="AO94" s="182" t="str">
        <f t="shared" ca="1" si="552"/>
        <v>-</v>
      </c>
      <c r="AP94" s="182" t="str">
        <f t="shared" ca="1" si="552"/>
        <v>-</v>
      </c>
      <c r="AQ94" s="182" t="str">
        <f t="shared" ca="1" si="552"/>
        <v>-</v>
      </c>
      <c r="AU94" s="185" t="str">
        <f t="shared" ref="AU94" ca="1" si="745">IF($D94="-","-",IF(LEN(M94)=0,"", INDEX($AT$7:$AT$15,MATCH(IF($V94-INDEX(GridXRange,P94)&lt;0,"Negative",IF($V94-INDEX(GridXRange,P94)&gt;0,"Positive","Zero")) &amp; " - " &amp;IF($W94-INDEX(GridYRange,P94)&lt;0,"Negative",IF($W94-INDEX(GridYRange,P94)&gt;0,"Positive","Zero")),$AS$7:$AS$15,0))))</f>
        <v>-</v>
      </c>
      <c r="AV94" s="186" t="str">
        <f t="shared" ref="AV94" ca="1" si="746">IF($D94="-","-",IF(LEN(N94)=0,"", INDEX($AT$7:$AT$15,MATCH(IF($V94-INDEX(GridXRange,Q94)&lt;0,"Negative",IF($V94-INDEX(GridXRange,Q94)&gt;0,"Positive","Zero")) &amp; " - " &amp;IF($W94-INDEX(GridYRange,Q94)&lt;0,"Negative",IF($W94-INDEX(GridYRange,Q94)&gt;0,"Positive","Zero")),$AS$7:$AS$15,0))))</f>
        <v>-</v>
      </c>
      <c r="AW94" s="186" t="str">
        <f t="shared" ref="AW94" ca="1" si="747">IF($D94="-","-",IF(LEN(O94)=0,"", INDEX($AT$7:$AT$15,MATCH(IF($V94-INDEX(GridXRange,R94)&lt;0,"Negative",IF($V94-INDEX(GridXRange,R94)&gt;0,"Positive","Zero")) &amp; " - " &amp;IF($W94-INDEX(GridYRange,R94)&lt;0,"Negative",IF($W94-INDEX(GridYRange,R94)&gt;0,"Positive","Zero")),$AS$7:$AS$15,0))))</f>
        <v>-</v>
      </c>
      <c r="AX94" s="187"/>
      <c r="AY94" s="188"/>
      <c r="AZ94" s="188"/>
      <c r="BA94" s="184"/>
      <c r="BB94" s="187" t="str">
        <f t="shared" ca="1" si="691"/>
        <v>-</v>
      </c>
      <c r="BC94" s="188" t="str">
        <f t="shared" ca="1" si="691"/>
        <v>-</v>
      </c>
      <c r="BD94" s="188" t="str">
        <f t="shared" ca="1" si="691"/>
        <v>-</v>
      </c>
      <c r="BE94" s="189" t="str">
        <f t="shared" ca="1" si="691"/>
        <v>-</v>
      </c>
      <c r="BK94" s="192" t="str">
        <f t="shared" ref="BK94" ca="1" si="748">IF($D94="-","-",$BK$5 + (V94-StartGridX) * (GapXDiff + $BW$7))</f>
        <v>-</v>
      </c>
      <c r="BL94" s="192" t="str">
        <f t="shared" ref="BL94" ca="1" si="749">IF($D94="-","-",$BL$5 + (W94-StartGridY) * (GapYDiff + $BV$7))</f>
        <v>-</v>
      </c>
      <c r="BM94" s="192" t="str">
        <f t="shared" ca="1" si="558"/>
        <v>-</v>
      </c>
      <c r="BN94" s="192" t="str">
        <f t="shared" ca="1" si="559"/>
        <v>-</v>
      </c>
      <c r="BO94" s="192" t="str">
        <f t="shared" ca="1" si="560"/>
        <v>-</v>
      </c>
      <c r="BP94" s="192" t="str">
        <f t="shared" ca="1" si="561"/>
        <v>-</v>
      </c>
      <c r="BQ94" s="192" t="str">
        <f ca="1">IF($D94="-","-",IF(LEN(K94)=0,1,IFERROR(MATCH(K94,Dashboard!$L$25:$L$31,0),1)))</f>
        <v>-</v>
      </c>
      <c r="CC94" s="143" t="str">
        <f t="shared" ref="CC94" ca="1" si="750">IF($D94="-","-",IF(COUNTIF(IDSourceRange,E94)&gt;1,1,0))</f>
        <v>-</v>
      </c>
      <c r="CD94" s="143" t="str">
        <f t="shared" ref="CD94" ca="1" si="751">IF($D94="-","-",  IF(LEN(M94)=0,0,IF(ISERROR(MATCH(M94,IDSourceRange,0)),1,0)) + IF(LEN(N94)=0,0,IF(ISERROR(MATCH(N94,IDSourceRange,0)),1,0)) + IF(LEN(O94)=0,0,IF(ISERROR(MATCH(O94,IDSourceRange,0)),1,0)) )</f>
        <v>-</v>
      </c>
      <c r="CE94" s="143" t="str">
        <f t="shared" ca="1" si="589"/>
        <v>-</v>
      </c>
      <c r="CF94" s="143" t="s">
        <v>128</v>
      </c>
      <c r="CG94" s="143" t="str">
        <f t="shared" ref="CG94" ca="1" si="752">IF($D94="-","-",IF(X94="-",0,IF(COUNTIF(GridCombinedRange,X94)&gt;1,1,0)))</f>
        <v>-</v>
      </c>
      <c r="CH94" s="143"/>
      <c r="CI94" s="143"/>
      <c r="CJ94" s="143"/>
      <c r="CK94" s="143"/>
      <c r="CL94" s="143"/>
    </row>
    <row r="95" spans="3:90" x14ac:dyDescent="0.3">
      <c r="C95" s="170">
        <v>89</v>
      </c>
      <c r="D95" s="111" t="str">
        <f ca="1">IF(COUNTA(OFFSET(Dashboard!$B$6,C95,0,1,COUNTA(Dashboard!$B$6:$H$6)))&gt;0,"Yes","-")</f>
        <v>-</v>
      </c>
      <c r="E95" s="170" t="str">
        <f ca="1">IF(D95="-","-",IF(LEN(INDEX(Dashboard!B$6:B$206,$C95+1))=0,"x"&amp;C95&amp;"x","x"&amp;INDEX(Dashboard!B$6:B$206,$C95+1)&amp;"x"))</f>
        <v>-</v>
      </c>
      <c r="F95" s="171" t="str">
        <f ca="1">IF(D95="-","-",IF(LEN(INDEX(Dashboard!$C$6:$C$206,C95+1))=0," ",INDEX(Dashboard!$C$6:$C$206,C95+1)))</f>
        <v>-</v>
      </c>
      <c r="G95" s="219" t="str">
        <f ca="1">IF(OR(D95="-",D95=""),"-",IF(LEN(INDEX(Dashboard!$D$6:$D$228,C95+1))=0,"", "x"&amp;SUBSTITUTE(SUBSTITUTE(INDEX(Dashboard!$D$6:$D$228,C95+1)," ",""),",","x,x")&amp;"x"))</f>
        <v>-</v>
      </c>
      <c r="H95" s="111" t="str">
        <f ca="1">IF(D95="-","-",TRIM(INDEX(Dashboard!$E$6:$E$206,C95+1)))</f>
        <v>-</v>
      </c>
      <c r="I95" s="111" t="str">
        <f ca="1">IF(D95="-","-",IF(LEN(INDEX(Dashboard!$F$6:$F$206,C95+1))=0,$BS$8,IF(ISERROR(MATCH(INDEX(Dashboard!$F$6:$F$206,C95+1),$BS$7:$BS$35,0)),$BS$8,INDEX(Dashboard!$F$6:$F$206,C95+1))))</f>
        <v>-</v>
      </c>
      <c r="J95" s="111" t="str">
        <f ca="1">IF(D95="-","-",SUBSTITUTE(INDEX(Dashboard!$G$6:$G$206,C95+1)," ",""))</f>
        <v>-</v>
      </c>
      <c r="K95" s="111" t="str">
        <f ca="1">IF(D95="-","-",IF(LEN(INDEX(Dashboard!$H$6:$H$206,C95+1))=0,"",INDEX(Dashboard!$H$6:$H$206,C95+1)))</f>
        <v>-</v>
      </c>
      <c r="M95" s="172" t="str">
        <f t="shared" ca="1" si="687"/>
        <v>-</v>
      </c>
      <c r="N95" s="172" t="str">
        <f t="shared" ca="1" si="687"/>
        <v>-</v>
      </c>
      <c r="O95" s="172" t="str">
        <f t="shared" ca="1" si="687"/>
        <v>-</v>
      </c>
      <c r="P95" s="173" t="str">
        <f t="shared" ca="1" si="548"/>
        <v>-</v>
      </c>
      <c r="Q95" s="172" t="str">
        <f t="shared" ca="1" si="548"/>
        <v>-</v>
      </c>
      <c r="R95" s="172" t="str">
        <f t="shared" ca="1" si="548"/>
        <v>-</v>
      </c>
      <c r="S95" s="174" t="str">
        <f t="array" aca="1" ref="S95" ca="1">IF($D95="-","-",SUM(IF(LEN(M95:O95)&gt;0,1,0)))</f>
        <v>-</v>
      </c>
      <c r="T95" s="175" t="str">
        <f t="array" aca="1" ref="T95" ca="1">IF(D95="-","-",SUM(IF(ISERROR(SEARCH(E95,$G$7:$G$206)),0,1)))</f>
        <v>-</v>
      </c>
      <c r="V95" s="204"/>
      <c r="W95" s="127"/>
      <c r="X95" s="177" t="str">
        <f t="shared" si="565"/>
        <v>-</v>
      </c>
      <c r="Y95" s="178"/>
      <c r="Z95" s="127"/>
      <c r="AB95" s="179" t="str">
        <f t="shared" ca="1" si="549"/>
        <v>-</v>
      </c>
      <c r="AC95" s="179" t="str">
        <f t="shared" ca="1" si="549"/>
        <v>-</v>
      </c>
      <c r="AD95" s="179" t="str">
        <f t="shared" ca="1" si="549"/>
        <v>-</v>
      </c>
      <c r="AJ95" s="181" t="str">
        <f t="shared" ca="1" si="550"/>
        <v>-</v>
      </c>
      <c r="AK95" s="179" t="str">
        <f t="shared" ca="1" si="551"/>
        <v>-</v>
      </c>
      <c r="AL95" s="179" t="str">
        <f t="shared" ca="1" si="551"/>
        <v>-</v>
      </c>
      <c r="AM95" s="179" t="str">
        <f t="shared" ca="1" si="551"/>
        <v>-</v>
      </c>
      <c r="AO95" s="182" t="str">
        <f t="shared" ca="1" si="552"/>
        <v>-</v>
      </c>
      <c r="AP95" s="182" t="str">
        <f t="shared" ca="1" si="552"/>
        <v>-</v>
      </c>
      <c r="AQ95" s="182" t="str">
        <f t="shared" ca="1" si="552"/>
        <v>-</v>
      </c>
      <c r="AU95" s="185" t="str">
        <f t="shared" ref="AU95" ca="1" si="753">IF($D95="-","-",IF(LEN(M95)=0,"", INDEX($AT$7:$AT$15,MATCH(IF($V95-INDEX(GridXRange,P95)&lt;0,"Negative",IF($V95-INDEX(GridXRange,P95)&gt;0,"Positive","Zero")) &amp; " - " &amp;IF($W95-INDEX(GridYRange,P95)&lt;0,"Negative",IF($W95-INDEX(GridYRange,P95)&gt;0,"Positive","Zero")),$AS$7:$AS$15,0))))</f>
        <v>-</v>
      </c>
      <c r="AV95" s="186" t="str">
        <f t="shared" ref="AV95" ca="1" si="754">IF($D95="-","-",IF(LEN(N95)=0,"", INDEX($AT$7:$AT$15,MATCH(IF($V95-INDEX(GridXRange,Q95)&lt;0,"Negative",IF($V95-INDEX(GridXRange,Q95)&gt;0,"Positive","Zero")) &amp; " - " &amp;IF($W95-INDEX(GridYRange,Q95)&lt;0,"Negative",IF($W95-INDEX(GridYRange,Q95)&gt;0,"Positive","Zero")),$AS$7:$AS$15,0))))</f>
        <v>-</v>
      </c>
      <c r="AW95" s="186" t="str">
        <f t="shared" ref="AW95" ca="1" si="755">IF($D95="-","-",IF(LEN(O95)=0,"", INDEX($AT$7:$AT$15,MATCH(IF($V95-INDEX(GridXRange,R95)&lt;0,"Negative",IF($V95-INDEX(GridXRange,R95)&gt;0,"Positive","Zero")) &amp; " - " &amp;IF($W95-INDEX(GridYRange,R95)&lt;0,"Negative",IF($W95-INDEX(GridYRange,R95)&gt;0,"Positive","Zero")),$AS$7:$AS$15,0))))</f>
        <v>-</v>
      </c>
      <c r="AX95" s="187"/>
      <c r="AY95" s="188"/>
      <c r="AZ95" s="188"/>
      <c r="BA95" s="184"/>
      <c r="BB95" s="187" t="str">
        <f t="shared" ca="1" si="691"/>
        <v>-</v>
      </c>
      <c r="BC95" s="188" t="str">
        <f t="shared" ca="1" si="691"/>
        <v>-</v>
      </c>
      <c r="BD95" s="188" t="str">
        <f t="shared" ca="1" si="691"/>
        <v>-</v>
      </c>
      <c r="BE95" s="189" t="str">
        <f t="shared" ca="1" si="691"/>
        <v>-</v>
      </c>
      <c r="BK95" s="192" t="str">
        <f t="shared" ref="BK95" ca="1" si="756">IF($D95="-","-",$BK$5 + (V95-StartGridX) * (GapXDiff + $BW$7))</f>
        <v>-</v>
      </c>
      <c r="BL95" s="192" t="str">
        <f t="shared" ref="BL95" ca="1" si="757">IF($D95="-","-",$BL$5 + (W95-StartGridY) * (GapYDiff + $BV$7))</f>
        <v>-</v>
      </c>
      <c r="BM95" s="192" t="str">
        <f t="shared" ca="1" si="558"/>
        <v>-</v>
      </c>
      <c r="BN95" s="192" t="str">
        <f t="shared" ca="1" si="559"/>
        <v>-</v>
      </c>
      <c r="BO95" s="192" t="str">
        <f t="shared" ca="1" si="560"/>
        <v>-</v>
      </c>
      <c r="BP95" s="192" t="str">
        <f t="shared" ca="1" si="561"/>
        <v>-</v>
      </c>
      <c r="BQ95" s="192" t="str">
        <f ca="1">IF($D95="-","-",IF(LEN(K95)=0,1,IFERROR(MATCH(K95,Dashboard!$L$25:$L$31,0),1)))</f>
        <v>-</v>
      </c>
      <c r="CC95" s="143" t="str">
        <f t="shared" ref="CC95" ca="1" si="758">IF($D95="-","-",IF(COUNTIF(IDSourceRange,E95)&gt;1,1,0))</f>
        <v>-</v>
      </c>
      <c r="CD95" s="143" t="str">
        <f t="shared" ref="CD95" ca="1" si="759">IF($D95="-","-",  IF(LEN(M95)=0,0,IF(ISERROR(MATCH(M95,IDSourceRange,0)),1,0)) + IF(LEN(N95)=0,0,IF(ISERROR(MATCH(N95,IDSourceRange,0)),1,0)) + IF(LEN(O95)=0,0,IF(ISERROR(MATCH(O95,IDSourceRange,0)),1,0)) )</f>
        <v>-</v>
      </c>
      <c r="CE95" s="143" t="str">
        <f t="shared" ca="1" si="589"/>
        <v>-</v>
      </c>
      <c r="CF95" s="143" t="s">
        <v>128</v>
      </c>
      <c r="CG95" s="143" t="str">
        <f t="shared" ref="CG95" ca="1" si="760">IF($D95="-","-",IF(X95="-",0,IF(COUNTIF(GridCombinedRange,X95)&gt;1,1,0)))</f>
        <v>-</v>
      </c>
      <c r="CH95" s="143"/>
      <c r="CI95" s="143"/>
      <c r="CJ95" s="143"/>
      <c r="CK95" s="143"/>
      <c r="CL95" s="143"/>
    </row>
    <row r="96" spans="3:90" x14ac:dyDescent="0.3">
      <c r="C96" s="170">
        <v>90</v>
      </c>
      <c r="D96" s="111" t="str">
        <f ca="1">IF(COUNTA(OFFSET(Dashboard!$B$6,C96,0,1,COUNTA(Dashboard!$B$6:$H$6)))&gt;0,"Yes","-")</f>
        <v>-</v>
      </c>
      <c r="E96" s="170" t="str">
        <f ca="1">IF(D96="-","-",IF(LEN(INDEX(Dashboard!B$6:B$206,$C96+1))=0,"x"&amp;C96&amp;"x","x"&amp;INDEX(Dashboard!B$6:B$206,$C96+1)&amp;"x"))</f>
        <v>-</v>
      </c>
      <c r="F96" s="171" t="str">
        <f ca="1">IF(D96="-","-",IF(LEN(INDEX(Dashboard!$C$6:$C$206,C96+1))=0," ",INDEX(Dashboard!$C$6:$C$206,C96+1)))</f>
        <v>-</v>
      </c>
      <c r="G96" s="219" t="str">
        <f ca="1">IF(OR(D96="-",D96=""),"-",IF(LEN(INDEX(Dashboard!$D$6:$D$228,C96+1))=0,"", "x"&amp;SUBSTITUTE(SUBSTITUTE(INDEX(Dashboard!$D$6:$D$228,C96+1)," ",""),",","x,x")&amp;"x"))</f>
        <v>-</v>
      </c>
      <c r="H96" s="111" t="str">
        <f ca="1">IF(D96="-","-",TRIM(INDEX(Dashboard!$E$6:$E$206,C96+1)))</f>
        <v>-</v>
      </c>
      <c r="I96" s="111" t="str">
        <f ca="1">IF(D96="-","-",IF(LEN(INDEX(Dashboard!$F$6:$F$206,C96+1))=0,$BS$8,IF(ISERROR(MATCH(INDEX(Dashboard!$F$6:$F$206,C96+1),$BS$7:$BS$35,0)),$BS$8,INDEX(Dashboard!$F$6:$F$206,C96+1))))</f>
        <v>-</v>
      </c>
      <c r="J96" s="219" t="str">
        <f ca="1">IF(D96="-","-",SUBSTITUTE(INDEX(Dashboard!$G$6:$G$228,C96+1)," ",""))</f>
        <v>-</v>
      </c>
      <c r="K96" s="111" t="str">
        <f ca="1">IF(D96="-","-",IF(LEN(INDEX(Dashboard!$H$6:$H$206,C96+1))=0,"",INDEX(Dashboard!$H$6:$H$206,C96+1)))</f>
        <v>-</v>
      </c>
      <c r="M96" s="172" t="str">
        <f t="shared" ca="1" si="687"/>
        <v>-</v>
      </c>
      <c r="N96" s="172" t="str">
        <f t="shared" ca="1" si="687"/>
        <v>-</v>
      </c>
      <c r="O96" s="172" t="str">
        <f t="shared" ca="1" si="687"/>
        <v>-</v>
      </c>
      <c r="P96" s="173" t="str">
        <f t="shared" ca="1" si="548"/>
        <v>-</v>
      </c>
      <c r="Q96" s="172" t="str">
        <f t="shared" ca="1" si="548"/>
        <v>-</v>
      </c>
      <c r="R96" s="172" t="str">
        <f t="shared" ca="1" si="548"/>
        <v>-</v>
      </c>
      <c r="S96" s="174" t="str">
        <f t="array" aca="1" ref="S96" ca="1">IF($D96="-","-",SUM(IF(LEN(M96:O96)&gt;0,1,0)))</f>
        <v>-</v>
      </c>
      <c r="T96" s="175" t="str">
        <f t="array" aca="1" ref="T96" ca="1">IF(D96="-","-",SUM(IF(ISERROR(SEARCH(E96,$G$7:$G$206)),0,1)))</f>
        <v>-</v>
      </c>
      <c r="V96" s="204"/>
      <c r="W96" s="127"/>
      <c r="X96" s="177" t="str">
        <f t="shared" si="565"/>
        <v>-</v>
      </c>
      <c r="Y96" s="178"/>
      <c r="Z96" s="127"/>
      <c r="AB96" s="179" t="str">
        <f t="shared" ca="1" si="549"/>
        <v>-</v>
      </c>
      <c r="AC96" s="179" t="str">
        <f t="shared" ca="1" si="549"/>
        <v>-</v>
      </c>
      <c r="AD96" s="179" t="str">
        <f t="shared" ca="1" si="549"/>
        <v>-</v>
      </c>
      <c r="AJ96" s="181" t="str">
        <f t="shared" ca="1" si="550"/>
        <v>-</v>
      </c>
      <c r="AK96" s="179" t="str">
        <f t="shared" ca="1" si="551"/>
        <v>-</v>
      </c>
      <c r="AL96" s="179" t="str">
        <f t="shared" ca="1" si="551"/>
        <v>-</v>
      </c>
      <c r="AM96" s="179" t="str">
        <f t="shared" ca="1" si="551"/>
        <v>-</v>
      </c>
      <c r="AO96" s="182" t="str">
        <f t="shared" ca="1" si="552"/>
        <v>-</v>
      </c>
      <c r="AP96" s="182" t="str">
        <f t="shared" ca="1" si="552"/>
        <v>-</v>
      </c>
      <c r="AQ96" s="182" t="str">
        <f t="shared" ca="1" si="552"/>
        <v>-</v>
      </c>
      <c r="AU96" s="185" t="str">
        <f t="shared" ref="AU96" ca="1" si="761">IF($D96="-","-",IF(LEN(M96)=0,"", INDEX($AT$7:$AT$15,MATCH(IF($V96-INDEX(GridXRange,P96)&lt;0,"Negative",IF($V96-INDEX(GridXRange,P96)&gt;0,"Positive","Zero")) &amp; " - " &amp;IF($W96-INDEX(GridYRange,P96)&lt;0,"Negative",IF($W96-INDEX(GridYRange,P96)&gt;0,"Positive","Zero")),$AS$7:$AS$15,0))))</f>
        <v>-</v>
      </c>
      <c r="AV96" s="186" t="str">
        <f t="shared" ref="AV96" ca="1" si="762">IF($D96="-","-",IF(LEN(N96)=0,"", INDEX($AT$7:$AT$15,MATCH(IF($V96-INDEX(GridXRange,Q96)&lt;0,"Negative",IF($V96-INDEX(GridXRange,Q96)&gt;0,"Positive","Zero")) &amp; " - " &amp;IF($W96-INDEX(GridYRange,Q96)&lt;0,"Negative",IF($W96-INDEX(GridYRange,Q96)&gt;0,"Positive","Zero")),$AS$7:$AS$15,0))))</f>
        <v>-</v>
      </c>
      <c r="AW96" s="186" t="str">
        <f t="shared" ref="AW96" ca="1" si="763">IF($D96="-","-",IF(LEN(O96)=0,"", INDEX($AT$7:$AT$15,MATCH(IF($V96-INDEX(GridXRange,R96)&lt;0,"Negative",IF($V96-INDEX(GridXRange,R96)&gt;0,"Positive","Zero")) &amp; " - " &amp;IF($W96-INDEX(GridYRange,R96)&lt;0,"Negative",IF($W96-INDEX(GridYRange,R96)&gt;0,"Positive","Zero")),$AS$7:$AS$15,0))))</f>
        <v>-</v>
      </c>
      <c r="AX96" s="187"/>
      <c r="AY96" s="188"/>
      <c r="AZ96" s="188"/>
      <c r="BA96" s="184"/>
      <c r="BB96" s="187" t="str">
        <f t="shared" ca="1" si="691"/>
        <v>-</v>
      </c>
      <c r="BC96" s="188" t="str">
        <f t="shared" ca="1" si="691"/>
        <v>-</v>
      </c>
      <c r="BD96" s="188" t="str">
        <f t="shared" ca="1" si="691"/>
        <v>-</v>
      </c>
      <c r="BE96" s="189" t="str">
        <f t="shared" ca="1" si="691"/>
        <v>-</v>
      </c>
      <c r="BK96" s="192" t="str">
        <f t="shared" ref="BK96" ca="1" si="764">IF($D96="-","-",$BK$5 + (V96-StartGridX) * (GapXDiff + $BW$7))</f>
        <v>-</v>
      </c>
      <c r="BL96" s="192" t="str">
        <f t="shared" ref="BL96" ca="1" si="765">IF($D96="-","-",$BL$5 + (W96-StartGridY) * (GapYDiff + $BV$7))</f>
        <v>-</v>
      </c>
      <c r="BM96" s="192" t="str">
        <f t="shared" ca="1" si="558"/>
        <v>-</v>
      </c>
      <c r="BN96" s="192" t="str">
        <f t="shared" ca="1" si="559"/>
        <v>-</v>
      </c>
      <c r="BO96" s="192" t="str">
        <f t="shared" ca="1" si="560"/>
        <v>-</v>
      </c>
      <c r="BP96" s="192" t="str">
        <f t="shared" ca="1" si="561"/>
        <v>-</v>
      </c>
      <c r="BQ96" s="192" t="str">
        <f ca="1">IF($D96="-","-",IF(LEN(K96)=0,1,IFERROR(MATCH(K96,Dashboard!$L$25:$L$31,0),1)))</f>
        <v>-</v>
      </c>
      <c r="CC96" s="143" t="str">
        <f t="shared" ref="CC96" ca="1" si="766">IF($D96="-","-",IF(COUNTIF(IDSourceRange,E96)&gt;1,1,0))</f>
        <v>-</v>
      </c>
      <c r="CD96" s="143" t="str">
        <f t="shared" ref="CD96" ca="1" si="767">IF($D96="-","-",  IF(LEN(M96)=0,0,IF(ISERROR(MATCH(M96,IDSourceRange,0)),1,0)) + IF(LEN(N96)=0,0,IF(ISERROR(MATCH(N96,IDSourceRange,0)),1,0)) + IF(LEN(O96)=0,0,IF(ISERROR(MATCH(O96,IDSourceRange,0)),1,0)) )</f>
        <v>-</v>
      </c>
      <c r="CE96" s="143" t="str">
        <f t="shared" ca="1" si="589"/>
        <v>-</v>
      </c>
      <c r="CF96" s="143" t="s">
        <v>128</v>
      </c>
      <c r="CG96" s="143" t="str">
        <f t="shared" ref="CG96" ca="1" si="768">IF($D96="-","-",IF(X96="-",0,IF(COUNTIF(GridCombinedRange,X96)&gt;1,1,0)))</f>
        <v>-</v>
      </c>
      <c r="CH96" s="143"/>
      <c r="CI96" s="143"/>
      <c r="CJ96" s="143"/>
      <c r="CK96" s="143"/>
      <c r="CL96" s="143"/>
    </row>
    <row r="97" spans="3:90" x14ac:dyDescent="0.3">
      <c r="C97" s="170">
        <v>91</v>
      </c>
      <c r="D97" s="111" t="str">
        <f ca="1">IF(COUNTA(OFFSET(Dashboard!$B$6,C97,0,1,COUNTA(Dashboard!$B$6:$H$6)))&gt;0,"Yes","-")</f>
        <v>-</v>
      </c>
      <c r="E97" s="170" t="str">
        <f ca="1">IF(D97="-","-",IF(LEN(INDEX(Dashboard!B$6:B$206,$C97+1))=0,"x"&amp;C97&amp;"x","x"&amp;INDEX(Dashboard!B$6:B$206,$C97+1)&amp;"x"))</f>
        <v>-</v>
      </c>
      <c r="F97" s="171" t="str">
        <f ca="1">IF(D97="-","-",IF(LEN(INDEX(Dashboard!$C$6:$C$206,C97+1))=0," ",INDEX(Dashboard!$C$6:$C$206,C97+1)))</f>
        <v>-</v>
      </c>
      <c r="G97" s="219" t="str">
        <f ca="1">IF(OR(D97="-",D97=""),"-",IF(LEN(INDEX(Dashboard!$D$6:$D$228,C97+1))=0,"", "x"&amp;SUBSTITUTE(SUBSTITUTE(INDEX(Dashboard!$D$6:$D$228,C97+1)," ",""),",","x,x")&amp;"x"))</f>
        <v>-</v>
      </c>
      <c r="H97" s="111" t="str">
        <f ca="1">IF(D97="-","-",TRIM(INDEX(Dashboard!$E$6:$E$206,C97+1)))</f>
        <v>-</v>
      </c>
      <c r="I97" s="111" t="str">
        <f ca="1">IF(D97="-","-",IF(LEN(INDEX(Dashboard!$F$6:$F$206,C97+1))=0,$BS$8,IF(ISERROR(MATCH(INDEX(Dashboard!$F$6:$F$206,C97+1),$BS$7:$BS$35,0)),$BS$8,INDEX(Dashboard!$F$6:$F$206,C97+1))))</f>
        <v>-</v>
      </c>
      <c r="J97" s="111" t="str">
        <f ca="1">IF(D97="-","-",SUBSTITUTE(INDEX(Dashboard!$G$6:$G$206,C97+1)," ",""))</f>
        <v>-</v>
      </c>
      <c r="K97" s="111" t="str">
        <f ca="1">IF(D97="-","-",IF(LEN(INDEX(Dashboard!$H$6:$H$206,C97+1))=0,"",INDEX(Dashboard!$H$6:$H$206,C97+1)))</f>
        <v>-</v>
      </c>
      <c r="M97" s="172" t="str">
        <f t="shared" ca="1" si="687"/>
        <v>-</v>
      </c>
      <c r="N97" s="172" t="str">
        <f t="shared" ca="1" si="687"/>
        <v>-</v>
      </c>
      <c r="O97" s="172" t="str">
        <f t="shared" ca="1" si="687"/>
        <v>-</v>
      </c>
      <c r="P97" s="173" t="str">
        <f t="shared" ca="1" si="548"/>
        <v>-</v>
      </c>
      <c r="Q97" s="172" t="str">
        <f t="shared" ca="1" si="548"/>
        <v>-</v>
      </c>
      <c r="R97" s="172" t="str">
        <f t="shared" ca="1" si="548"/>
        <v>-</v>
      </c>
      <c r="S97" s="174" t="str">
        <f t="array" aca="1" ref="S97" ca="1">IF($D97="-","-",SUM(IF(LEN(M97:O97)&gt;0,1,0)))</f>
        <v>-</v>
      </c>
      <c r="T97" s="175" t="str">
        <f t="array" aca="1" ref="T97" ca="1">IF(D97="-","-",SUM(IF(ISERROR(SEARCH(E97,$G$7:$G$206)),0,1)))</f>
        <v>-</v>
      </c>
      <c r="V97" s="204"/>
      <c r="W97" s="127"/>
      <c r="X97" s="177" t="str">
        <f t="shared" si="565"/>
        <v>-</v>
      </c>
      <c r="Y97" s="178"/>
      <c r="Z97" s="127"/>
      <c r="AB97" s="179" t="str">
        <f t="shared" ca="1" si="549"/>
        <v>-</v>
      </c>
      <c r="AC97" s="179" t="str">
        <f t="shared" ca="1" si="549"/>
        <v>-</v>
      </c>
      <c r="AD97" s="179" t="str">
        <f t="shared" ca="1" si="549"/>
        <v>-</v>
      </c>
      <c r="AJ97" s="181" t="str">
        <f t="shared" ca="1" si="550"/>
        <v>-</v>
      </c>
      <c r="AK97" s="179" t="str">
        <f t="shared" ca="1" si="551"/>
        <v>-</v>
      </c>
      <c r="AL97" s="179" t="str">
        <f t="shared" ca="1" si="551"/>
        <v>-</v>
      </c>
      <c r="AM97" s="179" t="str">
        <f t="shared" ca="1" si="551"/>
        <v>-</v>
      </c>
      <c r="AO97" s="182" t="str">
        <f t="shared" ca="1" si="552"/>
        <v>-</v>
      </c>
      <c r="AP97" s="182" t="str">
        <f t="shared" ca="1" si="552"/>
        <v>-</v>
      </c>
      <c r="AQ97" s="182" t="str">
        <f t="shared" ca="1" si="552"/>
        <v>-</v>
      </c>
      <c r="AU97" s="185" t="str">
        <f t="shared" ref="AU97" ca="1" si="769">IF($D97="-","-",IF(LEN(M97)=0,"", INDEX($AT$7:$AT$15,MATCH(IF($V97-INDEX(GridXRange,P97)&lt;0,"Negative",IF($V97-INDEX(GridXRange,P97)&gt;0,"Positive","Zero")) &amp; " - " &amp;IF($W97-INDEX(GridYRange,P97)&lt;0,"Negative",IF($W97-INDEX(GridYRange,P97)&gt;0,"Positive","Zero")),$AS$7:$AS$15,0))))</f>
        <v>-</v>
      </c>
      <c r="AV97" s="186" t="str">
        <f t="shared" ref="AV97" ca="1" si="770">IF($D97="-","-",IF(LEN(N97)=0,"", INDEX($AT$7:$AT$15,MATCH(IF($V97-INDEX(GridXRange,Q97)&lt;0,"Negative",IF($V97-INDEX(GridXRange,Q97)&gt;0,"Positive","Zero")) &amp; " - " &amp;IF($W97-INDEX(GridYRange,Q97)&lt;0,"Negative",IF($W97-INDEX(GridYRange,Q97)&gt;0,"Positive","Zero")),$AS$7:$AS$15,0))))</f>
        <v>-</v>
      </c>
      <c r="AW97" s="186" t="str">
        <f t="shared" ref="AW97" ca="1" si="771">IF($D97="-","-",IF(LEN(O97)=0,"", INDEX($AT$7:$AT$15,MATCH(IF($V97-INDEX(GridXRange,R97)&lt;0,"Negative",IF($V97-INDEX(GridXRange,R97)&gt;0,"Positive","Zero")) &amp; " - " &amp;IF($W97-INDEX(GridYRange,R97)&lt;0,"Negative",IF($W97-INDEX(GridYRange,R97)&gt;0,"Positive","Zero")),$AS$7:$AS$15,0))))</f>
        <v>-</v>
      </c>
      <c r="AX97" s="187"/>
      <c r="AY97" s="188"/>
      <c r="AZ97" s="188"/>
      <c r="BA97" s="184"/>
      <c r="BB97" s="187" t="str">
        <f t="shared" ca="1" si="691"/>
        <v>-</v>
      </c>
      <c r="BC97" s="188" t="str">
        <f t="shared" ca="1" si="691"/>
        <v>-</v>
      </c>
      <c r="BD97" s="188" t="str">
        <f t="shared" ca="1" si="691"/>
        <v>-</v>
      </c>
      <c r="BE97" s="189" t="str">
        <f t="shared" ca="1" si="691"/>
        <v>-</v>
      </c>
      <c r="BK97" s="192" t="str">
        <f t="shared" ref="BK97" ca="1" si="772">IF($D97="-","-",$BK$5 + (V97-StartGridX) * (GapXDiff + $BW$7))</f>
        <v>-</v>
      </c>
      <c r="BL97" s="192" t="str">
        <f t="shared" ref="BL97" ca="1" si="773">IF($D97="-","-",$BL$5 + (W97-StartGridY) * (GapYDiff + $BV$7))</f>
        <v>-</v>
      </c>
      <c r="BM97" s="192" t="str">
        <f t="shared" ca="1" si="558"/>
        <v>-</v>
      </c>
      <c r="BN97" s="192" t="str">
        <f t="shared" ca="1" si="559"/>
        <v>-</v>
      </c>
      <c r="BO97" s="192" t="str">
        <f t="shared" ca="1" si="560"/>
        <v>-</v>
      </c>
      <c r="BP97" s="192" t="str">
        <f t="shared" ca="1" si="561"/>
        <v>-</v>
      </c>
      <c r="BQ97" s="192" t="str">
        <f ca="1">IF($D97="-","-",IF(LEN(K97)=0,1,IFERROR(MATCH(K97,Dashboard!$L$25:$L$31,0),1)))</f>
        <v>-</v>
      </c>
      <c r="CC97" s="143" t="str">
        <f t="shared" ref="CC97" ca="1" si="774">IF($D97="-","-",IF(COUNTIF(IDSourceRange,E97)&gt;1,1,0))</f>
        <v>-</v>
      </c>
      <c r="CD97" s="143" t="str">
        <f t="shared" ref="CD97" ca="1" si="775">IF($D97="-","-",  IF(LEN(M97)=0,0,IF(ISERROR(MATCH(M97,IDSourceRange,0)),1,0)) + IF(LEN(N97)=0,0,IF(ISERROR(MATCH(N97,IDSourceRange,0)),1,0)) + IF(LEN(O97)=0,0,IF(ISERROR(MATCH(O97,IDSourceRange,0)),1,0)) )</f>
        <v>-</v>
      </c>
      <c r="CE97" s="143" t="str">
        <f t="shared" ca="1" si="589"/>
        <v>-</v>
      </c>
      <c r="CF97" s="143" t="s">
        <v>128</v>
      </c>
      <c r="CG97" s="143" t="str">
        <f t="shared" ref="CG97" ca="1" si="776">IF($D97="-","-",IF(X97="-",0,IF(COUNTIF(GridCombinedRange,X97)&gt;1,1,0)))</f>
        <v>-</v>
      </c>
      <c r="CH97" s="143"/>
      <c r="CI97" s="143"/>
      <c r="CJ97" s="143"/>
      <c r="CK97" s="143"/>
      <c r="CL97" s="143"/>
    </row>
    <row r="98" spans="3:90" x14ac:dyDescent="0.3">
      <c r="C98" s="170">
        <v>92</v>
      </c>
      <c r="D98" s="111" t="str">
        <f ca="1">IF(COUNTA(OFFSET(Dashboard!$B$6,C98,0,1,COUNTA(Dashboard!$B$6:$H$6)))&gt;0,"Yes","-")</f>
        <v>-</v>
      </c>
      <c r="E98" s="170" t="str">
        <f ca="1">IF(D98="-","-",IF(LEN(INDEX(Dashboard!B$6:B$206,$C98+1))=0,"x"&amp;C98&amp;"x","x"&amp;INDEX(Dashboard!B$6:B$206,$C98+1)&amp;"x"))</f>
        <v>-</v>
      </c>
      <c r="F98" s="171" t="str">
        <f ca="1">IF(D98="-","-",IF(LEN(INDEX(Dashboard!$C$6:$C$206,C98+1))=0," ",INDEX(Dashboard!$C$6:$C$206,C98+1)))</f>
        <v>-</v>
      </c>
      <c r="G98" s="219" t="str">
        <f ca="1">IF(OR(D98="-",D98=""),"-",IF(LEN(INDEX(Dashboard!$D$6:$D$228,C98+1))=0,"", "x"&amp;SUBSTITUTE(SUBSTITUTE(INDEX(Dashboard!$D$6:$D$228,C98+1)," ",""),",","x,x")&amp;"x"))</f>
        <v>-</v>
      </c>
      <c r="H98" s="111" t="str">
        <f ca="1">IF(D98="-","-",TRIM(INDEX(Dashboard!$E$6:$E$206,C98+1)))</f>
        <v>-</v>
      </c>
      <c r="I98" s="111" t="str">
        <f ca="1">IF(D98="-","-",IF(LEN(INDEX(Dashboard!$F$6:$F$206,C98+1))=0,$BS$8,IF(ISERROR(MATCH(INDEX(Dashboard!$F$6:$F$206,C98+1),$BS$7:$BS$35,0)),$BS$8,INDEX(Dashboard!$F$6:$F$206,C98+1))))</f>
        <v>-</v>
      </c>
      <c r="J98" s="111" t="str">
        <f ca="1">IF(D98="-","-",SUBSTITUTE(INDEX(Dashboard!$G$6:$G$206,C98+1)," ",""))</f>
        <v>-</v>
      </c>
      <c r="K98" s="111" t="str">
        <f ca="1">IF(D98="-","-",IF(LEN(INDEX(Dashboard!$H$6:$H$206,C98+1))=0,"",INDEX(Dashboard!$H$6:$H$206,C98+1)))</f>
        <v>-</v>
      </c>
      <c r="M98" s="172" t="str">
        <f t="shared" ca="1" si="687"/>
        <v>-</v>
      </c>
      <c r="N98" s="172" t="str">
        <f t="shared" ca="1" si="687"/>
        <v>-</v>
      </c>
      <c r="O98" s="172" t="str">
        <f t="shared" ca="1" si="687"/>
        <v>-</v>
      </c>
      <c r="P98" s="173" t="str">
        <f t="shared" ca="1" si="548"/>
        <v>-</v>
      </c>
      <c r="Q98" s="172" t="str">
        <f t="shared" ca="1" si="548"/>
        <v>-</v>
      </c>
      <c r="R98" s="172" t="str">
        <f t="shared" ca="1" si="548"/>
        <v>-</v>
      </c>
      <c r="S98" s="174" t="str">
        <f t="array" aca="1" ref="S98" ca="1">IF($D98="-","-",SUM(IF(LEN(M98:O98)&gt;0,1,0)))</f>
        <v>-</v>
      </c>
      <c r="T98" s="175" t="str">
        <f t="array" aca="1" ref="T98" ca="1">IF(D98="-","-",SUM(IF(ISERROR(SEARCH(E98,$G$7:$G$206)),0,1)))</f>
        <v>-</v>
      </c>
      <c r="V98" s="204"/>
      <c r="W98" s="127"/>
      <c r="X98" s="177" t="str">
        <f t="shared" si="565"/>
        <v>-</v>
      </c>
      <c r="Y98" s="178"/>
      <c r="Z98" s="127"/>
      <c r="AB98" s="179" t="str">
        <f t="shared" ca="1" si="549"/>
        <v>-</v>
      </c>
      <c r="AC98" s="179" t="str">
        <f t="shared" ca="1" si="549"/>
        <v>-</v>
      </c>
      <c r="AD98" s="179" t="str">
        <f t="shared" ca="1" si="549"/>
        <v>-</v>
      </c>
      <c r="AJ98" s="181" t="str">
        <f t="shared" ca="1" si="550"/>
        <v>-</v>
      </c>
      <c r="AK98" s="179" t="str">
        <f t="shared" ca="1" si="551"/>
        <v>-</v>
      </c>
      <c r="AL98" s="179" t="str">
        <f t="shared" ca="1" si="551"/>
        <v>-</v>
      </c>
      <c r="AM98" s="179" t="str">
        <f t="shared" ca="1" si="551"/>
        <v>-</v>
      </c>
      <c r="AO98" s="182" t="str">
        <f t="shared" ca="1" si="552"/>
        <v>-</v>
      </c>
      <c r="AP98" s="182" t="str">
        <f t="shared" ca="1" si="552"/>
        <v>-</v>
      </c>
      <c r="AQ98" s="182" t="str">
        <f t="shared" ca="1" si="552"/>
        <v>-</v>
      </c>
      <c r="AU98" s="185" t="str">
        <f t="shared" ref="AU98" ca="1" si="777">IF($D98="-","-",IF(LEN(M98)=0,"", INDEX($AT$7:$AT$15,MATCH(IF($V98-INDEX(GridXRange,P98)&lt;0,"Negative",IF($V98-INDEX(GridXRange,P98)&gt;0,"Positive","Zero")) &amp; " - " &amp;IF($W98-INDEX(GridYRange,P98)&lt;0,"Negative",IF($W98-INDEX(GridYRange,P98)&gt;0,"Positive","Zero")),$AS$7:$AS$15,0))))</f>
        <v>-</v>
      </c>
      <c r="AV98" s="186" t="str">
        <f t="shared" ref="AV98" ca="1" si="778">IF($D98="-","-",IF(LEN(N98)=0,"", INDEX($AT$7:$AT$15,MATCH(IF($V98-INDEX(GridXRange,Q98)&lt;0,"Negative",IF($V98-INDEX(GridXRange,Q98)&gt;0,"Positive","Zero")) &amp; " - " &amp;IF($W98-INDEX(GridYRange,Q98)&lt;0,"Negative",IF($W98-INDEX(GridYRange,Q98)&gt;0,"Positive","Zero")),$AS$7:$AS$15,0))))</f>
        <v>-</v>
      </c>
      <c r="AW98" s="186" t="str">
        <f t="shared" ref="AW98" ca="1" si="779">IF($D98="-","-",IF(LEN(O98)=0,"", INDEX($AT$7:$AT$15,MATCH(IF($V98-INDEX(GridXRange,R98)&lt;0,"Negative",IF($V98-INDEX(GridXRange,R98)&gt;0,"Positive","Zero")) &amp; " - " &amp;IF($W98-INDEX(GridYRange,R98)&lt;0,"Negative",IF($W98-INDEX(GridYRange,R98)&gt;0,"Positive","Zero")),$AS$7:$AS$15,0))))</f>
        <v>-</v>
      </c>
      <c r="AX98" s="187"/>
      <c r="AY98" s="188"/>
      <c r="AZ98" s="188"/>
      <c r="BA98" s="184"/>
      <c r="BB98" s="187" t="str">
        <f t="shared" ca="1" si="691"/>
        <v>-</v>
      </c>
      <c r="BC98" s="188" t="str">
        <f t="shared" ca="1" si="691"/>
        <v>-</v>
      </c>
      <c r="BD98" s="188" t="str">
        <f t="shared" ca="1" si="691"/>
        <v>-</v>
      </c>
      <c r="BE98" s="189" t="str">
        <f t="shared" ca="1" si="691"/>
        <v>-</v>
      </c>
      <c r="BK98" s="192" t="str">
        <f t="shared" ref="BK98" ca="1" si="780">IF($D98="-","-",$BK$5 + (V98-StartGridX) * (GapXDiff + $BW$7))</f>
        <v>-</v>
      </c>
      <c r="BL98" s="192" t="str">
        <f t="shared" ref="BL98" ca="1" si="781">IF($D98="-","-",$BL$5 + (W98-StartGridY) * (GapYDiff + $BV$7))</f>
        <v>-</v>
      </c>
      <c r="BM98" s="192" t="str">
        <f t="shared" ca="1" si="558"/>
        <v>-</v>
      </c>
      <c r="BN98" s="192" t="str">
        <f t="shared" ca="1" si="559"/>
        <v>-</v>
      </c>
      <c r="BO98" s="192" t="str">
        <f t="shared" ca="1" si="560"/>
        <v>-</v>
      </c>
      <c r="BP98" s="192" t="str">
        <f t="shared" ca="1" si="561"/>
        <v>-</v>
      </c>
      <c r="BQ98" s="192" t="str">
        <f ca="1">IF($D98="-","-",IF(LEN(K98)=0,1,IFERROR(MATCH(K98,Dashboard!$L$25:$L$31,0),1)))</f>
        <v>-</v>
      </c>
      <c r="CC98" s="143" t="str">
        <f t="shared" ref="CC98" ca="1" si="782">IF($D98="-","-",IF(COUNTIF(IDSourceRange,E98)&gt;1,1,0))</f>
        <v>-</v>
      </c>
      <c r="CD98" s="143" t="str">
        <f t="shared" ref="CD98" ca="1" si="783">IF($D98="-","-",  IF(LEN(M98)=0,0,IF(ISERROR(MATCH(M98,IDSourceRange,0)),1,0)) + IF(LEN(N98)=0,0,IF(ISERROR(MATCH(N98,IDSourceRange,0)),1,0)) + IF(LEN(O98)=0,0,IF(ISERROR(MATCH(O98,IDSourceRange,0)),1,0)) )</f>
        <v>-</v>
      </c>
      <c r="CE98" s="143" t="str">
        <f t="shared" ca="1" si="589"/>
        <v>-</v>
      </c>
      <c r="CF98" s="143" t="s">
        <v>128</v>
      </c>
      <c r="CG98" s="143" t="str">
        <f t="shared" ref="CG98" ca="1" si="784">IF($D98="-","-",IF(X98="-",0,IF(COUNTIF(GridCombinedRange,X98)&gt;1,1,0)))</f>
        <v>-</v>
      </c>
      <c r="CH98" s="143"/>
      <c r="CI98" s="143"/>
      <c r="CJ98" s="143"/>
      <c r="CK98" s="143"/>
      <c r="CL98" s="143"/>
    </row>
    <row r="99" spans="3:90" x14ac:dyDescent="0.3">
      <c r="C99" s="170">
        <v>93</v>
      </c>
      <c r="D99" s="111" t="str">
        <f ca="1">IF(COUNTA(OFFSET(Dashboard!$B$6,C99,0,1,COUNTA(Dashboard!$B$6:$H$6)))&gt;0,"Yes","-")</f>
        <v>-</v>
      </c>
      <c r="E99" s="170" t="str">
        <f ca="1">IF(D99="-","-",IF(LEN(INDEX(Dashboard!B$6:B$206,$C99+1))=0,"x"&amp;C99&amp;"x","x"&amp;INDEX(Dashboard!B$6:B$206,$C99+1)&amp;"x"))</f>
        <v>-</v>
      </c>
      <c r="F99" s="171" t="str">
        <f ca="1">IF(D99="-","-",IF(LEN(INDEX(Dashboard!$C$6:$C$206,C99+1))=0," ",INDEX(Dashboard!$C$6:$C$206,C99+1)))</f>
        <v>-</v>
      </c>
      <c r="G99" s="219" t="str">
        <f ca="1">IF(OR(D99="-",D99=""),"-",IF(LEN(INDEX(Dashboard!$D$6:$D$228,C99+1))=0,"", "x"&amp;SUBSTITUTE(SUBSTITUTE(INDEX(Dashboard!$D$6:$D$228,C99+1)," ",""),",","x,x")&amp;"x"))</f>
        <v>-</v>
      </c>
      <c r="H99" s="111" t="str">
        <f ca="1">IF(D99="-","-",TRIM(INDEX(Dashboard!$E$6:$E$206,C99+1)))</f>
        <v>-</v>
      </c>
      <c r="I99" s="111" t="str">
        <f ca="1">IF(D99="-","-",IF(LEN(INDEX(Dashboard!$F$6:$F$206,C99+1))=0,$BS$8,IF(ISERROR(MATCH(INDEX(Dashboard!$F$6:$F$206,C99+1),$BS$7:$BS$35,0)),$BS$8,INDEX(Dashboard!$F$6:$F$206,C99+1))))</f>
        <v>-</v>
      </c>
      <c r="J99" s="111" t="str">
        <f ca="1">IF(D99="-","-",SUBSTITUTE(INDEX(Dashboard!$G$6:$G$206,C99+1)," ",""))</f>
        <v>-</v>
      </c>
      <c r="K99" s="111" t="str">
        <f ca="1">IF(D99="-","-",IF(LEN(INDEX(Dashboard!$H$6:$H$206,C99+1))=0,"",INDEX(Dashboard!$H$6:$H$206,C99+1)))</f>
        <v>-</v>
      </c>
      <c r="M99" s="172" t="str">
        <f t="shared" ca="1" si="687"/>
        <v>-</v>
      </c>
      <c r="N99" s="172" t="str">
        <f t="shared" ca="1" si="687"/>
        <v>-</v>
      </c>
      <c r="O99" s="172" t="str">
        <f t="shared" ca="1" si="687"/>
        <v>-</v>
      </c>
      <c r="P99" s="173" t="str">
        <f t="shared" ca="1" si="548"/>
        <v>-</v>
      </c>
      <c r="Q99" s="172" t="str">
        <f t="shared" ca="1" si="548"/>
        <v>-</v>
      </c>
      <c r="R99" s="172" t="str">
        <f t="shared" ca="1" si="548"/>
        <v>-</v>
      </c>
      <c r="S99" s="174" t="str">
        <f t="array" aca="1" ref="S99" ca="1">IF($D99="-","-",SUM(IF(LEN(M99:O99)&gt;0,1,0)))</f>
        <v>-</v>
      </c>
      <c r="T99" s="175" t="str">
        <f t="array" aca="1" ref="T99" ca="1">IF(D99="-","-",SUM(IF(ISERROR(SEARCH(E99,$G$7:$G$206)),0,1)))</f>
        <v>-</v>
      </c>
      <c r="V99" s="204"/>
      <c r="W99" s="127"/>
      <c r="X99" s="177" t="str">
        <f t="shared" si="565"/>
        <v>-</v>
      </c>
      <c r="Y99" s="178"/>
      <c r="Z99" s="127"/>
      <c r="AB99" s="179" t="str">
        <f t="shared" ca="1" si="549"/>
        <v>-</v>
      </c>
      <c r="AC99" s="179" t="str">
        <f t="shared" ca="1" si="549"/>
        <v>-</v>
      </c>
      <c r="AD99" s="179" t="str">
        <f t="shared" ca="1" si="549"/>
        <v>-</v>
      </c>
      <c r="AJ99" s="181" t="str">
        <f t="shared" ca="1" si="550"/>
        <v>-</v>
      </c>
      <c r="AK99" s="179" t="str">
        <f t="shared" ca="1" si="551"/>
        <v>-</v>
      </c>
      <c r="AL99" s="179" t="str">
        <f t="shared" ca="1" si="551"/>
        <v>-</v>
      </c>
      <c r="AM99" s="179" t="str">
        <f t="shared" ca="1" si="551"/>
        <v>-</v>
      </c>
      <c r="AO99" s="182" t="str">
        <f t="shared" ca="1" si="552"/>
        <v>-</v>
      </c>
      <c r="AP99" s="182" t="str">
        <f t="shared" ca="1" si="552"/>
        <v>-</v>
      </c>
      <c r="AQ99" s="182" t="str">
        <f t="shared" ca="1" si="552"/>
        <v>-</v>
      </c>
      <c r="AU99" s="185" t="str">
        <f t="shared" ref="AU99" ca="1" si="785">IF($D99="-","-",IF(LEN(M99)=0,"", INDEX($AT$7:$AT$15,MATCH(IF($V99-INDEX(GridXRange,P99)&lt;0,"Negative",IF($V99-INDEX(GridXRange,P99)&gt;0,"Positive","Zero")) &amp; " - " &amp;IF($W99-INDEX(GridYRange,P99)&lt;0,"Negative",IF($W99-INDEX(GridYRange,P99)&gt;0,"Positive","Zero")),$AS$7:$AS$15,0))))</f>
        <v>-</v>
      </c>
      <c r="AV99" s="186" t="str">
        <f t="shared" ref="AV99" ca="1" si="786">IF($D99="-","-",IF(LEN(N99)=0,"", INDEX($AT$7:$AT$15,MATCH(IF($V99-INDEX(GridXRange,Q99)&lt;0,"Negative",IF($V99-INDEX(GridXRange,Q99)&gt;0,"Positive","Zero")) &amp; " - " &amp;IF($W99-INDEX(GridYRange,Q99)&lt;0,"Negative",IF($W99-INDEX(GridYRange,Q99)&gt;0,"Positive","Zero")),$AS$7:$AS$15,0))))</f>
        <v>-</v>
      </c>
      <c r="AW99" s="186" t="str">
        <f t="shared" ref="AW99" ca="1" si="787">IF($D99="-","-",IF(LEN(O99)=0,"", INDEX($AT$7:$AT$15,MATCH(IF($V99-INDEX(GridXRange,R99)&lt;0,"Negative",IF($V99-INDEX(GridXRange,R99)&gt;0,"Positive","Zero")) &amp; " - " &amp;IF($W99-INDEX(GridYRange,R99)&lt;0,"Negative",IF($W99-INDEX(GridYRange,R99)&gt;0,"Positive","Zero")),$AS$7:$AS$15,0))))</f>
        <v>-</v>
      </c>
      <c r="AX99" s="187"/>
      <c r="AY99" s="188"/>
      <c r="AZ99" s="188"/>
      <c r="BA99" s="184"/>
      <c r="BB99" s="187" t="str">
        <f t="shared" ca="1" si="691"/>
        <v>-</v>
      </c>
      <c r="BC99" s="188" t="str">
        <f t="shared" ca="1" si="691"/>
        <v>-</v>
      </c>
      <c r="BD99" s="188" t="str">
        <f t="shared" ca="1" si="691"/>
        <v>-</v>
      </c>
      <c r="BE99" s="189" t="str">
        <f t="shared" ca="1" si="691"/>
        <v>-</v>
      </c>
      <c r="BK99" s="192" t="str">
        <f t="shared" ref="BK99" ca="1" si="788">IF($D99="-","-",$BK$5 + (V99-StartGridX) * (GapXDiff + $BW$7))</f>
        <v>-</v>
      </c>
      <c r="BL99" s="192" t="str">
        <f t="shared" ref="BL99" ca="1" si="789">IF($D99="-","-",$BL$5 + (W99-StartGridY) * (GapYDiff + $BV$7))</f>
        <v>-</v>
      </c>
      <c r="BM99" s="192" t="str">
        <f t="shared" ca="1" si="558"/>
        <v>-</v>
      </c>
      <c r="BN99" s="192" t="str">
        <f t="shared" ca="1" si="559"/>
        <v>-</v>
      </c>
      <c r="BO99" s="192" t="str">
        <f t="shared" ca="1" si="560"/>
        <v>-</v>
      </c>
      <c r="BP99" s="192" t="str">
        <f t="shared" ca="1" si="561"/>
        <v>-</v>
      </c>
      <c r="BQ99" s="192" t="str">
        <f ca="1">IF($D99="-","-",IF(LEN(K99)=0,1,IFERROR(MATCH(K99,Dashboard!$L$25:$L$31,0),1)))</f>
        <v>-</v>
      </c>
      <c r="CC99" s="143" t="str">
        <f t="shared" ref="CC99" ca="1" si="790">IF($D99="-","-",IF(COUNTIF(IDSourceRange,E99)&gt;1,1,0))</f>
        <v>-</v>
      </c>
      <c r="CD99" s="143" t="str">
        <f t="shared" ref="CD99" ca="1" si="791">IF($D99="-","-",  IF(LEN(M99)=0,0,IF(ISERROR(MATCH(M99,IDSourceRange,0)),1,0)) + IF(LEN(N99)=0,0,IF(ISERROR(MATCH(N99,IDSourceRange,0)),1,0)) + IF(LEN(O99)=0,0,IF(ISERROR(MATCH(O99,IDSourceRange,0)),1,0)) )</f>
        <v>-</v>
      </c>
      <c r="CE99" s="143" t="str">
        <f t="shared" ca="1" si="589"/>
        <v>-</v>
      </c>
      <c r="CF99" s="143" t="s">
        <v>128</v>
      </c>
      <c r="CG99" s="143" t="str">
        <f t="shared" ref="CG99" ca="1" si="792">IF($D99="-","-",IF(X99="-",0,IF(COUNTIF(GridCombinedRange,X99)&gt;1,1,0)))</f>
        <v>-</v>
      </c>
      <c r="CH99" s="143"/>
      <c r="CI99" s="143"/>
      <c r="CJ99" s="143"/>
      <c r="CK99" s="143"/>
      <c r="CL99" s="143"/>
    </row>
    <row r="100" spans="3:90" x14ac:dyDescent="0.3">
      <c r="C100" s="170">
        <v>94</v>
      </c>
      <c r="D100" s="111" t="str">
        <f ca="1">IF(COUNTA(OFFSET(Dashboard!$B$6,C100,0,1,COUNTA(Dashboard!$B$6:$H$6)))&gt;0,"Yes","-")</f>
        <v>-</v>
      </c>
      <c r="E100" s="170" t="str">
        <f ca="1">IF(D100="-","-",IF(LEN(INDEX(Dashboard!B$6:B$206,$C100+1))=0,"x"&amp;C100&amp;"x","x"&amp;INDEX(Dashboard!B$6:B$206,$C100+1)&amp;"x"))</f>
        <v>-</v>
      </c>
      <c r="F100" s="171" t="str">
        <f ca="1">IF(D100="-","-",IF(LEN(INDEX(Dashboard!$C$6:$C$206,C100+1))=0," ",INDEX(Dashboard!$C$6:$C$206,C100+1)))</f>
        <v>-</v>
      </c>
      <c r="G100" s="219" t="str">
        <f ca="1">IF(OR(D100="-",D100=""),"-",IF(LEN(INDEX(Dashboard!$D$6:$D$228,C100+1))=0,"", "x"&amp;SUBSTITUTE(SUBSTITUTE(INDEX(Dashboard!$D$6:$D$228,C100+1)," ",""),",","x,x")&amp;"x"))</f>
        <v>-</v>
      </c>
      <c r="H100" s="111" t="str">
        <f ca="1">IF(D100="-","-",TRIM(INDEX(Dashboard!$E$6:$E$206,C100+1)))</f>
        <v>-</v>
      </c>
      <c r="I100" s="111" t="str">
        <f ca="1">IF(D100="-","-",IF(LEN(INDEX(Dashboard!$F$6:$F$206,C100+1))=0,$BS$8,IF(ISERROR(MATCH(INDEX(Dashboard!$F$6:$F$206,C100+1),$BS$7:$BS$35,0)),$BS$8,INDEX(Dashboard!$F$6:$F$206,C100+1))))</f>
        <v>-</v>
      </c>
      <c r="J100" s="219" t="str">
        <f ca="1">IF(D100="-","-",SUBSTITUTE(INDEX(Dashboard!$G$6:$G$228,C100+1)," ",""))</f>
        <v>-</v>
      </c>
      <c r="K100" s="111" t="str">
        <f ca="1">IF(D100="-","-",IF(LEN(INDEX(Dashboard!$H$6:$H$206,C100+1))=0,"",INDEX(Dashboard!$H$6:$H$206,C100+1)))</f>
        <v>-</v>
      </c>
      <c r="M100" s="172" t="str">
        <f t="shared" ca="1" si="687"/>
        <v>-</v>
      </c>
      <c r="N100" s="172" t="str">
        <f t="shared" ca="1" si="687"/>
        <v>-</v>
      </c>
      <c r="O100" s="172" t="str">
        <f t="shared" ca="1" si="687"/>
        <v>-</v>
      </c>
      <c r="P100" s="173" t="str">
        <f t="shared" ca="1" si="548"/>
        <v>-</v>
      </c>
      <c r="Q100" s="172" t="str">
        <f t="shared" ca="1" si="548"/>
        <v>-</v>
      </c>
      <c r="R100" s="172" t="str">
        <f t="shared" ca="1" si="548"/>
        <v>-</v>
      </c>
      <c r="S100" s="174" t="str">
        <f t="array" aca="1" ref="S100" ca="1">IF($D100="-","-",SUM(IF(LEN(M100:O100)&gt;0,1,0)))</f>
        <v>-</v>
      </c>
      <c r="T100" s="175" t="str">
        <f t="array" aca="1" ref="T100" ca="1">IF(D100="-","-",SUM(IF(ISERROR(SEARCH(E100,$G$7:$G$206)),0,1)))</f>
        <v>-</v>
      </c>
      <c r="V100" s="204"/>
      <c r="W100" s="127"/>
      <c r="X100" s="177" t="str">
        <f t="shared" si="565"/>
        <v>-</v>
      </c>
      <c r="Y100" s="178"/>
      <c r="Z100" s="127"/>
      <c r="AB100" s="179" t="str">
        <f t="shared" ca="1" si="549"/>
        <v>-</v>
      </c>
      <c r="AC100" s="179" t="str">
        <f t="shared" ca="1" si="549"/>
        <v>-</v>
      </c>
      <c r="AD100" s="179" t="str">
        <f t="shared" ca="1" si="549"/>
        <v>-</v>
      </c>
      <c r="AJ100" s="181" t="str">
        <f t="shared" ca="1" si="550"/>
        <v>-</v>
      </c>
      <c r="AK100" s="179" t="str">
        <f t="shared" ca="1" si="551"/>
        <v>-</v>
      </c>
      <c r="AL100" s="179" t="str">
        <f t="shared" ca="1" si="551"/>
        <v>-</v>
      </c>
      <c r="AM100" s="179" t="str">
        <f t="shared" ca="1" si="551"/>
        <v>-</v>
      </c>
      <c r="AO100" s="182" t="str">
        <f t="shared" ca="1" si="552"/>
        <v>-</v>
      </c>
      <c r="AP100" s="182" t="str">
        <f t="shared" ca="1" si="552"/>
        <v>-</v>
      </c>
      <c r="AQ100" s="182" t="str">
        <f t="shared" ca="1" si="552"/>
        <v>-</v>
      </c>
      <c r="AU100" s="185" t="str">
        <f t="shared" ref="AU100" ca="1" si="793">IF($D100="-","-",IF(LEN(M100)=0,"", INDEX($AT$7:$AT$15,MATCH(IF($V100-INDEX(GridXRange,P100)&lt;0,"Negative",IF($V100-INDEX(GridXRange,P100)&gt;0,"Positive","Zero")) &amp; " - " &amp;IF($W100-INDEX(GridYRange,P100)&lt;0,"Negative",IF($W100-INDEX(GridYRange,P100)&gt;0,"Positive","Zero")),$AS$7:$AS$15,0))))</f>
        <v>-</v>
      </c>
      <c r="AV100" s="186" t="str">
        <f t="shared" ref="AV100" ca="1" si="794">IF($D100="-","-",IF(LEN(N100)=0,"", INDEX($AT$7:$AT$15,MATCH(IF($V100-INDEX(GridXRange,Q100)&lt;0,"Negative",IF($V100-INDEX(GridXRange,Q100)&gt;0,"Positive","Zero")) &amp; " - " &amp;IF($W100-INDEX(GridYRange,Q100)&lt;0,"Negative",IF($W100-INDEX(GridYRange,Q100)&gt;0,"Positive","Zero")),$AS$7:$AS$15,0))))</f>
        <v>-</v>
      </c>
      <c r="AW100" s="186" t="str">
        <f t="shared" ref="AW100" ca="1" si="795">IF($D100="-","-",IF(LEN(O100)=0,"", INDEX($AT$7:$AT$15,MATCH(IF($V100-INDEX(GridXRange,R100)&lt;0,"Negative",IF($V100-INDEX(GridXRange,R100)&gt;0,"Positive","Zero")) &amp; " - " &amp;IF($W100-INDEX(GridYRange,R100)&lt;0,"Negative",IF($W100-INDEX(GridYRange,R100)&gt;0,"Positive","Zero")),$AS$7:$AS$15,0))))</f>
        <v>-</v>
      </c>
      <c r="AX100" s="187"/>
      <c r="AY100" s="188"/>
      <c r="AZ100" s="188"/>
      <c r="BA100" s="184"/>
      <c r="BB100" s="187" t="str">
        <f t="shared" ca="1" si="691"/>
        <v>-</v>
      </c>
      <c r="BC100" s="188" t="str">
        <f t="shared" ca="1" si="691"/>
        <v>-</v>
      </c>
      <c r="BD100" s="188" t="str">
        <f t="shared" ca="1" si="691"/>
        <v>-</v>
      </c>
      <c r="BE100" s="189" t="str">
        <f t="shared" ca="1" si="691"/>
        <v>-</v>
      </c>
      <c r="BK100" s="192" t="str">
        <f t="shared" ref="BK100" ca="1" si="796">IF($D100="-","-",$BK$5 + (V100-StartGridX) * (GapXDiff + $BW$7))</f>
        <v>-</v>
      </c>
      <c r="BL100" s="192" t="str">
        <f t="shared" ref="BL100" ca="1" si="797">IF($D100="-","-",$BL$5 + (W100-StartGridY) * (GapYDiff + $BV$7))</f>
        <v>-</v>
      </c>
      <c r="BM100" s="192" t="str">
        <f t="shared" ca="1" si="558"/>
        <v>-</v>
      </c>
      <c r="BN100" s="192" t="str">
        <f t="shared" ca="1" si="559"/>
        <v>-</v>
      </c>
      <c r="BO100" s="192" t="str">
        <f t="shared" ca="1" si="560"/>
        <v>-</v>
      </c>
      <c r="BP100" s="192" t="str">
        <f t="shared" ca="1" si="561"/>
        <v>-</v>
      </c>
      <c r="BQ100" s="192" t="str">
        <f ca="1">IF($D100="-","-",IF(LEN(K100)=0,1,IFERROR(MATCH(K100,Dashboard!$L$25:$L$31,0),1)))</f>
        <v>-</v>
      </c>
      <c r="CC100" s="143" t="str">
        <f t="shared" ref="CC100" ca="1" si="798">IF($D100="-","-",IF(COUNTIF(IDSourceRange,E100)&gt;1,1,0))</f>
        <v>-</v>
      </c>
      <c r="CD100" s="143" t="str">
        <f t="shared" ref="CD100" ca="1" si="799">IF($D100="-","-",  IF(LEN(M100)=0,0,IF(ISERROR(MATCH(M100,IDSourceRange,0)),1,0)) + IF(LEN(N100)=0,0,IF(ISERROR(MATCH(N100,IDSourceRange,0)),1,0)) + IF(LEN(O100)=0,0,IF(ISERROR(MATCH(O100,IDSourceRange,0)),1,0)) )</f>
        <v>-</v>
      </c>
      <c r="CE100" s="143" t="str">
        <f t="shared" ca="1" si="589"/>
        <v>-</v>
      </c>
      <c r="CF100" s="143" t="s">
        <v>128</v>
      </c>
      <c r="CG100" s="143" t="str">
        <f t="shared" ref="CG100" ca="1" si="800">IF($D100="-","-",IF(X100="-",0,IF(COUNTIF(GridCombinedRange,X100)&gt;1,1,0)))</f>
        <v>-</v>
      </c>
      <c r="CH100" s="143"/>
      <c r="CI100" s="143"/>
      <c r="CJ100" s="143"/>
      <c r="CK100" s="143"/>
      <c r="CL100" s="143"/>
    </row>
    <row r="101" spans="3:90" x14ac:dyDescent="0.3">
      <c r="C101" s="170">
        <v>95</v>
      </c>
      <c r="D101" s="111" t="str">
        <f ca="1">IF(COUNTA(OFFSET(Dashboard!$B$6,C101,0,1,COUNTA(Dashboard!$B$6:$H$6)))&gt;0,"Yes","-")</f>
        <v>-</v>
      </c>
      <c r="E101" s="170" t="str">
        <f ca="1">IF(D101="-","-",IF(LEN(INDEX(Dashboard!B$6:B$206,$C101+1))=0,"x"&amp;C101&amp;"x","x"&amp;INDEX(Dashboard!B$6:B$206,$C101+1)&amp;"x"))</f>
        <v>-</v>
      </c>
      <c r="F101" s="171" t="str">
        <f ca="1">IF(D101="-","-",IF(LEN(INDEX(Dashboard!$C$6:$C$206,C101+1))=0," ",INDEX(Dashboard!$C$6:$C$206,C101+1)))</f>
        <v>-</v>
      </c>
      <c r="G101" s="219" t="str">
        <f ca="1">IF(OR(D101="-",D101=""),"-",IF(LEN(INDEX(Dashboard!$D$6:$D$228,C101+1))=0,"", "x"&amp;SUBSTITUTE(SUBSTITUTE(INDEX(Dashboard!$D$6:$D$228,C101+1)," ",""),",","x,x")&amp;"x"))</f>
        <v>-</v>
      </c>
      <c r="H101" s="111" t="str">
        <f ca="1">IF(D101="-","-",TRIM(INDEX(Dashboard!$E$6:$E$206,C101+1)))</f>
        <v>-</v>
      </c>
      <c r="I101" s="111" t="str">
        <f ca="1">IF(D101="-","-",IF(LEN(INDEX(Dashboard!$F$6:$F$206,C101+1))=0,$BS$8,IF(ISERROR(MATCH(INDEX(Dashboard!$F$6:$F$206,C101+1),$BS$7:$BS$35,0)),$BS$8,INDEX(Dashboard!$F$6:$F$206,C101+1))))</f>
        <v>-</v>
      </c>
      <c r="J101" s="111" t="str">
        <f ca="1">IF(D101="-","-",SUBSTITUTE(INDEX(Dashboard!$G$6:$G$206,C101+1)," ",""))</f>
        <v>-</v>
      </c>
      <c r="K101" s="111" t="str">
        <f ca="1">IF(D101="-","-",IF(LEN(INDEX(Dashboard!$H$6:$H$206,C101+1))=0,"",INDEX(Dashboard!$H$6:$H$206,C101+1)))</f>
        <v>-</v>
      </c>
      <c r="M101" s="172" t="str">
        <f t="shared" ca="1" si="687"/>
        <v>-</v>
      </c>
      <c r="N101" s="172" t="str">
        <f t="shared" ca="1" si="687"/>
        <v>-</v>
      </c>
      <c r="O101" s="172" t="str">
        <f t="shared" ca="1" si="687"/>
        <v>-</v>
      </c>
      <c r="P101" s="173" t="str">
        <f t="shared" ca="1" si="548"/>
        <v>-</v>
      </c>
      <c r="Q101" s="172" t="str">
        <f t="shared" ca="1" si="548"/>
        <v>-</v>
      </c>
      <c r="R101" s="172" t="str">
        <f t="shared" ca="1" si="548"/>
        <v>-</v>
      </c>
      <c r="S101" s="174" t="str">
        <f t="array" aca="1" ref="S101" ca="1">IF($D101="-","-",SUM(IF(LEN(M101:O101)&gt;0,1,0)))</f>
        <v>-</v>
      </c>
      <c r="T101" s="175" t="str">
        <f t="array" aca="1" ref="T101" ca="1">IF(D101="-","-",SUM(IF(ISERROR(SEARCH(E101,$G$7:$G$206)),0,1)))</f>
        <v>-</v>
      </c>
      <c r="V101" s="204"/>
      <c r="W101" s="127"/>
      <c r="X101" s="177" t="str">
        <f t="shared" si="565"/>
        <v>-</v>
      </c>
      <c r="Y101" s="178"/>
      <c r="Z101" s="127"/>
      <c r="AB101" s="179" t="str">
        <f t="shared" ca="1" si="549"/>
        <v>-</v>
      </c>
      <c r="AC101" s="179" t="str">
        <f t="shared" ca="1" si="549"/>
        <v>-</v>
      </c>
      <c r="AD101" s="179" t="str">
        <f t="shared" ca="1" si="549"/>
        <v>-</v>
      </c>
      <c r="AJ101" s="181" t="str">
        <f t="shared" ca="1" si="550"/>
        <v>-</v>
      </c>
      <c r="AK101" s="179" t="str">
        <f t="shared" ca="1" si="551"/>
        <v>-</v>
      </c>
      <c r="AL101" s="179" t="str">
        <f t="shared" ca="1" si="551"/>
        <v>-</v>
      </c>
      <c r="AM101" s="179" t="str">
        <f t="shared" ca="1" si="551"/>
        <v>-</v>
      </c>
      <c r="AO101" s="182" t="str">
        <f t="shared" ca="1" si="552"/>
        <v>-</v>
      </c>
      <c r="AP101" s="182" t="str">
        <f t="shared" ca="1" si="552"/>
        <v>-</v>
      </c>
      <c r="AQ101" s="182" t="str">
        <f t="shared" ca="1" si="552"/>
        <v>-</v>
      </c>
      <c r="AU101" s="185" t="str">
        <f t="shared" ref="AU101" ca="1" si="801">IF($D101="-","-",IF(LEN(M101)=0,"", INDEX($AT$7:$AT$15,MATCH(IF($V101-INDEX(GridXRange,P101)&lt;0,"Negative",IF($V101-INDEX(GridXRange,P101)&gt;0,"Positive","Zero")) &amp; " - " &amp;IF($W101-INDEX(GridYRange,P101)&lt;0,"Negative",IF($W101-INDEX(GridYRange,P101)&gt;0,"Positive","Zero")),$AS$7:$AS$15,0))))</f>
        <v>-</v>
      </c>
      <c r="AV101" s="186" t="str">
        <f t="shared" ref="AV101" ca="1" si="802">IF($D101="-","-",IF(LEN(N101)=0,"", INDEX($AT$7:$AT$15,MATCH(IF($V101-INDEX(GridXRange,Q101)&lt;0,"Negative",IF($V101-INDEX(GridXRange,Q101)&gt;0,"Positive","Zero")) &amp; " - " &amp;IF($W101-INDEX(GridYRange,Q101)&lt;0,"Negative",IF($W101-INDEX(GridYRange,Q101)&gt;0,"Positive","Zero")),$AS$7:$AS$15,0))))</f>
        <v>-</v>
      </c>
      <c r="AW101" s="186" t="str">
        <f t="shared" ref="AW101" ca="1" si="803">IF($D101="-","-",IF(LEN(O101)=0,"", INDEX($AT$7:$AT$15,MATCH(IF($V101-INDEX(GridXRange,R101)&lt;0,"Negative",IF($V101-INDEX(GridXRange,R101)&gt;0,"Positive","Zero")) &amp; " - " &amp;IF($W101-INDEX(GridYRange,R101)&lt;0,"Negative",IF($W101-INDEX(GridYRange,R101)&gt;0,"Positive","Zero")),$AS$7:$AS$15,0))))</f>
        <v>-</v>
      </c>
      <c r="AX101" s="187"/>
      <c r="AY101" s="188"/>
      <c r="AZ101" s="188"/>
      <c r="BA101" s="184"/>
      <c r="BB101" s="187" t="str">
        <f t="shared" ca="1" si="691"/>
        <v>-</v>
      </c>
      <c r="BC101" s="188" t="str">
        <f t="shared" ca="1" si="691"/>
        <v>-</v>
      </c>
      <c r="BD101" s="188" t="str">
        <f t="shared" ca="1" si="691"/>
        <v>-</v>
      </c>
      <c r="BE101" s="189" t="str">
        <f t="shared" ca="1" si="691"/>
        <v>-</v>
      </c>
      <c r="BK101" s="192" t="str">
        <f t="shared" ref="BK101" ca="1" si="804">IF($D101="-","-",$BK$5 + (V101-StartGridX) * (GapXDiff + $BW$7))</f>
        <v>-</v>
      </c>
      <c r="BL101" s="192" t="str">
        <f t="shared" ref="BL101" ca="1" si="805">IF($D101="-","-",$BL$5 + (W101-StartGridY) * (GapYDiff + $BV$7))</f>
        <v>-</v>
      </c>
      <c r="BM101" s="192" t="str">
        <f t="shared" ca="1" si="558"/>
        <v>-</v>
      </c>
      <c r="BN101" s="192" t="str">
        <f t="shared" ca="1" si="559"/>
        <v>-</v>
      </c>
      <c r="BO101" s="192" t="str">
        <f t="shared" ca="1" si="560"/>
        <v>-</v>
      </c>
      <c r="BP101" s="192" t="str">
        <f t="shared" ca="1" si="561"/>
        <v>-</v>
      </c>
      <c r="BQ101" s="192" t="str">
        <f ca="1">IF($D101="-","-",IF(LEN(K101)=0,1,IFERROR(MATCH(K101,Dashboard!$L$25:$L$31,0),1)))</f>
        <v>-</v>
      </c>
      <c r="CC101" s="143" t="str">
        <f t="shared" ref="CC101" ca="1" si="806">IF($D101="-","-",IF(COUNTIF(IDSourceRange,E101)&gt;1,1,0))</f>
        <v>-</v>
      </c>
      <c r="CD101" s="143" t="str">
        <f t="shared" ref="CD101" ca="1" si="807">IF($D101="-","-",  IF(LEN(M101)=0,0,IF(ISERROR(MATCH(M101,IDSourceRange,0)),1,0)) + IF(LEN(N101)=0,0,IF(ISERROR(MATCH(N101,IDSourceRange,0)),1,0)) + IF(LEN(O101)=0,0,IF(ISERROR(MATCH(O101,IDSourceRange,0)),1,0)) )</f>
        <v>-</v>
      </c>
      <c r="CE101" s="143" t="str">
        <f t="shared" ca="1" si="589"/>
        <v>-</v>
      </c>
      <c r="CF101" s="143" t="s">
        <v>128</v>
      </c>
      <c r="CG101" s="143" t="str">
        <f t="shared" ref="CG101" ca="1" si="808">IF($D101="-","-",IF(X101="-",0,IF(COUNTIF(GridCombinedRange,X101)&gt;1,1,0)))</f>
        <v>-</v>
      </c>
      <c r="CH101" s="143"/>
      <c r="CI101" s="143"/>
      <c r="CJ101" s="143"/>
      <c r="CK101" s="143"/>
      <c r="CL101" s="143"/>
    </row>
    <row r="102" spans="3:90" x14ac:dyDescent="0.3">
      <c r="C102" s="170">
        <v>96</v>
      </c>
      <c r="D102" s="111" t="str">
        <f ca="1">IF(COUNTA(OFFSET(Dashboard!$B$6,C102,0,1,COUNTA(Dashboard!$B$6:$H$6)))&gt;0,"Yes","-")</f>
        <v>-</v>
      </c>
      <c r="E102" s="170" t="str">
        <f ca="1">IF(D102="-","-",IF(LEN(INDEX(Dashboard!B$6:B$206,$C102+1))=0,"x"&amp;C102&amp;"x","x"&amp;INDEX(Dashboard!B$6:B$206,$C102+1)&amp;"x"))</f>
        <v>-</v>
      </c>
      <c r="F102" s="171" t="str">
        <f ca="1">IF(D102="-","-",IF(LEN(INDEX(Dashboard!$C$6:$C$206,C102+1))=0," ",INDEX(Dashboard!$C$6:$C$206,C102+1)))</f>
        <v>-</v>
      </c>
      <c r="G102" s="219" t="str">
        <f ca="1">IF(OR(D102="-",D102=""),"-",IF(LEN(INDEX(Dashboard!$D$6:$D$228,C102+1))=0,"", "x"&amp;SUBSTITUTE(SUBSTITUTE(INDEX(Dashboard!$D$6:$D$228,C102+1)," ",""),",","x,x")&amp;"x"))</f>
        <v>-</v>
      </c>
      <c r="H102" s="111" t="str">
        <f ca="1">IF(D102="-","-",TRIM(INDEX(Dashboard!$E$6:$E$206,C102+1)))</f>
        <v>-</v>
      </c>
      <c r="I102" s="111" t="str">
        <f ca="1">IF(D102="-","-",IF(LEN(INDEX(Dashboard!$F$6:$F$206,C102+1))=0,$BS$8,IF(ISERROR(MATCH(INDEX(Dashboard!$F$6:$F$206,C102+1),$BS$7:$BS$35,0)),$BS$8,INDEX(Dashboard!$F$6:$F$206,C102+1))))</f>
        <v>-</v>
      </c>
      <c r="J102" s="111" t="str">
        <f ca="1">IF(D102="-","-",SUBSTITUTE(INDEX(Dashboard!$G$6:$G$206,C102+1)," ",""))</f>
        <v>-</v>
      </c>
      <c r="K102" s="111" t="str">
        <f ca="1">IF(D102="-","-",IF(LEN(INDEX(Dashboard!$H$6:$H$206,C102+1))=0,"",INDEX(Dashboard!$H$6:$H$206,C102+1)))</f>
        <v>-</v>
      </c>
      <c r="M102" s="172" t="str">
        <f t="shared" ca="1" si="687"/>
        <v>-</v>
      </c>
      <c r="N102" s="172" t="str">
        <f t="shared" ca="1" si="687"/>
        <v>-</v>
      </c>
      <c r="O102" s="172" t="str">
        <f t="shared" ca="1" si="687"/>
        <v>-</v>
      </c>
      <c r="P102" s="173" t="str">
        <f t="shared" ca="1" si="548"/>
        <v>-</v>
      </c>
      <c r="Q102" s="172" t="str">
        <f t="shared" ca="1" si="548"/>
        <v>-</v>
      </c>
      <c r="R102" s="172" t="str">
        <f t="shared" ca="1" si="548"/>
        <v>-</v>
      </c>
      <c r="S102" s="174" t="str">
        <f t="array" aca="1" ref="S102" ca="1">IF($D102="-","-",SUM(IF(LEN(M102:O102)&gt;0,1,0)))</f>
        <v>-</v>
      </c>
      <c r="T102" s="175" t="str">
        <f t="array" aca="1" ref="T102" ca="1">IF(D102="-","-",SUM(IF(ISERROR(SEARCH(E102,$G$7:$G$206)),0,1)))</f>
        <v>-</v>
      </c>
      <c r="V102" s="204"/>
      <c r="W102" s="127"/>
      <c r="X102" s="177" t="str">
        <f t="shared" si="565"/>
        <v>-</v>
      </c>
      <c r="Y102" s="178"/>
      <c r="Z102" s="127"/>
      <c r="AB102" s="179" t="str">
        <f t="shared" ca="1" si="549"/>
        <v>-</v>
      </c>
      <c r="AC102" s="179" t="str">
        <f t="shared" ca="1" si="549"/>
        <v>-</v>
      </c>
      <c r="AD102" s="179" t="str">
        <f t="shared" ca="1" si="549"/>
        <v>-</v>
      </c>
      <c r="AJ102" s="181" t="str">
        <f t="shared" ca="1" si="550"/>
        <v>-</v>
      </c>
      <c r="AK102" s="179" t="str">
        <f t="shared" ca="1" si="551"/>
        <v>-</v>
      </c>
      <c r="AL102" s="179" t="str">
        <f t="shared" ca="1" si="551"/>
        <v>-</v>
      </c>
      <c r="AM102" s="179" t="str">
        <f t="shared" ca="1" si="551"/>
        <v>-</v>
      </c>
      <c r="AO102" s="182" t="str">
        <f t="shared" ca="1" si="552"/>
        <v>-</v>
      </c>
      <c r="AP102" s="182" t="str">
        <f t="shared" ca="1" si="552"/>
        <v>-</v>
      </c>
      <c r="AQ102" s="182" t="str">
        <f t="shared" ca="1" si="552"/>
        <v>-</v>
      </c>
      <c r="AU102" s="185" t="str">
        <f t="shared" ref="AU102" ca="1" si="809">IF($D102="-","-",IF(LEN(M102)=0,"", INDEX($AT$7:$AT$15,MATCH(IF($V102-INDEX(GridXRange,P102)&lt;0,"Negative",IF($V102-INDEX(GridXRange,P102)&gt;0,"Positive","Zero")) &amp; " - " &amp;IF($W102-INDEX(GridYRange,P102)&lt;0,"Negative",IF($W102-INDEX(GridYRange,P102)&gt;0,"Positive","Zero")),$AS$7:$AS$15,0))))</f>
        <v>-</v>
      </c>
      <c r="AV102" s="186" t="str">
        <f t="shared" ref="AV102" ca="1" si="810">IF($D102="-","-",IF(LEN(N102)=0,"", INDEX($AT$7:$AT$15,MATCH(IF($V102-INDEX(GridXRange,Q102)&lt;0,"Negative",IF($V102-INDEX(GridXRange,Q102)&gt;0,"Positive","Zero")) &amp; " - " &amp;IF($W102-INDEX(GridYRange,Q102)&lt;0,"Negative",IF($W102-INDEX(GridYRange,Q102)&gt;0,"Positive","Zero")),$AS$7:$AS$15,0))))</f>
        <v>-</v>
      </c>
      <c r="AW102" s="186" t="str">
        <f t="shared" ref="AW102" ca="1" si="811">IF($D102="-","-",IF(LEN(O102)=0,"", INDEX($AT$7:$AT$15,MATCH(IF($V102-INDEX(GridXRange,R102)&lt;0,"Negative",IF($V102-INDEX(GridXRange,R102)&gt;0,"Positive","Zero")) &amp; " - " &amp;IF($W102-INDEX(GridYRange,R102)&lt;0,"Negative",IF($W102-INDEX(GridYRange,R102)&gt;0,"Positive","Zero")),$AS$7:$AS$15,0))))</f>
        <v>-</v>
      </c>
      <c r="AX102" s="187"/>
      <c r="AY102" s="188"/>
      <c r="AZ102" s="188"/>
      <c r="BA102" s="184"/>
      <c r="BB102" s="187" t="str">
        <f t="shared" ca="1" si="691"/>
        <v>-</v>
      </c>
      <c r="BC102" s="188" t="str">
        <f t="shared" ca="1" si="691"/>
        <v>-</v>
      </c>
      <c r="BD102" s="188" t="str">
        <f t="shared" ca="1" si="691"/>
        <v>-</v>
      </c>
      <c r="BE102" s="189" t="str">
        <f t="shared" ca="1" si="691"/>
        <v>-</v>
      </c>
      <c r="BK102" s="192" t="str">
        <f t="shared" ref="BK102" ca="1" si="812">IF($D102="-","-",$BK$5 + (V102-StartGridX) * (GapXDiff + $BW$7))</f>
        <v>-</v>
      </c>
      <c r="BL102" s="192" t="str">
        <f t="shared" ref="BL102" ca="1" si="813">IF($D102="-","-",$BL$5 + (W102-StartGridY) * (GapYDiff + $BV$7))</f>
        <v>-</v>
      </c>
      <c r="BM102" s="192" t="str">
        <f t="shared" ca="1" si="558"/>
        <v>-</v>
      </c>
      <c r="BN102" s="192" t="str">
        <f t="shared" ca="1" si="559"/>
        <v>-</v>
      </c>
      <c r="BO102" s="192" t="str">
        <f t="shared" ca="1" si="560"/>
        <v>-</v>
      </c>
      <c r="BP102" s="192" t="str">
        <f t="shared" ca="1" si="561"/>
        <v>-</v>
      </c>
      <c r="BQ102" s="192" t="str">
        <f ca="1">IF($D102="-","-",IF(LEN(K102)=0,1,IFERROR(MATCH(K102,Dashboard!$L$25:$L$31,0),1)))</f>
        <v>-</v>
      </c>
      <c r="CC102" s="143" t="str">
        <f t="shared" ref="CC102" ca="1" si="814">IF($D102="-","-",IF(COUNTIF(IDSourceRange,E102)&gt;1,1,0))</f>
        <v>-</v>
      </c>
      <c r="CD102" s="143" t="str">
        <f t="shared" ref="CD102" ca="1" si="815">IF($D102="-","-",  IF(LEN(M102)=0,0,IF(ISERROR(MATCH(M102,IDSourceRange,0)),1,0)) + IF(LEN(N102)=0,0,IF(ISERROR(MATCH(N102,IDSourceRange,0)),1,0)) + IF(LEN(O102)=0,0,IF(ISERROR(MATCH(O102,IDSourceRange,0)),1,0)) )</f>
        <v>-</v>
      </c>
      <c r="CE102" s="143" t="str">
        <f t="shared" ca="1" si="589"/>
        <v>-</v>
      </c>
      <c r="CF102" s="143" t="s">
        <v>128</v>
      </c>
      <c r="CG102" s="143" t="str">
        <f t="shared" ref="CG102" ca="1" si="816">IF($D102="-","-",IF(X102="-",0,IF(COUNTIF(GridCombinedRange,X102)&gt;1,1,0)))</f>
        <v>-</v>
      </c>
      <c r="CH102" s="143"/>
      <c r="CI102" s="143"/>
      <c r="CJ102" s="143"/>
      <c r="CK102" s="143"/>
      <c r="CL102" s="143"/>
    </row>
    <row r="103" spans="3:90" x14ac:dyDescent="0.3">
      <c r="C103" s="170">
        <v>97</v>
      </c>
      <c r="D103" s="111" t="str">
        <f ca="1">IF(COUNTA(OFFSET(Dashboard!$B$6,C103,0,1,COUNTA(Dashboard!$B$6:$H$6)))&gt;0,"Yes","-")</f>
        <v>-</v>
      </c>
      <c r="E103" s="170" t="str">
        <f ca="1">IF(D103="-","-",IF(LEN(INDEX(Dashboard!B$6:B$206,$C103+1))=0,"x"&amp;C103&amp;"x","x"&amp;INDEX(Dashboard!B$6:B$206,$C103+1)&amp;"x"))</f>
        <v>-</v>
      </c>
      <c r="F103" s="171" t="str">
        <f ca="1">IF(D103="-","-",IF(LEN(INDEX(Dashboard!$C$6:$C$206,C103+1))=0," ",INDEX(Dashboard!$C$6:$C$206,C103+1)))</f>
        <v>-</v>
      </c>
      <c r="G103" s="219" t="str">
        <f ca="1">IF(OR(D103="-",D103=""),"-",IF(LEN(INDEX(Dashboard!$D$6:$D$228,C103+1))=0,"", "x"&amp;SUBSTITUTE(SUBSTITUTE(INDEX(Dashboard!$D$6:$D$228,C103+1)," ",""),",","x,x")&amp;"x"))</f>
        <v>-</v>
      </c>
      <c r="H103" s="111" t="str">
        <f ca="1">IF(D103="-","-",TRIM(INDEX(Dashboard!$E$6:$E$206,C103+1)))</f>
        <v>-</v>
      </c>
      <c r="I103" s="111" t="str">
        <f ca="1">IF(D103="-","-",IF(LEN(INDEX(Dashboard!$F$6:$F$206,C103+1))=0,$BS$8,IF(ISERROR(MATCH(INDEX(Dashboard!$F$6:$F$206,C103+1),$BS$7:$BS$35,0)),$BS$8,INDEX(Dashboard!$F$6:$F$206,C103+1))))</f>
        <v>-</v>
      </c>
      <c r="J103" s="111" t="str">
        <f ca="1">IF(D103="-","-",SUBSTITUTE(INDEX(Dashboard!$G$6:$G$206,C103+1)," ",""))</f>
        <v>-</v>
      </c>
      <c r="K103" s="111" t="str">
        <f ca="1">IF(D103="-","-",IF(LEN(INDEX(Dashboard!$H$6:$H$206,C103+1))=0,"",INDEX(Dashboard!$H$6:$H$206,C103+1)))</f>
        <v>-</v>
      </c>
      <c r="M103" s="172" t="str">
        <f t="shared" ca="1" si="687"/>
        <v>-</v>
      </c>
      <c r="N103" s="172" t="str">
        <f t="shared" ca="1" si="687"/>
        <v>-</v>
      </c>
      <c r="O103" s="172" t="str">
        <f t="shared" ca="1" si="687"/>
        <v>-</v>
      </c>
      <c r="P103" s="173" t="str">
        <f t="shared" ref="P103:R134" ca="1" si="817">IF($D103="-","-",IF(LEN(M103)=0,"",MATCH(M103,$E$7:$E$206,0)))</f>
        <v>-</v>
      </c>
      <c r="Q103" s="172" t="str">
        <f t="shared" ca="1" si="817"/>
        <v>-</v>
      </c>
      <c r="R103" s="172" t="str">
        <f t="shared" ca="1" si="817"/>
        <v>-</v>
      </c>
      <c r="S103" s="174" t="str">
        <f t="array" aca="1" ref="S103" ca="1">IF($D103="-","-",SUM(IF(LEN(M103:O103)&gt;0,1,0)))</f>
        <v>-</v>
      </c>
      <c r="T103" s="175" t="str">
        <f t="array" aca="1" ref="T103" ca="1">IF(D103="-","-",SUM(IF(ISERROR(SEARCH(E103,$G$7:$G$206)),0,1)))</f>
        <v>-</v>
      </c>
      <c r="V103" s="204"/>
      <c r="W103" s="127"/>
      <c r="X103" s="177" t="str">
        <f t="shared" si="565"/>
        <v>-</v>
      </c>
      <c r="Y103" s="178"/>
      <c r="Z103" s="127"/>
      <c r="AB103" s="179" t="str">
        <f t="shared" ref="AB103:AD134" ca="1" si="818">IF($D103="-","-",IF(LEN(M103)=0,"",TRIM(MID(SUBSTITUTE($J103,",",REPT(" ",LEN($J103))),(AB$6-1)*LEN($J103)+1,LEN($J103)))))</f>
        <v>-</v>
      </c>
      <c r="AC103" s="179" t="str">
        <f t="shared" ca="1" si="818"/>
        <v>-</v>
      </c>
      <c r="AD103" s="179" t="str">
        <f t="shared" ca="1" si="818"/>
        <v>-</v>
      </c>
      <c r="AJ103" s="181" t="str">
        <f t="shared" ca="1" si="550"/>
        <v>-</v>
      </c>
      <c r="AK103" s="179" t="str">
        <f t="shared" ca="1" si="551"/>
        <v>-</v>
      </c>
      <c r="AL103" s="179" t="str">
        <f t="shared" ca="1" si="551"/>
        <v>-</v>
      </c>
      <c r="AM103" s="179" t="str">
        <f t="shared" ca="1" si="551"/>
        <v>-</v>
      </c>
      <c r="AO103" s="182" t="str">
        <f t="shared" ref="AO103:AQ134" ca="1" si="819">IF($D103="-","-",IF(LEN(M103)=0,"",TRIM(MID(SUBSTITUTE($H103,",",REPT(" ",LEN($H103))),(M$6-1)*LEN($H103)+1,LEN($H103)))))</f>
        <v>-</v>
      </c>
      <c r="AP103" s="182" t="str">
        <f t="shared" ca="1" si="819"/>
        <v>-</v>
      </c>
      <c r="AQ103" s="182" t="str">
        <f t="shared" ca="1" si="819"/>
        <v>-</v>
      </c>
      <c r="AU103" s="185" t="str">
        <f t="shared" ref="AU103" ca="1" si="820">IF($D103="-","-",IF(LEN(M103)=0,"", INDEX($AT$7:$AT$15,MATCH(IF($V103-INDEX(GridXRange,P103)&lt;0,"Negative",IF($V103-INDEX(GridXRange,P103)&gt;0,"Positive","Zero")) &amp; " - " &amp;IF($W103-INDEX(GridYRange,P103)&lt;0,"Negative",IF($W103-INDEX(GridYRange,P103)&gt;0,"Positive","Zero")),$AS$7:$AS$15,0))))</f>
        <v>-</v>
      </c>
      <c r="AV103" s="186" t="str">
        <f t="shared" ref="AV103" ca="1" si="821">IF($D103="-","-",IF(LEN(N103)=0,"", INDEX($AT$7:$AT$15,MATCH(IF($V103-INDEX(GridXRange,Q103)&lt;0,"Negative",IF($V103-INDEX(GridXRange,Q103)&gt;0,"Positive","Zero")) &amp; " - " &amp;IF($W103-INDEX(GridYRange,Q103)&lt;0,"Negative",IF($W103-INDEX(GridYRange,Q103)&gt;0,"Positive","Zero")),$AS$7:$AS$15,0))))</f>
        <v>-</v>
      </c>
      <c r="AW103" s="186" t="str">
        <f t="shared" ref="AW103" ca="1" si="822">IF($D103="-","-",IF(LEN(O103)=0,"", INDEX($AT$7:$AT$15,MATCH(IF($V103-INDEX(GridXRange,R103)&lt;0,"Negative",IF($V103-INDEX(GridXRange,R103)&gt;0,"Positive","Zero")) &amp; " - " &amp;IF($W103-INDEX(GridYRange,R103)&lt;0,"Negative",IF($W103-INDEX(GridYRange,R103)&gt;0,"Positive","Zero")),$AS$7:$AS$15,0))))</f>
        <v>-</v>
      </c>
      <c r="AX103" s="187"/>
      <c r="AY103" s="188"/>
      <c r="AZ103" s="188"/>
      <c r="BA103" s="184"/>
      <c r="BB103" s="187" t="str">
        <f t="shared" ca="1" si="691"/>
        <v>-</v>
      </c>
      <c r="BC103" s="188" t="str">
        <f t="shared" ca="1" si="691"/>
        <v>-</v>
      </c>
      <c r="BD103" s="188" t="str">
        <f t="shared" ca="1" si="691"/>
        <v>-</v>
      </c>
      <c r="BE103" s="189" t="str">
        <f t="shared" ca="1" si="691"/>
        <v>-</v>
      </c>
      <c r="BK103" s="192" t="str">
        <f t="shared" ref="BK103" ca="1" si="823">IF($D103="-","-",$BK$5 + (V103-StartGridX) * (GapXDiff + $BW$7))</f>
        <v>-</v>
      </c>
      <c r="BL103" s="192" t="str">
        <f t="shared" ref="BL103" ca="1" si="824">IF($D103="-","-",$BL$5 + (W103-StartGridY) * (GapYDiff + $BV$7))</f>
        <v>-</v>
      </c>
      <c r="BM103" s="192" t="str">
        <f t="shared" ca="1" si="558"/>
        <v>-</v>
      </c>
      <c r="BN103" s="192" t="str">
        <f t="shared" ca="1" si="559"/>
        <v>-</v>
      </c>
      <c r="BO103" s="192" t="str">
        <f t="shared" ca="1" si="560"/>
        <v>-</v>
      </c>
      <c r="BP103" s="192" t="str">
        <f t="shared" ca="1" si="561"/>
        <v>-</v>
      </c>
      <c r="BQ103" s="192" t="str">
        <f ca="1">IF($D103="-","-",IF(LEN(K103)=0,1,IFERROR(MATCH(K103,Dashboard!$L$25:$L$31,0),1)))</f>
        <v>-</v>
      </c>
      <c r="CC103" s="143" t="str">
        <f t="shared" ref="CC103" ca="1" si="825">IF($D103="-","-",IF(COUNTIF(IDSourceRange,E103)&gt;1,1,0))</f>
        <v>-</v>
      </c>
      <c r="CD103" s="143" t="str">
        <f t="shared" ref="CD103" ca="1" si="826">IF($D103="-","-",  IF(LEN(M103)=0,0,IF(ISERROR(MATCH(M103,IDSourceRange,0)),1,0)) + IF(LEN(N103)=0,0,IF(ISERROR(MATCH(N103,IDSourceRange,0)),1,0)) + IF(LEN(O103)=0,0,IF(ISERROR(MATCH(O103,IDSourceRange,0)),1,0)) )</f>
        <v>-</v>
      </c>
      <c r="CE103" s="143" t="str">
        <f t="shared" ca="1" si="589"/>
        <v>-</v>
      </c>
      <c r="CF103" s="143" t="s">
        <v>128</v>
      </c>
      <c r="CG103" s="143" t="str">
        <f t="shared" ref="CG103" ca="1" si="827">IF($D103="-","-",IF(X103="-",0,IF(COUNTIF(GridCombinedRange,X103)&gt;1,1,0)))</f>
        <v>-</v>
      </c>
      <c r="CH103" s="143"/>
      <c r="CI103" s="143"/>
      <c r="CJ103" s="143"/>
      <c r="CK103" s="143"/>
      <c r="CL103" s="143"/>
    </row>
    <row r="104" spans="3:90" x14ac:dyDescent="0.3">
      <c r="C104" s="170">
        <v>98</v>
      </c>
      <c r="D104" s="111" t="str">
        <f ca="1">IF(COUNTA(OFFSET(Dashboard!$B$6,C104,0,1,COUNTA(Dashboard!$B$6:$H$6)))&gt;0,"Yes","-")</f>
        <v>-</v>
      </c>
      <c r="E104" s="170" t="str">
        <f ca="1">IF(D104="-","-",IF(LEN(INDEX(Dashboard!B$6:B$206,$C104+1))=0,"x"&amp;C104&amp;"x","x"&amp;INDEX(Dashboard!B$6:B$206,$C104+1)&amp;"x"))</f>
        <v>-</v>
      </c>
      <c r="F104" s="171" t="str">
        <f ca="1">IF(D104="-","-",IF(LEN(INDEX(Dashboard!$C$6:$C$206,C104+1))=0," ",INDEX(Dashboard!$C$6:$C$206,C104+1)))</f>
        <v>-</v>
      </c>
      <c r="G104" s="219" t="str">
        <f ca="1">IF(OR(D104="-",D104=""),"-",IF(LEN(INDEX(Dashboard!$D$6:$D$228,C104+1))=0,"", "x"&amp;SUBSTITUTE(SUBSTITUTE(INDEX(Dashboard!$D$6:$D$228,C104+1)," ",""),",","x,x")&amp;"x"))</f>
        <v>-</v>
      </c>
      <c r="H104" s="111" t="str">
        <f ca="1">IF(D104="-","-",TRIM(INDEX(Dashboard!$E$6:$E$206,C104+1)))</f>
        <v>-</v>
      </c>
      <c r="I104" s="111" t="str">
        <f ca="1">IF(D104="-","-",IF(LEN(INDEX(Dashboard!$F$6:$F$206,C104+1))=0,$BS$8,IF(ISERROR(MATCH(INDEX(Dashboard!$F$6:$F$206,C104+1),$BS$7:$BS$35,0)),$BS$8,INDEX(Dashboard!$F$6:$F$206,C104+1))))</f>
        <v>-</v>
      </c>
      <c r="J104" s="111" t="str">
        <f ca="1">IF(D104="-","-",SUBSTITUTE(INDEX(Dashboard!$G$6:$G$206,C104+1)," ",""))</f>
        <v>-</v>
      </c>
      <c r="K104" s="111" t="str">
        <f ca="1">IF(D104="-","-",IF(LEN(INDEX(Dashboard!$H$6:$H$206,C104+1))=0,"",INDEX(Dashboard!$H$6:$H$206,C104+1)))</f>
        <v>-</v>
      </c>
      <c r="M104" s="172" t="str">
        <f t="shared" ca="1" si="687"/>
        <v>-</v>
      </c>
      <c r="N104" s="172" t="str">
        <f t="shared" ca="1" si="687"/>
        <v>-</v>
      </c>
      <c r="O104" s="172" t="str">
        <f t="shared" ca="1" si="687"/>
        <v>-</v>
      </c>
      <c r="P104" s="173" t="str">
        <f t="shared" ca="1" si="817"/>
        <v>-</v>
      </c>
      <c r="Q104" s="172" t="str">
        <f t="shared" ca="1" si="817"/>
        <v>-</v>
      </c>
      <c r="R104" s="172" t="str">
        <f t="shared" ca="1" si="817"/>
        <v>-</v>
      </c>
      <c r="S104" s="174" t="str">
        <f t="array" aca="1" ref="S104" ca="1">IF($D104="-","-",SUM(IF(LEN(M104:O104)&gt;0,1,0)))</f>
        <v>-</v>
      </c>
      <c r="T104" s="175" t="str">
        <f t="array" aca="1" ref="T104" ca="1">IF(D104="-","-",SUM(IF(ISERROR(SEARCH(E104,$G$7:$G$206)),0,1)))</f>
        <v>-</v>
      </c>
      <c r="V104" s="204"/>
      <c r="W104" s="127"/>
      <c r="X104" s="177" t="str">
        <f t="shared" si="565"/>
        <v>-</v>
      </c>
      <c r="Y104" s="178"/>
      <c r="Z104" s="127"/>
      <c r="AB104" s="179" t="str">
        <f t="shared" ca="1" si="818"/>
        <v>-</v>
      </c>
      <c r="AC104" s="179" t="str">
        <f t="shared" ca="1" si="818"/>
        <v>-</v>
      </c>
      <c r="AD104" s="179" t="str">
        <f t="shared" ca="1" si="818"/>
        <v>-</v>
      </c>
      <c r="AJ104" s="181" t="str">
        <f t="shared" ca="1" si="550"/>
        <v>-</v>
      </c>
      <c r="AK104" s="179" t="str">
        <f t="shared" ca="1" si="551"/>
        <v>-</v>
      </c>
      <c r="AL104" s="179" t="str">
        <f t="shared" ca="1" si="551"/>
        <v>-</v>
      </c>
      <c r="AM104" s="179" t="str">
        <f t="shared" ca="1" si="551"/>
        <v>-</v>
      </c>
      <c r="AO104" s="182" t="str">
        <f t="shared" ca="1" si="819"/>
        <v>-</v>
      </c>
      <c r="AP104" s="182" t="str">
        <f t="shared" ca="1" si="819"/>
        <v>-</v>
      </c>
      <c r="AQ104" s="182" t="str">
        <f t="shared" ca="1" si="819"/>
        <v>-</v>
      </c>
      <c r="AU104" s="185" t="str">
        <f t="shared" ref="AU104" ca="1" si="828">IF($D104="-","-",IF(LEN(M104)=0,"", INDEX($AT$7:$AT$15,MATCH(IF($V104-INDEX(GridXRange,P104)&lt;0,"Negative",IF($V104-INDEX(GridXRange,P104)&gt;0,"Positive","Zero")) &amp; " - " &amp;IF($W104-INDEX(GridYRange,P104)&lt;0,"Negative",IF($W104-INDEX(GridYRange,P104)&gt;0,"Positive","Zero")),$AS$7:$AS$15,0))))</f>
        <v>-</v>
      </c>
      <c r="AV104" s="186" t="str">
        <f t="shared" ref="AV104" ca="1" si="829">IF($D104="-","-",IF(LEN(N104)=0,"", INDEX($AT$7:$AT$15,MATCH(IF($V104-INDEX(GridXRange,Q104)&lt;0,"Negative",IF($V104-INDEX(GridXRange,Q104)&gt;0,"Positive","Zero")) &amp; " - " &amp;IF($W104-INDEX(GridYRange,Q104)&lt;0,"Negative",IF($W104-INDEX(GridYRange,Q104)&gt;0,"Positive","Zero")),$AS$7:$AS$15,0))))</f>
        <v>-</v>
      </c>
      <c r="AW104" s="186" t="str">
        <f t="shared" ref="AW104" ca="1" si="830">IF($D104="-","-",IF(LEN(O104)=0,"", INDEX($AT$7:$AT$15,MATCH(IF($V104-INDEX(GridXRange,R104)&lt;0,"Negative",IF($V104-INDEX(GridXRange,R104)&gt;0,"Positive","Zero")) &amp; " - " &amp;IF($W104-INDEX(GridYRange,R104)&lt;0,"Negative",IF($W104-INDEX(GridYRange,R104)&gt;0,"Positive","Zero")),$AS$7:$AS$15,0))))</f>
        <v>-</v>
      </c>
      <c r="AX104" s="187"/>
      <c r="AY104" s="188"/>
      <c r="AZ104" s="188"/>
      <c r="BA104" s="184"/>
      <c r="BB104" s="187" t="str">
        <f t="shared" ca="1" si="691"/>
        <v>-</v>
      </c>
      <c r="BC104" s="188" t="str">
        <f t="shared" ca="1" si="691"/>
        <v>-</v>
      </c>
      <c r="BD104" s="188" t="str">
        <f t="shared" ca="1" si="691"/>
        <v>-</v>
      </c>
      <c r="BE104" s="189" t="str">
        <f t="shared" ca="1" si="691"/>
        <v>-</v>
      </c>
      <c r="BK104" s="192" t="str">
        <f t="shared" ref="BK104" ca="1" si="831">IF($D104="-","-",$BK$5 + (V104-StartGridX) * (GapXDiff + $BW$7))</f>
        <v>-</v>
      </c>
      <c r="BL104" s="192" t="str">
        <f t="shared" ref="BL104" ca="1" si="832">IF($D104="-","-",$BL$5 + (W104-StartGridY) * (GapYDiff + $BV$7))</f>
        <v>-</v>
      </c>
      <c r="BM104" s="192" t="str">
        <f t="shared" ca="1" si="558"/>
        <v>-</v>
      </c>
      <c r="BN104" s="192" t="str">
        <f t="shared" ca="1" si="559"/>
        <v>-</v>
      </c>
      <c r="BO104" s="192" t="str">
        <f t="shared" ca="1" si="560"/>
        <v>-</v>
      </c>
      <c r="BP104" s="192" t="str">
        <f t="shared" ca="1" si="561"/>
        <v>-</v>
      </c>
      <c r="BQ104" s="192" t="str">
        <f ca="1">IF($D104="-","-",IF(LEN(K104)=0,1,IFERROR(MATCH(K104,Dashboard!$L$25:$L$31,0),1)))</f>
        <v>-</v>
      </c>
      <c r="CC104" s="143" t="str">
        <f t="shared" ref="CC104" ca="1" si="833">IF($D104="-","-",IF(COUNTIF(IDSourceRange,E104)&gt;1,1,0))</f>
        <v>-</v>
      </c>
      <c r="CD104" s="143" t="str">
        <f t="shared" ref="CD104" ca="1" si="834">IF($D104="-","-",  IF(LEN(M104)=0,0,IF(ISERROR(MATCH(M104,IDSourceRange,0)),1,0)) + IF(LEN(N104)=0,0,IF(ISERROR(MATCH(N104,IDSourceRange,0)),1,0)) + IF(LEN(O104)=0,0,IF(ISERROR(MATCH(O104,IDSourceRange,0)),1,0)) )</f>
        <v>-</v>
      </c>
      <c r="CE104" s="143" t="str">
        <f t="shared" ca="1" si="589"/>
        <v>-</v>
      </c>
      <c r="CF104" s="143" t="s">
        <v>128</v>
      </c>
      <c r="CG104" s="143" t="str">
        <f t="shared" ref="CG104" ca="1" si="835">IF($D104="-","-",IF(X104="-",0,IF(COUNTIF(GridCombinedRange,X104)&gt;1,1,0)))</f>
        <v>-</v>
      </c>
      <c r="CH104" s="143"/>
      <c r="CI104" s="143"/>
      <c r="CJ104" s="143"/>
      <c r="CK104" s="143"/>
      <c r="CL104" s="143"/>
    </row>
    <row r="105" spans="3:90" x14ac:dyDescent="0.3">
      <c r="C105" s="170">
        <v>99</v>
      </c>
      <c r="D105" s="111" t="str">
        <f ca="1">IF(COUNTA(OFFSET(Dashboard!$B$6,C105,0,1,COUNTA(Dashboard!$B$6:$H$6)))&gt;0,"Yes","-")</f>
        <v>-</v>
      </c>
      <c r="E105" s="170" t="str">
        <f ca="1">IF(D105="-","-",IF(LEN(INDEX(Dashboard!B$6:B$206,$C105+1))=0,"x"&amp;C105&amp;"x","x"&amp;INDEX(Dashboard!B$6:B$206,$C105+1)&amp;"x"))</f>
        <v>-</v>
      </c>
      <c r="F105" s="171" t="str">
        <f ca="1">IF(D105="-","-",IF(LEN(INDEX(Dashboard!$C$6:$C$206,C105+1))=0," ",INDEX(Dashboard!$C$6:$C$206,C105+1)))</f>
        <v>-</v>
      </c>
      <c r="G105" s="219" t="str">
        <f ca="1">IF(OR(D105="-",D105=""),"-",IF(LEN(INDEX(Dashboard!$D$6:$D$228,C105+1))=0,"", "x"&amp;SUBSTITUTE(SUBSTITUTE(INDEX(Dashboard!$D$6:$D$228,C105+1)," ",""),",","x,x")&amp;"x"))</f>
        <v>-</v>
      </c>
      <c r="H105" s="111" t="str">
        <f ca="1">IF(D105="-","-",TRIM(INDEX(Dashboard!$E$6:$E$206,C105+1)))</f>
        <v>-</v>
      </c>
      <c r="I105" s="111" t="str">
        <f ca="1">IF(D105="-","-",IF(LEN(INDEX(Dashboard!$F$6:$F$206,C105+1))=0,$BS$8,IF(ISERROR(MATCH(INDEX(Dashboard!$F$6:$F$206,C105+1),$BS$7:$BS$35,0)),$BS$8,INDEX(Dashboard!$F$6:$F$206,C105+1))))</f>
        <v>-</v>
      </c>
      <c r="J105" s="111" t="str">
        <f ca="1">IF(D105="-","-",SUBSTITUTE(INDEX(Dashboard!$G$6:$G$206,C105+1)," ",""))</f>
        <v>-</v>
      </c>
      <c r="K105" s="111" t="str">
        <f ca="1">IF(D105="-","-",IF(LEN(INDEX(Dashboard!$H$6:$H$206,C105+1))=0,"",INDEX(Dashboard!$H$6:$H$206,C105+1)))</f>
        <v>-</v>
      </c>
      <c r="M105" s="172" t="str">
        <f t="shared" ca="1" si="687"/>
        <v>-</v>
      </c>
      <c r="N105" s="172" t="str">
        <f t="shared" ca="1" si="687"/>
        <v>-</v>
      </c>
      <c r="O105" s="172" t="str">
        <f t="shared" ca="1" si="687"/>
        <v>-</v>
      </c>
      <c r="P105" s="173" t="str">
        <f t="shared" ca="1" si="817"/>
        <v>-</v>
      </c>
      <c r="Q105" s="172" t="str">
        <f t="shared" ca="1" si="817"/>
        <v>-</v>
      </c>
      <c r="R105" s="172" t="str">
        <f t="shared" ca="1" si="817"/>
        <v>-</v>
      </c>
      <c r="S105" s="174" t="str">
        <f t="array" aca="1" ref="S105" ca="1">IF($D105="-","-",SUM(IF(LEN(M105:O105)&gt;0,1,0)))</f>
        <v>-</v>
      </c>
      <c r="T105" s="175" t="str">
        <f t="array" aca="1" ref="T105" ca="1">IF(D105="-","-",SUM(IF(ISERROR(SEARCH(E105,$G$7:$G$206)),0,1)))</f>
        <v>-</v>
      </c>
      <c r="V105" s="204"/>
      <c r="W105" s="127"/>
      <c r="X105" s="177" t="str">
        <f t="shared" si="565"/>
        <v>-</v>
      </c>
      <c r="Y105" s="178"/>
      <c r="Z105" s="127"/>
      <c r="AB105" s="179" t="str">
        <f t="shared" ca="1" si="818"/>
        <v>-</v>
      </c>
      <c r="AC105" s="179" t="str">
        <f t="shared" ca="1" si="818"/>
        <v>-</v>
      </c>
      <c r="AD105" s="179" t="str">
        <f t="shared" ca="1" si="818"/>
        <v>-</v>
      </c>
      <c r="AJ105" s="181" t="str">
        <f t="shared" ca="1" si="550"/>
        <v>-</v>
      </c>
      <c r="AK105" s="179" t="str">
        <f t="shared" ca="1" si="551"/>
        <v>-</v>
      </c>
      <c r="AL105" s="179" t="str">
        <f t="shared" ca="1" si="551"/>
        <v>-</v>
      </c>
      <c r="AM105" s="179" t="str">
        <f t="shared" ca="1" si="551"/>
        <v>-</v>
      </c>
      <c r="AO105" s="182" t="str">
        <f t="shared" ca="1" si="819"/>
        <v>-</v>
      </c>
      <c r="AP105" s="182" t="str">
        <f t="shared" ca="1" si="819"/>
        <v>-</v>
      </c>
      <c r="AQ105" s="182" t="str">
        <f t="shared" ca="1" si="819"/>
        <v>-</v>
      </c>
      <c r="AU105" s="185" t="str">
        <f t="shared" ref="AU105" ca="1" si="836">IF($D105="-","-",IF(LEN(M105)=0,"", INDEX($AT$7:$AT$15,MATCH(IF($V105-INDEX(GridXRange,P105)&lt;0,"Negative",IF($V105-INDEX(GridXRange,P105)&gt;0,"Positive","Zero")) &amp; " - " &amp;IF($W105-INDEX(GridYRange,P105)&lt;0,"Negative",IF($W105-INDEX(GridYRange,P105)&gt;0,"Positive","Zero")),$AS$7:$AS$15,0))))</f>
        <v>-</v>
      </c>
      <c r="AV105" s="186" t="str">
        <f t="shared" ref="AV105" ca="1" si="837">IF($D105="-","-",IF(LEN(N105)=0,"", INDEX($AT$7:$AT$15,MATCH(IF($V105-INDEX(GridXRange,Q105)&lt;0,"Negative",IF($V105-INDEX(GridXRange,Q105)&gt;0,"Positive","Zero")) &amp; " - " &amp;IF($W105-INDEX(GridYRange,Q105)&lt;0,"Negative",IF($W105-INDEX(GridYRange,Q105)&gt;0,"Positive","Zero")),$AS$7:$AS$15,0))))</f>
        <v>-</v>
      </c>
      <c r="AW105" s="186" t="str">
        <f t="shared" ref="AW105" ca="1" si="838">IF($D105="-","-",IF(LEN(O105)=0,"", INDEX($AT$7:$AT$15,MATCH(IF($V105-INDEX(GridXRange,R105)&lt;0,"Negative",IF($V105-INDEX(GridXRange,R105)&gt;0,"Positive","Zero")) &amp; " - " &amp;IF($W105-INDEX(GridYRange,R105)&lt;0,"Negative",IF($W105-INDEX(GridYRange,R105)&gt;0,"Positive","Zero")),$AS$7:$AS$15,0))))</f>
        <v>-</v>
      </c>
      <c r="AX105" s="187"/>
      <c r="AY105" s="188"/>
      <c r="AZ105" s="188"/>
      <c r="BA105" s="184"/>
      <c r="BB105" s="187" t="str">
        <f t="shared" ca="1" si="691"/>
        <v>-</v>
      </c>
      <c r="BC105" s="188" t="str">
        <f t="shared" ca="1" si="691"/>
        <v>-</v>
      </c>
      <c r="BD105" s="188" t="str">
        <f t="shared" ca="1" si="691"/>
        <v>-</v>
      </c>
      <c r="BE105" s="189" t="str">
        <f t="shared" ca="1" si="691"/>
        <v>-</v>
      </c>
      <c r="BK105" s="192" t="str">
        <f t="shared" ref="BK105" ca="1" si="839">IF($D105="-","-",$BK$5 + (V105-StartGridX) * (GapXDiff + $BW$7))</f>
        <v>-</v>
      </c>
      <c r="BL105" s="192" t="str">
        <f t="shared" ref="BL105" ca="1" si="840">IF($D105="-","-",$BL$5 + (W105-StartGridY) * (GapYDiff + $BV$7))</f>
        <v>-</v>
      </c>
      <c r="BM105" s="192" t="str">
        <f t="shared" ca="1" si="558"/>
        <v>-</v>
      </c>
      <c r="BN105" s="192" t="str">
        <f t="shared" ca="1" si="559"/>
        <v>-</v>
      </c>
      <c r="BO105" s="192" t="str">
        <f t="shared" ca="1" si="560"/>
        <v>-</v>
      </c>
      <c r="BP105" s="192" t="str">
        <f t="shared" ca="1" si="561"/>
        <v>-</v>
      </c>
      <c r="BQ105" s="192" t="str">
        <f ca="1">IF($D105="-","-",IF(LEN(K105)=0,1,IFERROR(MATCH(K105,Dashboard!$L$25:$L$31,0),1)))</f>
        <v>-</v>
      </c>
      <c r="CC105" s="143" t="str">
        <f t="shared" ref="CC105" ca="1" si="841">IF($D105="-","-",IF(COUNTIF(IDSourceRange,E105)&gt;1,1,0))</f>
        <v>-</v>
      </c>
      <c r="CD105" s="143" t="str">
        <f t="shared" ref="CD105" ca="1" si="842">IF($D105="-","-",  IF(LEN(M105)=0,0,IF(ISERROR(MATCH(M105,IDSourceRange,0)),1,0)) + IF(LEN(N105)=0,0,IF(ISERROR(MATCH(N105,IDSourceRange,0)),1,0)) + IF(LEN(O105)=0,0,IF(ISERROR(MATCH(O105,IDSourceRange,0)),1,0)) )</f>
        <v>-</v>
      </c>
      <c r="CE105" s="143" t="str">
        <f t="shared" ca="1" si="589"/>
        <v>-</v>
      </c>
      <c r="CF105" s="143" t="s">
        <v>128</v>
      </c>
      <c r="CG105" s="143" t="str">
        <f t="shared" ref="CG105" ca="1" si="843">IF($D105="-","-",IF(X105="-",0,IF(COUNTIF(GridCombinedRange,X105)&gt;1,1,0)))</f>
        <v>-</v>
      </c>
      <c r="CH105" s="143"/>
      <c r="CI105" s="143"/>
      <c r="CJ105" s="143"/>
      <c r="CK105" s="143"/>
      <c r="CL105" s="143"/>
    </row>
    <row r="106" spans="3:90" x14ac:dyDescent="0.3">
      <c r="C106" s="170">
        <v>100</v>
      </c>
      <c r="D106" s="111" t="str">
        <f ca="1">IF(COUNTA(OFFSET(Dashboard!$B$6,C106,0,1,COUNTA(Dashboard!$B$6:$H$6)))&gt;0,"Yes","-")</f>
        <v>-</v>
      </c>
      <c r="E106" s="170" t="str">
        <f ca="1">IF(D106="-","-",IF(LEN(INDEX(Dashboard!B$6:B$206,$C106+1))=0,"x"&amp;C106&amp;"x","x"&amp;INDEX(Dashboard!B$6:B$206,$C106+1)&amp;"x"))</f>
        <v>-</v>
      </c>
      <c r="F106" s="171" t="str">
        <f ca="1">IF(D106="-","-",IF(LEN(INDEX(Dashboard!$C$6:$C$206,C106+1))=0," ",INDEX(Dashboard!$C$6:$C$206,C106+1)))</f>
        <v>-</v>
      </c>
      <c r="G106" s="219" t="str">
        <f ca="1">IF(OR(D106="-",D106=""),"-",IF(LEN(INDEX(Dashboard!$D$6:$D$228,C106+1))=0,"", "x"&amp;SUBSTITUTE(SUBSTITUTE(INDEX(Dashboard!$D$6:$D$228,C106+1)," ",""),",","x,x")&amp;"x"))</f>
        <v>-</v>
      </c>
      <c r="H106" s="111" t="str">
        <f ca="1">IF(D106="-","-",TRIM(INDEX(Dashboard!$E$6:$E$206,C106+1)))</f>
        <v>-</v>
      </c>
      <c r="I106" s="111" t="str">
        <f ca="1">IF(D106="-","-",IF(LEN(INDEX(Dashboard!$F$6:$F$206,C106+1))=0,$BS$8,IF(ISERROR(MATCH(INDEX(Dashboard!$F$6:$F$206,C106+1),$BS$7:$BS$35,0)),$BS$8,INDEX(Dashboard!$F$6:$F$206,C106+1))))</f>
        <v>-</v>
      </c>
      <c r="J106" s="111" t="str">
        <f ca="1">IF(D106="-","-",SUBSTITUTE(INDEX(Dashboard!$G$6:$G$206,C106+1)," ",""))</f>
        <v>-</v>
      </c>
      <c r="K106" s="111" t="str">
        <f ca="1">IF(D106="-","-",IF(LEN(INDEX(Dashboard!$H$6:$H$206,C106+1))=0,"",INDEX(Dashboard!$H$6:$H$206,C106+1)))</f>
        <v>-</v>
      </c>
      <c r="M106" s="172" t="str">
        <f t="shared" ca="1" si="687"/>
        <v>-</v>
      </c>
      <c r="N106" s="172" t="str">
        <f t="shared" ca="1" si="687"/>
        <v>-</v>
      </c>
      <c r="O106" s="172" t="str">
        <f t="shared" ca="1" si="687"/>
        <v>-</v>
      </c>
      <c r="P106" s="173" t="str">
        <f t="shared" ca="1" si="817"/>
        <v>-</v>
      </c>
      <c r="Q106" s="172" t="str">
        <f t="shared" ca="1" si="817"/>
        <v>-</v>
      </c>
      <c r="R106" s="172" t="str">
        <f t="shared" ca="1" si="817"/>
        <v>-</v>
      </c>
      <c r="S106" s="174" t="str">
        <f t="array" aca="1" ref="S106" ca="1">IF($D106="-","-",SUM(IF(LEN(M106:O106)&gt;0,1,0)))</f>
        <v>-</v>
      </c>
      <c r="T106" s="175" t="str">
        <f t="array" aca="1" ref="T106" ca="1">IF(D106="-","-",SUM(IF(ISERROR(SEARCH(E106,$G$7:$G$206)),0,1)))</f>
        <v>-</v>
      </c>
      <c r="V106" s="204"/>
      <c r="W106" s="127"/>
      <c r="X106" s="177" t="str">
        <f t="shared" si="565"/>
        <v>-</v>
      </c>
      <c r="Y106" s="178"/>
      <c r="Z106" s="127"/>
      <c r="AB106" s="179" t="str">
        <f t="shared" ca="1" si="818"/>
        <v>-</v>
      </c>
      <c r="AC106" s="179" t="str">
        <f t="shared" ca="1" si="818"/>
        <v>-</v>
      </c>
      <c r="AD106" s="179" t="str">
        <f t="shared" ca="1" si="818"/>
        <v>-</v>
      </c>
      <c r="AJ106" s="181" t="str">
        <f t="shared" ca="1" si="550"/>
        <v>-</v>
      </c>
      <c r="AK106" s="179" t="str">
        <f t="shared" ca="1" si="551"/>
        <v>-</v>
      </c>
      <c r="AL106" s="179" t="str">
        <f t="shared" ca="1" si="551"/>
        <v>-</v>
      </c>
      <c r="AM106" s="179" t="str">
        <f t="shared" ca="1" si="551"/>
        <v>-</v>
      </c>
      <c r="AO106" s="182" t="str">
        <f t="shared" ca="1" si="819"/>
        <v>-</v>
      </c>
      <c r="AP106" s="182" t="str">
        <f t="shared" ca="1" si="819"/>
        <v>-</v>
      </c>
      <c r="AQ106" s="182" t="str">
        <f t="shared" ca="1" si="819"/>
        <v>-</v>
      </c>
      <c r="AU106" s="185" t="str">
        <f t="shared" ref="AU106" ca="1" si="844">IF($D106="-","-",IF(LEN(M106)=0,"", INDEX($AT$7:$AT$15,MATCH(IF($V106-INDEX(GridXRange,P106)&lt;0,"Negative",IF($V106-INDEX(GridXRange,P106)&gt;0,"Positive","Zero")) &amp; " - " &amp;IF($W106-INDEX(GridYRange,P106)&lt;0,"Negative",IF($W106-INDEX(GridYRange,P106)&gt;0,"Positive","Zero")),$AS$7:$AS$15,0))))</f>
        <v>-</v>
      </c>
      <c r="AV106" s="186" t="str">
        <f t="shared" ref="AV106" ca="1" si="845">IF($D106="-","-",IF(LEN(N106)=0,"", INDEX($AT$7:$AT$15,MATCH(IF($V106-INDEX(GridXRange,Q106)&lt;0,"Negative",IF($V106-INDEX(GridXRange,Q106)&gt;0,"Positive","Zero")) &amp; " - " &amp;IF($W106-INDEX(GridYRange,Q106)&lt;0,"Negative",IF($W106-INDEX(GridYRange,Q106)&gt;0,"Positive","Zero")),$AS$7:$AS$15,0))))</f>
        <v>-</v>
      </c>
      <c r="AW106" s="186" t="str">
        <f t="shared" ref="AW106" ca="1" si="846">IF($D106="-","-",IF(LEN(O106)=0,"", INDEX($AT$7:$AT$15,MATCH(IF($V106-INDEX(GridXRange,R106)&lt;0,"Negative",IF($V106-INDEX(GridXRange,R106)&gt;0,"Positive","Zero")) &amp; " - " &amp;IF($W106-INDEX(GridYRange,R106)&lt;0,"Negative",IF($W106-INDEX(GridYRange,R106)&gt;0,"Positive","Zero")),$AS$7:$AS$15,0))))</f>
        <v>-</v>
      </c>
      <c r="AX106" s="187"/>
      <c r="AY106" s="188"/>
      <c r="AZ106" s="188"/>
      <c r="BA106" s="184"/>
      <c r="BB106" s="187" t="str">
        <f t="shared" ca="1" si="691"/>
        <v>-</v>
      </c>
      <c r="BC106" s="188" t="str">
        <f t="shared" ca="1" si="691"/>
        <v>-</v>
      </c>
      <c r="BD106" s="188" t="str">
        <f t="shared" ca="1" si="691"/>
        <v>-</v>
      </c>
      <c r="BE106" s="189" t="str">
        <f t="shared" ca="1" si="691"/>
        <v>-</v>
      </c>
      <c r="BK106" s="192" t="str">
        <f t="shared" ref="BK106" ca="1" si="847">IF($D106="-","-",$BK$5 + (V106-StartGridX) * (GapXDiff + $BW$7))</f>
        <v>-</v>
      </c>
      <c r="BL106" s="192" t="str">
        <f t="shared" ref="BL106" ca="1" si="848">IF($D106="-","-",$BL$5 + (W106-StartGridY) * (GapYDiff + $BV$7))</f>
        <v>-</v>
      </c>
      <c r="BM106" s="192" t="str">
        <f t="shared" ca="1" si="558"/>
        <v>-</v>
      </c>
      <c r="BN106" s="192" t="str">
        <f t="shared" ca="1" si="559"/>
        <v>-</v>
      </c>
      <c r="BO106" s="192" t="str">
        <f t="shared" ca="1" si="560"/>
        <v>-</v>
      </c>
      <c r="BP106" s="192" t="str">
        <f t="shared" ca="1" si="561"/>
        <v>-</v>
      </c>
      <c r="BQ106" s="192" t="str">
        <f ca="1">IF($D106="-","-",IF(LEN(K106)=0,1,IFERROR(MATCH(K106,Dashboard!$L$25:$L$31,0),1)))</f>
        <v>-</v>
      </c>
      <c r="CC106" s="143" t="str">
        <f t="shared" ref="CC106" ca="1" si="849">IF($D106="-","-",IF(COUNTIF(IDSourceRange,E106)&gt;1,1,0))</f>
        <v>-</v>
      </c>
      <c r="CD106" s="143" t="str">
        <f t="shared" ref="CD106" ca="1" si="850">IF($D106="-","-",  IF(LEN(M106)=0,0,IF(ISERROR(MATCH(M106,IDSourceRange,0)),1,0)) + IF(LEN(N106)=0,0,IF(ISERROR(MATCH(N106,IDSourceRange,0)),1,0)) + IF(LEN(O106)=0,0,IF(ISERROR(MATCH(O106,IDSourceRange,0)),1,0)) )</f>
        <v>-</v>
      </c>
      <c r="CE106" s="143" t="str">
        <f t="shared" ca="1" si="589"/>
        <v>-</v>
      </c>
      <c r="CF106" s="143" t="s">
        <v>128</v>
      </c>
      <c r="CG106" s="143" t="str">
        <f t="shared" ref="CG106" ca="1" si="851">IF($D106="-","-",IF(X106="-",0,IF(COUNTIF(GridCombinedRange,X106)&gt;1,1,0)))</f>
        <v>-</v>
      </c>
      <c r="CH106" s="143"/>
      <c r="CI106" s="143"/>
      <c r="CJ106" s="143"/>
      <c r="CK106" s="143"/>
      <c r="CL106" s="143"/>
    </row>
    <row r="107" spans="3:90" x14ac:dyDescent="0.3">
      <c r="C107" s="170">
        <v>101</v>
      </c>
      <c r="D107" s="111" t="str">
        <f ca="1">IF(COUNTA(OFFSET(Dashboard!$B$6,C107,0,1,COUNTA(Dashboard!$B$6:$H$6)))&gt;0,"Yes","-")</f>
        <v>-</v>
      </c>
      <c r="E107" s="170" t="str">
        <f ca="1">IF(D107="-","-",IF(LEN(INDEX(Dashboard!B$6:B$206,$C107+1))=0,"x"&amp;C107&amp;"x","x"&amp;INDEX(Dashboard!B$6:B$206,$C107+1)&amp;"x"))</f>
        <v>-</v>
      </c>
      <c r="F107" s="171" t="str">
        <f ca="1">IF(D107="-","-",IF(LEN(INDEX(Dashboard!$C$6:$C$206,C107+1))=0," ",INDEX(Dashboard!$C$6:$C$206,C107+1)))</f>
        <v>-</v>
      </c>
      <c r="G107" s="219" t="str">
        <f ca="1">IF(OR(D107="-",D107=""),"-",IF(LEN(INDEX(Dashboard!$D$6:$D$228,C107+1))=0,"", "x"&amp;SUBSTITUTE(SUBSTITUTE(INDEX(Dashboard!$D$6:$D$228,C107+1)," ",""),",","x,x")&amp;"x"))</f>
        <v>-</v>
      </c>
      <c r="H107" s="111" t="str">
        <f ca="1">IF(D107="-","-",TRIM(INDEX(Dashboard!$E$6:$E$206,C107+1)))</f>
        <v>-</v>
      </c>
      <c r="I107" s="111" t="str">
        <f ca="1">IF(D107="-","-",IF(LEN(INDEX(Dashboard!$F$6:$F$206,C107+1))=0,$BS$8,IF(ISERROR(MATCH(INDEX(Dashboard!$F$6:$F$206,C107+1),$BS$7:$BS$35,0)),$BS$8,INDEX(Dashboard!$F$6:$F$206,C107+1))))</f>
        <v>-</v>
      </c>
      <c r="J107" s="111" t="str">
        <f ca="1">IF(D107="-","-",SUBSTITUTE(INDEX(Dashboard!$G$6:$G$206,C107+1)," ",""))</f>
        <v>-</v>
      </c>
      <c r="K107" s="111" t="str">
        <f ca="1">IF(D107="-","-",IF(LEN(INDEX(Dashboard!$H$6:$H$206,C107+1))=0,"",INDEX(Dashboard!$H$6:$H$206,C107+1)))</f>
        <v>-</v>
      </c>
      <c r="M107" s="172" t="str">
        <f t="shared" ref="M107:O126" ca="1" si="852">IF($D107="-","-",TRIM(MID(SUBSTITUTE($G107,",",REPT(" ",LEN($G107))),(M$6-1)*LEN($G107)+1,LEN($G107))))</f>
        <v>-</v>
      </c>
      <c r="N107" s="172" t="str">
        <f t="shared" ca="1" si="852"/>
        <v>-</v>
      </c>
      <c r="O107" s="172" t="str">
        <f t="shared" ca="1" si="852"/>
        <v>-</v>
      </c>
      <c r="P107" s="173" t="str">
        <f t="shared" ca="1" si="817"/>
        <v>-</v>
      </c>
      <c r="Q107" s="172" t="str">
        <f t="shared" ca="1" si="817"/>
        <v>-</v>
      </c>
      <c r="R107" s="172" t="str">
        <f t="shared" ca="1" si="817"/>
        <v>-</v>
      </c>
      <c r="S107" s="174" t="str">
        <f t="array" aca="1" ref="S107" ca="1">IF($D107="-","-",SUM(IF(LEN(M107:O107)&gt;0,1,0)))</f>
        <v>-</v>
      </c>
      <c r="T107" s="175" t="str">
        <f t="array" aca="1" ref="T107" ca="1">IF(D107="-","-",SUM(IF(ISERROR(SEARCH(E107,$G$7:$G$206)),0,1)))</f>
        <v>-</v>
      </c>
      <c r="V107" s="204"/>
      <c r="W107" s="127"/>
      <c r="X107" s="177" t="str">
        <f t="shared" si="565"/>
        <v>-</v>
      </c>
      <c r="Y107" s="178"/>
      <c r="Z107" s="127"/>
      <c r="AB107" s="179" t="str">
        <f t="shared" ca="1" si="818"/>
        <v>-</v>
      </c>
      <c r="AC107" s="179" t="str">
        <f t="shared" ca="1" si="818"/>
        <v>-</v>
      </c>
      <c r="AD107" s="179" t="str">
        <f t="shared" ca="1" si="818"/>
        <v>-</v>
      </c>
      <c r="AJ107" s="181" t="str">
        <f t="shared" ca="1" si="550"/>
        <v>-</v>
      </c>
      <c r="AK107" s="179" t="str">
        <f t="shared" ca="1" si="551"/>
        <v>-</v>
      </c>
      <c r="AL107" s="179" t="str">
        <f t="shared" ca="1" si="551"/>
        <v>-</v>
      </c>
      <c r="AM107" s="179" t="str">
        <f t="shared" ca="1" si="551"/>
        <v>-</v>
      </c>
      <c r="AO107" s="182" t="str">
        <f t="shared" ca="1" si="819"/>
        <v>-</v>
      </c>
      <c r="AP107" s="182" t="str">
        <f t="shared" ca="1" si="819"/>
        <v>-</v>
      </c>
      <c r="AQ107" s="182" t="str">
        <f t="shared" ca="1" si="819"/>
        <v>-</v>
      </c>
      <c r="AU107" s="185" t="str">
        <f t="shared" ref="AU107" ca="1" si="853">IF($D107="-","-",IF(LEN(M107)=0,"", INDEX($AT$7:$AT$15,MATCH(IF($V107-INDEX(GridXRange,P107)&lt;0,"Negative",IF($V107-INDEX(GridXRange,P107)&gt;0,"Positive","Zero")) &amp; " - " &amp;IF($W107-INDEX(GridYRange,P107)&lt;0,"Negative",IF($W107-INDEX(GridYRange,P107)&gt;0,"Positive","Zero")),$AS$7:$AS$15,0))))</f>
        <v>-</v>
      </c>
      <c r="AV107" s="186" t="str">
        <f t="shared" ref="AV107" ca="1" si="854">IF($D107="-","-",IF(LEN(N107)=0,"", INDEX($AT$7:$AT$15,MATCH(IF($V107-INDEX(GridXRange,Q107)&lt;0,"Negative",IF($V107-INDEX(GridXRange,Q107)&gt;0,"Positive","Zero")) &amp; " - " &amp;IF($W107-INDEX(GridYRange,Q107)&lt;0,"Negative",IF($W107-INDEX(GridYRange,Q107)&gt;0,"Positive","Zero")),$AS$7:$AS$15,0))))</f>
        <v>-</v>
      </c>
      <c r="AW107" s="186" t="str">
        <f t="shared" ref="AW107" ca="1" si="855">IF($D107="-","-",IF(LEN(O107)=0,"", INDEX($AT$7:$AT$15,MATCH(IF($V107-INDEX(GridXRange,R107)&lt;0,"Negative",IF($V107-INDEX(GridXRange,R107)&gt;0,"Positive","Zero")) &amp; " - " &amp;IF($W107-INDEX(GridYRange,R107)&lt;0,"Negative",IF($W107-INDEX(GridYRange,R107)&gt;0,"Positive","Zero")),$AS$7:$AS$15,0))))</f>
        <v>-</v>
      </c>
      <c r="AX107" s="187"/>
      <c r="AY107" s="188"/>
      <c r="AZ107" s="188"/>
      <c r="BA107" s="184"/>
      <c r="BB107" s="187" t="str">
        <f t="shared" ref="BB107:BE126" ca="1" si="856">IF($D107="-","-",INDEX($BX$7:$CA$35,MATCH($I107,$BS$7:$BS$35,0),BB$6))</f>
        <v>-</v>
      </c>
      <c r="BC107" s="188" t="str">
        <f t="shared" ca="1" si="856"/>
        <v>-</v>
      </c>
      <c r="BD107" s="188" t="str">
        <f t="shared" ca="1" si="856"/>
        <v>-</v>
      </c>
      <c r="BE107" s="189" t="str">
        <f t="shared" ca="1" si="856"/>
        <v>-</v>
      </c>
      <c r="BK107" s="192" t="str">
        <f t="shared" ref="BK107" ca="1" si="857">IF($D107="-","-",$BK$5 + (V107-StartGridX) * (GapXDiff + $BW$7))</f>
        <v>-</v>
      </c>
      <c r="BL107" s="192" t="str">
        <f t="shared" ref="BL107" ca="1" si="858">IF($D107="-","-",$BL$5 + (W107-StartGridY) * (GapYDiff + $BV$7))</f>
        <v>-</v>
      </c>
      <c r="BM107" s="192" t="str">
        <f t="shared" ca="1" si="558"/>
        <v>-</v>
      </c>
      <c r="BN107" s="192" t="str">
        <f t="shared" ca="1" si="559"/>
        <v>-</v>
      </c>
      <c r="BO107" s="192" t="str">
        <f t="shared" ca="1" si="560"/>
        <v>-</v>
      </c>
      <c r="BP107" s="192" t="str">
        <f t="shared" ca="1" si="561"/>
        <v>-</v>
      </c>
      <c r="BQ107" s="192" t="str">
        <f ca="1">IF($D107="-","-",IF(LEN(K107)=0,1,IFERROR(MATCH(K107,Dashboard!$L$25:$L$31,0),1)))</f>
        <v>-</v>
      </c>
      <c r="CC107" s="143" t="str">
        <f t="shared" ref="CC107" ca="1" si="859">IF($D107="-","-",IF(COUNTIF(IDSourceRange,E107)&gt;1,1,0))</f>
        <v>-</v>
      </c>
      <c r="CD107" s="143" t="str">
        <f t="shared" ref="CD107" ca="1" si="860">IF($D107="-","-",  IF(LEN(M107)=0,0,IF(ISERROR(MATCH(M107,IDSourceRange,0)),1,0)) + IF(LEN(N107)=0,0,IF(ISERROR(MATCH(N107,IDSourceRange,0)),1,0)) + IF(LEN(O107)=0,0,IF(ISERROR(MATCH(O107,IDSourceRange,0)),1,0)) )</f>
        <v>-</v>
      </c>
      <c r="CE107" s="143" t="str">
        <f t="shared" ca="1" si="589"/>
        <v>-</v>
      </c>
      <c r="CF107" s="143" t="s">
        <v>128</v>
      </c>
      <c r="CG107" s="143" t="str">
        <f t="shared" ref="CG107" ca="1" si="861">IF($D107="-","-",IF(X107="-",0,IF(COUNTIF(GridCombinedRange,X107)&gt;1,1,0)))</f>
        <v>-</v>
      </c>
      <c r="CH107" s="143"/>
      <c r="CI107" s="143"/>
      <c r="CJ107" s="143"/>
      <c r="CK107" s="143"/>
      <c r="CL107" s="143"/>
    </row>
    <row r="108" spans="3:90" x14ac:dyDescent="0.3">
      <c r="C108" s="170">
        <v>102</v>
      </c>
      <c r="D108" s="111" t="str">
        <f ca="1">IF(COUNTA(OFFSET(Dashboard!$B$6,C108,0,1,COUNTA(Dashboard!$B$6:$H$6)))&gt;0,"Yes","-")</f>
        <v>-</v>
      </c>
      <c r="E108" s="170" t="str">
        <f ca="1">IF(D108="-","-",IF(LEN(INDEX(Dashboard!B$6:B$206,$C108+1))=0,"x"&amp;C108&amp;"x","x"&amp;INDEX(Dashboard!B$6:B$206,$C108+1)&amp;"x"))</f>
        <v>-</v>
      </c>
      <c r="F108" s="171" t="str">
        <f ca="1">IF(D108="-","-",IF(LEN(INDEX(Dashboard!$C$6:$C$206,C108+1))=0," ",INDEX(Dashboard!$C$6:$C$206,C108+1)))</f>
        <v>-</v>
      </c>
      <c r="G108" s="219" t="str">
        <f ca="1">IF(OR(D108="-",D108=""),"-",IF(LEN(INDEX(Dashboard!$D$6:$D$228,C108+1))=0,"", "x"&amp;SUBSTITUTE(SUBSTITUTE(INDEX(Dashboard!$D$6:$D$228,C108+1)," ",""),",","x,x")&amp;"x"))</f>
        <v>-</v>
      </c>
      <c r="H108" s="111" t="str">
        <f ca="1">IF(D108="-","-",TRIM(INDEX(Dashboard!$E$6:$E$206,C108+1)))</f>
        <v>-</v>
      </c>
      <c r="I108" s="111" t="str">
        <f ca="1">IF(D108="-","-",IF(LEN(INDEX(Dashboard!$F$6:$F$206,C108+1))=0,$BS$8,IF(ISERROR(MATCH(INDEX(Dashboard!$F$6:$F$206,C108+1),$BS$7:$BS$35,0)),$BS$8,INDEX(Dashboard!$F$6:$F$206,C108+1))))</f>
        <v>-</v>
      </c>
      <c r="J108" s="111" t="str">
        <f ca="1">IF(D108="-","-",SUBSTITUTE(INDEX(Dashboard!$G$6:$G$206,C108+1)," ",""))</f>
        <v>-</v>
      </c>
      <c r="K108" s="111" t="str">
        <f ca="1">IF(D108="-","-",IF(LEN(INDEX(Dashboard!$H$6:$H$206,C108+1))=0,"",INDEX(Dashboard!$H$6:$H$206,C108+1)))</f>
        <v>-</v>
      </c>
      <c r="M108" s="172" t="str">
        <f t="shared" ca="1" si="852"/>
        <v>-</v>
      </c>
      <c r="N108" s="172" t="str">
        <f t="shared" ca="1" si="852"/>
        <v>-</v>
      </c>
      <c r="O108" s="172" t="str">
        <f t="shared" ca="1" si="852"/>
        <v>-</v>
      </c>
      <c r="P108" s="173" t="str">
        <f t="shared" ca="1" si="817"/>
        <v>-</v>
      </c>
      <c r="Q108" s="172" t="str">
        <f t="shared" ca="1" si="817"/>
        <v>-</v>
      </c>
      <c r="R108" s="172" t="str">
        <f t="shared" ca="1" si="817"/>
        <v>-</v>
      </c>
      <c r="S108" s="174" t="str">
        <f t="array" aca="1" ref="S108" ca="1">IF($D108="-","-",SUM(IF(LEN(M108:O108)&gt;0,1,0)))</f>
        <v>-</v>
      </c>
      <c r="T108" s="175" t="str">
        <f t="array" aca="1" ref="T108" ca="1">IF(D108="-","-",SUM(IF(ISERROR(SEARCH(E108,$G$7:$G$206)),0,1)))</f>
        <v>-</v>
      </c>
      <c r="V108" s="204"/>
      <c r="W108" s="127"/>
      <c r="X108" s="177" t="str">
        <f t="shared" si="565"/>
        <v>-</v>
      </c>
      <c r="Y108" s="178"/>
      <c r="Z108" s="127"/>
      <c r="AB108" s="179" t="str">
        <f t="shared" ca="1" si="818"/>
        <v>-</v>
      </c>
      <c r="AC108" s="179" t="str">
        <f t="shared" ca="1" si="818"/>
        <v>-</v>
      </c>
      <c r="AD108" s="179" t="str">
        <f t="shared" ca="1" si="818"/>
        <v>-</v>
      </c>
      <c r="AJ108" s="181" t="str">
        <f t="shared" ca="1" si="550"/>
        <v>-</v>
      </c>
      <c r="AK108" s="179" t="str">
        <f t="shared" ca="1" si="551"/>
        <v>-</v>
      </c>
      <c r="AL108" s="179" t="str">
        <f t="shared" ca="1" si="551"/>
        <v>-</v>
      </c>
      <c r="AM108" s="179" t="str">
        <f t="shared" ca="1" si="551"/>
        <v>-</v>
      </c>
      <c r="AO108" s="182" t="str">
        <f t="shared" ca="1" si="819"/>
        <v>-</v>
      </c>
      <c r="AP108" s="182" t="str">
        <f t="shared" ca="1" si="819"/>
        <v>-</v>
      </c>
      <c r="AQ108" s="182" t="str">
        <f t="shared" ca="1" si="819"/>
        <v>-</v>
      </c>
      <c r="AU108" s="185" t="str">
        <f t="shared" ref="AU108" ca="1" si="862">IF($D108="-","-",IF(LEN(M108)=0,"", INDEX($AT$7:$AT$15,MATCH(IF($V108-INDEX(GridXRange,P108)&lt;0,"Negative",IF($V108-INDEX(GridXRange,P108)&gt;0,"Positive","Zero")) &amp; " - " &amp;IF($W108-INDEX(GridYRange,P108)&lt;0,"Negative",IF($W108-INDEX(GridYRange,P108)&gt;0,"Positive","Zero")),$AS$7:$AS$15,0))))</f>
        <v>-</v>
      </c>
      <c r="AV108" s="186" t="str">
        <f t="shared" ref="AV108" ca="1" si="863">IF($D108="-","-",IF(LEN(N108)=0,"", INDEX($AT$7:$AT$15,MATCH(IF($V108-INDEX(GridXRange,Q108)&lt;0,"Negative",IF($V108-INDEX(GridXRange,Q108)&gt;0,"Positive","Zero")) &amp; " - " &amp;IF($W108-INDEX(GridYRange,Q108)&lt;0,"Negative",IF($W108-INDEX(GridYRange,Q108)&gt;0,"Positive","Zero")),$AS$7:$AS$15,0))))</f>
        <v>-</v>
      </c>
      <c r="AW108" s="186" t="str">
        <f t="shared" ref="AW108" ca="1" si="864">IF($D108="-","-",IF(LEN(O108)=0,"", INDEX($AT$7:$AT$15,MATCH(IF($V108-INDEX(GridXRange,R108)&lt;0,"Negative",IF($V108-INDEX(GridXRange,R108)&gt;0,"Positive","Zero")) &amp; " - " &amp;IF($W108-INDEX(GridYRange,R108)&lt;0,"Negative",IF($W108-INDEX(GridYRange,R108)&gt;0,"Positive","Zero")),$AS$7:$AS$15,0))))</f>
        <v>-</v>
      </c>
      <c r="AX108" s="187"/>
      <c r="AY108" s="188"/>
      <c r="AZ108" s="188"/>
      <c r="BA108" s="184"/>
      <c r="BB108" s="187" t="str">
        <f t="shared" ca="1" si="856"/>
        <v>-</v>
      </c>
      <c r="BC108" s="188" t="str">
        <f t="shared" ca="1" si="856"/>
        <v>-</v>
      </c>
      <c r="BD108" s="188" t="str">
        <f t="shared" ca="1" si="856"/>
        <v>-</v>
      </c>
      <c r="BE108" s="189" t="str">
        <f t="shared" ca="1" si="856"/>
        <v>-</v>
      </c>
      <c r="BK108" s="192" t="str">
        <f t="shared" ref="BK108" ca="1" si="865">IF($D108="-","-",$BK$5 + (V108-StartGridX) * (GapXDiff + $BW$7))</f>
        <v>-</v>
      </c>
      <c r="BL108" s="192" t="str">
        <f t="shared" ref="BL108" ca="1" si="866">IF($D108="-","-",$BL$5 + (W108-StartGridY) * (GapYDiff + $BV$7))</f>
        <v>-</v>
      </c>
      <c r="BM108" s="192" t="str">
        <f t="shared" ca="1" si="558"/>
        <v>-</v>
      </c>
      <c r="BN108" s="192" t="str">
        <f t="shared" ca="1" si="559"/>
        <v>-</v>
      </c>
      <c r="BO108" s="192" t="str">
        <f t="shared" ca="1" si="560"/>
        <v>-</v>
      </c>
      <c r="BP108" s="192" t="str">
        <f t="shared" ca="1" si="561"/>
        <v>-</v>
      </c>
      <c r="BQ108" s="192" t="str">
        <f ca="1">IF($D108="-","-",IF(LEN(K108)=0,1,IFERROR(MATCH(K108,Dashboard!$L$25:$L$31,0),1)))</f>
        <v>-</v>
      </c>
      <c r="CC108" s="143" t="str">
        <f t="shared" ref="CC108" ca="1" si="867">IF($D108="-","-",IF(COUNTIF(IDSourceRange,E108)&gt;1,1,0))</f>
        <v>-</v>
      </c>
      <c r="CD108" s="143" t="str">
        <f t="shared" ref="CD108" ca="1" si="868">IF($D108="-","-",  IF(LEN(M108)=0,0,IF(ISERROR(MATCH(M108,IDSourceRange,0)),1,0)) + IF(LEN(N108)=0,0,IF(ISERROR(MATCH(N108,IDSourceRange,0)),1,0)) + IF(LEN(O108)=0,0,IF(ISERROR(MATCH(O108,IDSourceRange,0)),1,0)) )</f>
        <v>-</v>
      </c>
      <c r="CE108" s="143" t="str">
        <f t="shared" ca="1" si="589"/>
        <v>-</v>
      </c>
      <c r="CF108" s="143" t="s">
        <v>128</v>
      </c>
      <c r="CG108" s="143" t="str">
        <f t="shared" ref="CG108" ca="1" si="869">IF($D108="-","-",IF(X108="-",0,IF(COUNTIF(GridCombinedRange,X108)&gt;1,1,0)))</f>
        <v>-</v>
      </c>
      <c r="CH108" s="143"/>
      <c r="CI108" s="143"/>
      <c r="CJ108" s="143"/>
      <c r="CK108" s="143"/>
      <c r="CL108" s="143"/>
    </row>
    <row r="109" spans="3:90" x14ac:dyDescent="0.3">
      <c r="C109" s="170">
        <v>103</v>
      </c>
      <c r="D109" s="111" t="str">
        <f ca="1">IF(COUNTA(OFFSET(Dashboard!$B$6,C109,0,1,COUNTA(Dashboard!$B$6:$H$6)))&gt;0,"Yes","-")</f>
        <v>-</v>
      </c>
      <c r="E109" s="170" t="str">
        <f ca="1">IF(D109="-","-",IF(LEN(INDEX(Dashboard!B$6:B$206,$C109+1))=0,"x"&amp;C109&amp;"x","x"&amp;INDEX(Dashboard!B$6:B$206,$C109+1)&amp;"x"))</f>
        <v>-</v>
      </c>
      <c r="F109" s="171" t="str">
        <f ca="1">IF(D109="-","-",IF(LEN(INDEX(Dashboard!$C$6:$C$206,C109+1))=0," ",INDEX(Dashboard!$C$6:$C$206,C109+1)))</f>
        <v>-</v>
      </c>
      <c r="G109" s="219" t="str">
        <f ca="1">IF(OR(D109="-",D109=""),"-",IF(LEN(INDEX(Dashboard!$D$6:$D$228,C109+1))=0,"", "x"&amp;SUBSTITUTE(SUBSTITUTE(INDEX(Dashboard!$D$6:$D$228,C109+1)," ",""),",","x,x")&amp;"x"))</f>
        <v>-</v>
      </c>
      <c r="H109" s="111" t="str">
        <f ca="1">IF(D109="-","-",TRIM(INDEX(Dashboard!$E$6:$E$206,C109+1)))</f>
        <v>-</v>
      </c>
      <c r="I109" s="111" t="str">
        <f ca="1">IF(D109="-","-",IF(LEN(INDEX(Dashboard!$F$6:$F$206,C109+1))=0,$BS$8,IF(ISERROR(MATCH(INDEX(Dashboard!$F$6:$F$206,C109+1),$BS$7:$BS$35,0)),$BS$8,INDEX(Dashboard!$F$6:$F$206,C109+1))))</f>
        <v>-</v>
      </c>
      <c r="J109" s="111" t="str">
        <f ca="1">IF(D109="-","-",SUBSTITUTE(INDEX(Dashboard!$G$6:$G$206,C109+1)," ",""))</f>
        <v>-</v>
      </c>
      <c r="K109" s="111" t="str">
        <f ca="1">IF(D109="-","-",IF(LEN(INDEX(Dashboard!$H$6:$H$206,C109+1))=0,"",INDEX(Dashboard!$H$6:$H$206,C109+1)))</f>
        <v>-</v>
      </c>
      <c r="M109" s="172" t="str">
        <f t="shared" ca="1" si="852"/>
        <v>-</v>
      </c>
      <c r="N109" s="172" t="str">
        <f t="shared" ca="1" si="852"/>
        <v>-</v>
      </c>
      <c r="O109" s="172" t="str">
        <f t="shared" ca="1" si="852"/>
        <v>-</v>
      </c>
      <c r="P109" s="173" t="str">
        <f t="shared" ca="1" si="817"/>
        <v>-</v>
      </c>
      <c r="Q109" s="172" t="str">
        <f t="shared" ca="1" si="817"/>
        <v>-</v>
      </c>
      <c r="R109" s="172" t="str">
        <f t="shared" ca="1" si="817"/>
        <v>-</v>
      </c>
      <c r="S109" s="174" t="str">
        <f t="array" aca="1" ref="S109" ca="1">IF($D109="-","-",SUM(IF(LEN(M109:O109)&gt;0,1,0)))</f>
        <v>-</v>
      </c>
      <c r="T109" s="175" t="str">
        <f t="array" aca="1" ref="T109" ca="1">IF(D109="-","-",SUM(IF(ISERROR(SEARCH(E109,$G$7:$G$206)),0,1)))</f>
        <v>-</v>
      </c>
      <c r="V109" s="204"/>
      <c r="W109" s="127"/>
      <c r="X109" s="177" t="str">
        <f t="shared" si="565"/>
        <v>-</v>
      </c>
      <c r="Y109" s="178"/>
      <c r="Z109" s="127"/>
      <c r="AB109" s="179" t="str">
        <f t="shared" ca="1" si="818"/>
        <v>-</v>
      </c>
      <c r="AC109" s="179" t="str">
        <f t="shared" ca="1" si="818"/>
        <v>-</v>
      </c>
      <c r="AD109" s="179" t="str">
        <f t="shared" ca="1" si="818"/>
        <v>-</v>
      </c>
      <c r="AJ109" s="181" t="str">
        <f t="shared" ca="1" si="550"/>
        <v>-</v>
      </c>
      <c r="AK109" s="179" t="str">
        <f t="shared" ca="1" si="551"/>
        <v>-</v>
      </c>
      <c r="AL109" s="179" t="str">
        <f t="shared" ca="1" si="551"/>
        <v>-</v>
      </c>
      <c r="AM109" s="179" t="str">
        <f t="shared" ca="1" si="551"/>
        <v>-</v>
      </c>
      <c r="AO109" s="182" t="str">
        <f t="shared" ca="1" si="819"/>
        <v>-</v>
      </c>
      <c r="AP109" s="182" t="str">
        <f t="shared" ca="1" si="819"/>
        <v>-</v>
      </c>
      <c r="AQ109" s="182" t="str">
        <f t="shared" ca="1" si="819"/>
        <v>-</v>
      </c>
      <c r="AU109" s="185" t="str">
        <f t="shared" ref="AU109" ca="1" si="870">IF($D109="-","-",IF(LEN(M109)=0,"", INDEX($AT$7:$AT$15,MATCH(IF($V109-INDEX(GridXRange,P109)&lt;0,"Negative",IF($V109-INDEX(GridXRange,P109)&gt;0,"Positive","Zero")) &amp; " - " &amp;IF($W109-INDEX(GridYRange,P109)&lt;0,"Negative",IF($W109-INDEX(GridYRange,P109)&gt;0,"Positive","Zero")),$AS$7:$AS$15,0))))</f>
        <v>-</v>
      </c>
      <c r="AV109" s="186" t="str">
        <f t="shared" ref="AV109" ca="1" si="871">IF($D109="-","-",IF(LEN(N109)=0,"", INDEX($AT$7:$AT$15,MATCH(IF($V109-INDEX(GridXRange,Q109)&lt;0,"Negative",IF($V109-INDEX(GridXRange,Q109)&gt;0,"Positive","Zero")) &amp; " - " &amp;IF($W109-INDEX(GridYRange,Q109)&lt;0,"Negative",IF($W109-INDEX(GridYRange,Q109)&gt;0,"Positive","Zero")),$AS$7:$AS$15,0))))</f>
        <v>-</v>
      </c>
      <c r="AW109" s="186" t="str">
        <f t="shared" ref="AW109" ca="1" si="872">IF($D109="-","-",IF(LEN(O109)=0,"", INDEX($AT$7:$AT$15,MATCH(IF($V109-INDEX(GridXRange,R109)&lt;0,"Negative",IF($V109-INDEX(GridXRange,R109)&gt;0,"Positive","Zero")) &amp; " - " &amp;IF($W109-INDEX(GridYRange,R109)&lt;0,"Negative",IF($W109-INDEX(GridYRange,R109)&gt;0,"Positive","Zero")),$AS$7:$AS$15,0))))</f>
        <v>-</v>
      </c>
      <c r="AX109" s="187"/>
      <c r="AY109" s="188"/>
      <c r="AZ109" s="188"/>
      <c r="BA109" s="184"/>
      <c r="BB109" s="187" t="str">
        <f t="shared" ca="1" si="856"/>
        <v>-</v>
      </c>
      <c r="BC109" s="188" t="str">
        <f t="shared" ca="1" si="856"/>
        <v>-</v>
      </c>
      <c r="BD109" s="188" t="str">
        <f t="shared" ca="1" si="856"/>
        <v>-</v>
      </c>
      <c r="BE109" s="189" t="str">
        <f t="shared" ca="1" si="856"/>
        <v>-</v>
      </c>
      <c r="BK109" s="192" t="str">
        <f t="shared" ref="BK109" ca="1" si="873">IF($D109="-","-",$BK$5 + (V109-StartGridX) * (GapXDiff + $BW$7))</f>
        <v>-</v>
      </c>
      <c r="BL109" s="192" t="str">
        <f t="shared" ref="BL109" ca="1" si="874">IF($D109="-","-",$BL$5 + (W109-StartGridY) * (GapYDiff + $BV$7))</f>
        <v>-</v>
      </c>
      <c r="BM109" s="192" t="str">
        <f t="shared" ca="1" si="558"/>
        <v>-</v>
      </c>
      <c r="BN109" s="192" t="str">
        <f t="shared" ca="1" si="559"/>
        <v>-</v>
      </c>
      <c r="BO109" s="192" t="str">
        <f t="shared" ca="1" si="560"/>
        <v>-</v>
      </c>
      <c r="BP109" s="192" t="str">
        <f t="shared" ca="1" si="561"/>
        <v>-</v>
      </c>
      <c r="BQ109" s="192" t="str">
        <f ca="1">IF($D109="-","-",IF(LEN(K109)=0,1,IFERROR(MATCH(K109,Dashboard!$L$25:$L$31,0),1)))</f>
        <v>-</v>
      </c>
      <c r="CC109" s="143" t="str">
        <f t="shared" ref="CC109" ca="1" si="875">IF($D109="-","-",IF(COUNTIF(IDSourceRange,E109)&gt;1,1,0))</f>
        <v>-</v>
      </c>
      <c r="CD109" s="143" t="str">
        <f t="shared" ref="CD109" ca="1" si="876">IF($D109="-","-",  IF(LEN(M109)=0,0,IF(ISERROR(MATCH(M109,IDSourceRange,0)),1,0)) + IF(LEN(N109)=0,0,IF(ISERROR(MATCH(N109,IDSourceRange,0)),1,0)) + IF(LEN(O109)=0,0,IF(ISERROR(MATCH(O109,IDSourceRange,0)),1,0)) )</f>
        <v>-</v>
      </c>
      <c r="CE109" s="143" t="str">
        <f t="shared" ca="1" si="589"/>
        <v>-</v>
      </c>
      <c r="CF109" s="143" t="s">
        <v>128</v>
      </c>
      <c r="CG109" s="143" t="str">
        <f t="shared" ref="CG109" ca="1" si="877">IF($D109="-","-",IF(X109="-",0,IF(COUNTIF(GridCombinedRange,X109)&gt;1,1,0)))</f>
        <v>-</v>
      </c>
      <c r="CH109" s="143"/>
      <c r="CI109" s="143"/>
      <c r="CJ109" s="143"/>
      <c r="CK109" s="143"/>
      <c r="CL109" s="143"/>
    </row>
    <row r="110" spans="3:90" x14ac:dyDescent="0.3">
      <c r="C110" s="170">
        <v>104</v>
      </c>
      <c r="D110" s="111" t="str">
        <f ca="1">IF(COUNTA(OFFSET(Dashboard!$B$6,C110,0,1,COUNTA(Dashboard!$B$6:$H$6)))&gt;0,"Yes","-")</f>
        <v>-</v>
      </c>
      <c r="E110" s="170" t="str">
        <f ca="1">IF(D110="-","-",IF(LEN(INDEX(Dashboard!B$6:B$206,$C110+1))=0,"x"&amp;C110&amp;"x","x"&amp;INDEX(Dashboard!B$6:B$206,$C110+1)&amp;"x"))</f>
        <v>-</v>
      </c>
      <c r="F110" s="171" t="str">
        <f ca="1">IF(D110="-","-",IF(LEN(INDEX(Dashboard!$C$6:$C$206,C110+1))=0," ",INDEX(Dashboard!$C$6:$C$206,C110+1)))</f>
        <v>-</v>
      </c>
      <c r="G110" s="219" t="str">
        <f ca="1">IF(OR(D110="-",D110=""),"-",IF(LEN(INDEX(Dashboard!$D$6:$D$228,C110+1))=0,"", "x"&amp;SUBSTITUTE(SUBSTITUTE(INDEX(Dashboard!$D$6:$D$228,C110+1)," ",""),",","x,x")&amp;"x"))</f>
        <v>-</v>
      </c>
      <c r="H110" s="111" t="str">
        <f ca="1">IF(D110="-","-",TRIM(INDEX(Dashboard!$E$6:$E$206,C110+1)))</f>
        <v>-</v>
      </c>
      <c r="I110" s="111" t="str">
        <f ca="1">IF(D110="-","-",IF(LEN(INDEX(Dashboard!$F$6:$F$206,C110+1))=0,$BS$8,IF(ISERROR(MATCH(INDEX(Dashboard!$F$6:$F$206,C110+1),$BS$7:$BS$35,0)),$BS$8,INDEX(Dashboard!$F$6:$F$206,C110+1))))</f>
        <v>-</v>
      </c>
      <c r="J110" s="111" t="str">
        <f ca="1">IF(D110="-","-",SUBSTITUTE(INDEX(Dashboard!$G$6:$G$206,C110+1)," ",""))</f>
        <v>-</v>
      </c>
      <c r="K110" s="111" t="str">
        <f ca="1">IF(D110="-","-",IF(LEN(INDEX(Dashboard!$H$6:$H$206,C110+1))=0,"",INDEX(Dashboard!$H$6:$H$206,C110+1)))</f>
        <v>-</v>
      </c>
      <c r="M110" s="172" t="str">
        <f t="shared" ca="1" si="852"/>
        <v>-</v>
      </c>
      <c r="N110" s="172" t="str">
        <f t="shared" ca="1" si="852"/>
        <v>-</v>
      </c>
      <c r="O110" s="172" t="str">
        <f t="shared" ca="1" si="852"/>
        <v>-</v>
      </c>
      <c r="P110" s="173" t="str">
        <f t="shared" ca="1" si="817"/>
        <v>-</v>
      </c>
      <c r="Q110" s="172" t="str">
        <f t="shared" ca="1" si="817"/>
        <v>-</v>
      </c>
      <c r="R110" s="172" t="str">
        <f t="shared" ca="1" si="817"/>
        <v>-</v>
      </c>
      <c r="S110" s="174" t="str">
        <f t="array" aca="1" ref="S110" ca="1">IF($D110="-","-",SUM(IF(LEN(M110:O110)&gt;0,1,0)))</f>
        <v>-</v>
      </c>
      <c r="T110" s="175" t="str">
        <f t="array" aca="1" ref="T110" ca="1">IF(D110="-","-",SUM(IF(ISERROR(SEARCH(E110,$G$7:$G$206)),0,1)))</f>
        <v>-</v>
      </c>
      <c r="V110" s="204"/>
      <c r="W110" s="127"/>
      <c r="X110" s="177" t="str">
        <f t="shared" si="565"/>
        <v>-</v>
      </c>
      <c r="Y110" s="178"/>
      <c r="Z110" s="127"/>
      <c r="AB110" s="179" t="str">
        <f t="shared" ca="1" si="818"/>
        <v>-</v>
      </c>
      <c r="AC110" s="179" t="str">
        <f t="shared" ca="1" si="818"/>
        <v>-</v>
      </c>
      <c r="AD110" s="179" t="str">
        <f t="shared" ca="1" si="818"/>
        <v>-</v>
      </c>
      <c r="AJ110" s="181" t="str">
        <f t="shared" ca="1" si="550"/>
        <v>-</v>
      </c>
      <c r="AK110" s="179" t="str">
        <f t="shared" ca="1" si="551"/>
        <v>-</v>
      </c>
      <c r="AL110" s="179" t="str">
        <f t="shared" ca="1" si="551"/>
        <v>-</v>
      </c>
      <c r="AM110" s="179" t="str">
        <f t="shared" ca="1" si="551"/>
        <v>-</v>
      </c>
      <c r="AO110" s="182" t="str">
        <f t="shared" ca="1" si="819"/>
        <v>-</v>
      </c>
      <c r="AP110" s="182" t="str">
        <f t="shared" ca="1" si="819"/>
        <v>-</v>
      </c>
      <c r="AQ110" s="182" t="str">
        <f t="shared" ca="1" si="819"/>
        <v>-</v>
      </c>
      <c r="AU110" s="185" t="str">
        <f t="shared" ref="AU110" ca="1" si="878">IF($D110="-","-",IF(LEN(M110)=0,"", INDEX($AT$7:$AT$15,MATCH(IF($V110-INDEX(GridXRange,P110)&lt;0,"Negative",IF($V110-INDEX(GridXRange,P110)&gt;0,"Positive","Zero")) &amp; " - " &amp;IF($W110-INDEX(GridYRange,P110)&lt;0,"Negative",IF($W110-INDEX(GridYRange,P110)&gt;0,"Positive","Zero")),$AS$7:$AS$15,0))))</f>
        <v>-</v>
      </c>
      <c r="AV110" s="186" t="str">
        <f t="shared" ref="AV110" ca="1" si="879">IF($D110="-","-",IF(LEN(N110)=0,"", INDEX($AT$7:$AT$15,MATCH(IF($V110-INDEX(GridXRange,Q110)&lt;0,"Negative",IF($V110-INDEX(GridXRange,Q110)&gt;0,"Positive","Zero")) &amp; " - " &amp;IF($W110-INDEX(GridYRange,Q110)&lt;0,"Negative",IF($W110-INDEX(GridYRange,Q110)&gt;0,"Positive","Zero")),$AS$7:$AS$15,0))))</f>
        <v>-</v>
      </c>
      <c r="AW110" s="186" t="str">
        <f t="shared" ref="AW110" ca="1" si="880">IF($D110="-","-",IF(LEN(O110)=0,"", INDEX($AT$7:$AT$15,MATCH(IF($V110-INDEX(GridXRange,R110)&lt;0,"Negative",IF($V110-INDEX(GridXRange,R110)&gt;0,"Positive","Zero")) &amp; " - " &amp;IF($W110-INDEX(GridYRange,R110)&lt;0,"Negative",IF($W110-INDEX(GridYRange,R110)&gt;0,"Positive","Zero")),$AS$7:$AS$15,0))))</f>
        <v>-</v>
      </c>
      <c r="AX110" s="187"/>
      <c r="AY110" s="188"/>
      <c r="AZ110" s="188"/>
      <c r="BA110" s="184"/>
      <c r="BB110" s="187" t="str">
        <f t="shared" ca="1" si="856"/>
        <v>-</v>
      </c>
      <c r="BC110" s="188" t="str">
        <f t="shared" ca="1" si="856"/>
        <v>-</v>
      </c>
      <c r="BD110" s="188" t="str">
        <f t="shared" ca="1" si="856"/>
        <v>-</v>
      </c>
      <c r="BE110" s="189" t="str">
        <f t="shared" ca="1" si="856"/>
        <v>-</v>
      </c>
      <c r="BK110" s="192" t="str">
        <f t="shared" ref="BK110" ca="1" si="881">IF($D110="-","-",$BK$5 + (V110-StartGridX) * (GapXDiff + $BW$7))</f>
        <v>-</v>
      </c>
      <c r="BL110" s="192" t="str">
        <f t="shared" ref="BL110" ca="1" si="882">IF($D110="-","-",$BL$5 + (W110-StartGridY) * (GapYDiff + $BV$7))</f>
        <v>-</v>
      </c>
      <c r="BM110" s="192" t="str">
        <f t="shared" ca="1" si="558"/>
        <v>-</v>
      </c>
      <c r="BN110" s="192" t="str">
        <f t="shared" ca="1" si="559"/>
        <v>-</v>
      </c>
      <c r="BO110" s="192" t="str">
        <f t="shared" ca="1" si="560"/>
        <v>-</v>
      </c>
      <c r="BP110" s="192" t="str">
        <f t="shared" ca="1" si="561"/>
        <v>-</v>
      </c>
      <c r="BQ110" s="192" t="str">
        <f ca="1">IF($D110="-","-",IF(LEN(K110)=0,1,IFERROR(MATCH(K110,Dashboard!$L$25:$L$31,0),1)))</f>
        <v>-</v>
      </c>
      <c r="CC110" s="143" t="str">
        <f t="shared" ref="CC110" ca="1" si="883">IF($D110="-","-",IF(COUNTIF(IDSourceRange,E110)&gt;1,1,0))</f>
        <v>-</v>
      </c>
      <c r="CD110" s="143" t="str">
        <f t="shared" ref="CD110" ca="1" si="884">IF($D110="-","-",  IF(LEN(M110)=0,0,IF(ISERROR(MATCH(M110,IDSourceRange,0)),1,0)) + IF(LEN(N110)=0,0,IF(ISERROR(MATCH(N110,IDSourceRange,0)),1,0)) + IF(LEN(O110)=0,0,IF(ISERROR(MATCH(O110,IDSourceRange,0)),1,0)) )</f>
        <v>-</v>
      </c>
      <c r="CE110" s="143" t="str">
        <f t="shared" ca="1" si="589"/>
        <v>-</v>
      </c>
      <c r="CF110" s="143" t="s">
        <v>128</v>
      </c>
      <c r="CG110" s="143" t="str">
        <f t="shared" ref="CG110" ca="1" si="885">IF($D110="-","-",IF(X110="-",0,IF(COUNTIF(GridCombinedRange,X110)&gt;1,1,0)))</f>
        <v>-</v>
      </c>
      <c r="CH110" s="143"/>
      <c r="CI110" s="143"/>
      <c r="CJ110" s="143"/>
      <c r="CK110" s="143"/>
      <c r="CL110" s="143"/>
    </row>
    <row r="111" spans="3:90" x14ac:dyDescent="0.3">
      <c r="C111" s="170">
        <v>105</v>
      </c>
      <c r="D111" s="111" t="str">
        <f ca="1">IF(COUNTA(OFFSET(Dashboard!$B$6,C111,0,1,COUNTA(Dashboard!$B$6:$H$6)))&gt;0,"Yes","-")</f>
        <v>-</v>
      </c>
      <c r="E111" s="170" t="str">
        <f ca="1">IF(D111="-","-",IF(LEN(INDEX(Dashboard!B$6:B$206,$C111+1))=0,"x"&amp;C111&amp;"x","x"&amp;INDEX(Dashboard!B$6:B$206,$C111+1)&amp;"x"))</f>
        <v>-</v>
      </c>
      <c r="F111" s="171" t="str">
        <f ca="1">IF(D111="-","-",IF(LEN(INDEX(Dashboard!$C$6:$C$206,C111+1))=0," ",INDEX(Dashboard!$C$6:$C$206,C111+1)))</f>
        <v>-</v>
      </c>
      <c r="G111" s="219" t="str">
        <f ca="1">IF(OR(D111="-",D111=""),"-",IF(LEN(INDEX(Dashboard!$D$6:$D$228,C111+1))=0,"", "x"&amp;SUBSTITUTE(SUBSTITUTE(INDEX(Dashboard!$D$6:$D$228,C111+1)," ",""),",","x,x")&amp;"x"))</f>
        <v>-</v>
      </c>
      <c r="H111" s="111" t="str">
        <f ca="1">IF(D111="-","-",TRIM(INDEX(Dashboard!$E$6:$E$206,C111+1)))</f>
        <v>-</v>
      </c>
      <c r="I111" s="111" t="str">
        <f ca="1">IF(D111="-","-",IF(LEN(INDEX(Dashboard!$F$6:$F$206,C111+1))=0,$BS$8,IF(ISERROR(MATCH(INDEX(Dashboard!$F$6:$F$206,C111+1),$BS$7:$BS$35,0)),$BS$8,INDEX(Dashboard!$F$6:$F$206,C111+1))))</f>
        <v>-</v>
      </c>
      <c r="J111" s="111" t="str">
        <f ca="1">IF(D111="-","-",SUBSTITUTE(INDEX(Dashboard!$G$6:$G$206,C111+1)," ",""))</f>
        <v>-</v>
      </c>
      <c r="K111" s="111" t="str">
        <f ca="1">IF(D111="-","-",IF(LEN(INDEX(Dashboard!$H$6:$H$206,C111+1))=0,"",INDEX(Dashboard!$H$6:$H$206,C111+1)))</f>
        <v>-</v>
      </c>
      <c r="M111" s="172" t="str">
        <f t="shared" ca="1" si="852"/>
        <v>-</v>
      </c>
      <c r="N111" s="172" t="str">
        <f t="shared" ca="1" si="852"/>
        <v>-</v>
      </c>
      <c r="O111" s="172" t="str">
        <f t="shared" ca="1" si="852"/>
        <v>-</v>
      </c>
      <c r="P111" s="173" t="str">
        <f t="shared" ca="1" si="817"/>
        <v>-</v>
      </c>
      <c r="Q111" s="172" t="str">
        <f t="shared" ca="1" si="817"/>
        <v>-</v>
      </c>
      <c r="R111" s="172" t="str">
        <f t="shared" ca="1" si="817"/>
        <v>-</v>
      </c>
      <c r="S111" s="174" t="str">
        <f t="array" aca="1" ref="S111" ca="1">IF($D111="-","-",SUM(IF(LEN(M111:O111)&gt;0,1,0)))</f>
        <v>-</v>
      </c>
      <c r="T111" s="175" t="str">
        <f t="array" aca="1" ref="T111" ca="1">IF(D111="-","-",SUM(IF(ISERROR(SEARCH(E111,$G$7:$G$206)),0,1)))</f>
        <v>-</v>
      </c>
      <c r="V111" s="204"/>
      <c r="W111" s="127"/>
      <c r="X111" s="177" t="str">
        <f t="shared" si="565"/>
        <v>-</v>
      </c>
      <c r="Y111" s="178"/>
      <c r="Z111" s="127"/>
      <c r="AB111" s="179" t="str">
        <f t="shared" ca="1" si="818"/>
        <v>-</v>
      </c>
      <c r="AC111" s="179" t="str">
        <f t="shared" ca="1" si="818"/>
        <v>-</v>
      </c>
      <c r="AD111" s="179" t="str">
        <f t="shared" ca="1" si="818"/>
        <v>-</v>
      </c>
      <c r="AJ111" s="181" t="str">
        <f t="shared" ca="1" si="550"/>
        <v>-</v>
      </c>
      <c r="AK111" s="179" t="str">
        <f t="shared" ca="1" si="551"/>
        <v>-</v>
      </c>
      <c r="AL111" s="179" t="str">
        <f t="shared" ca="1" si="551"/>
        <v>-</v>
      </c>
      <c r="AM111" s="179" t="str">
        <f t="shared" ca="1" si="551"/>
        <v>-</v>
      </c>
      <c r="AO111" s="182" t="str">
        <f t="shared" ca="1" si="819"/>
        <v>-</v>
      </c>
      <c r="AP111" s="182" t="str">
        <f t="shared" ca="1" si="819"/>
        <v>-</v>
      </c>
      <c r="AQ111" s="182" t="str">
        <f t="shared" ca="1" si="819"/>
        <v>-</v>
      </c>
      <c r="AU111" s="185" t="str">
        <f t="shared" ref="AU111" ca="1" si="886">IF($D111="-","-",IF(LEN(M111)=0,"", INDEX($AT$7:$AT$15,MATCH(IF($V111-INDEX(GridXRange,P111)&lt;0,"Negative",IF($V111-INDEX(GridXRange,P111)&gt;0,"Positive","Zero")) &amp; " - " &amp;IF($W111-INDEX(GridYRange,P111)&lt;0,"Negative",IF($W111-INDEX(GridYRange,P111)&gt;0,"Positive","Zero")),$AS$7:$AS$15,0))))</f>
        <v>-</v>
      </c>
      <c r="AV111" s="186" t="str">
        <f t="shared" ref="AV111" ca="1" si="887">IF($D111="-","-",IF(LEN(N111)=0,"", INDEX($AT$7:$AT$15,MATCH(IF($V111-INDEX(GridXRange,Q111)&lt;0,"Negative",IF($V111-INDEX(GridXRange,Q111)&gt;0,"Positive","Zero")) &amp; " - " &amp;IF($W111-INDEX(GridYRange,Q111)&lt;0,"Negative",IF($W111-INDEX(GridYRange,Q111)&gt;0,"Positive","Zero")),$AS$7:$AS$15,0))))</f>
        <v>-</v>
      </c>
      <c r="AW111" s="186" t="str">
        <f t="shared" ref="AW111" ca="1" si="888">IF($D111="-","-",IF(LEN(O111)=0,"", INDEX($AT$7:$AT$15,MATCH(IF($V111-INDEX(GridXRange,R111)&lt;0,"Negative",IF($V111-INDEX(GridXRange,R111)&gt;0,"Positive","Zero")) &amp; " - " &amp;IF($W111-INDEX(GridYRange,R111)&lt;0,"Negative",IF($W111-INDEX(GridYRange,R111)&gt;0,"Positive","Zero")),$AS$7:$AS$15,0))))</f>
        <v>-</v>
      </c>
      <c r="AX111" s="187"/>
      <c r="AY111" s="188"/>
      <c r="AZ111" s="188"/>
      <c r="BA111" s="184"/>
      <c r="BB111" s="187" t="str">
        <f t="shared" ca="1" si="856"/>
        <v>-</v>
      </c>
      <c r="BC111" s="188" t="str">
        <f t="shared" ca="1" si="856"/>
        <v>-</v>
      </c>
      <c r="BD111" s="188" t="str">
        <f t="shared" ca="1" si="856"/>
        <v>-</v>
      </c>
      <c r="BE111" s="189" t="str">
        <f t="shared" ca="1" si="856"/>
        <v>-</v>
      </c>
      <c r="BK111" s="192" t="str">
        <f t="shared" ref="BK111" ca="1" si="889">IF($D111="-","-",$BK$5 + (V111-StartGridX) * (GapXDiff + $BW$7))</f>
        <v>-</v>
      </c>
      <c r="BL111" s="192" t="str">
        <f t="shared" ref="BL111" ca="1" si="890">IF($D111="-","-",$BL$5 + (W111-StartGridY) * (GapYDiff + $BV$7))</f>
        <v>-</v>
      </c>
      <c r="BM111" s="192" t="str">
        <f t="shared" ca="1" si="558"/>
        <v>-</v>
      </c>
      <c r="BN111" s="192" t="str">
        <f t="shared" ca="1" si="559"/>
        <v>-</v>
      </c>
      <c r="BO111" s="192" t="str">
        <f t="shared" ca="1" si="560"/>
        <v>-</v>
      </c>
      <c r="BP111" s="192" t="str">
        <f t="shared" ca="1" si="561"/>
        <v>-</v>
      </c>
      <c r="BQ111" s="192" t="str">
        <f ca="1">IF($D111="-","-",IF(LEN(K111)=0,1,IFERROR(MATCH(K111,Dashboard!$L$25:$L$31,0),1)))</f>
        <v>-</v>
      </c>
      <c r="CC111" s="143" t="str">
        <f t="shared" ref="CC111" ca="1" si="891">IF($D111="-","-",IF(COUNTIF(IDSourceRange,E111)&gt;1,1,0))</f>
        <v>-</v>
      </c>
      <c r="CD111" s="143" t="str">
        <f t="shared" ref="CD111" ca="1" si="892">IF($D111="-","-",  IF(LEN(M111)=0,0,IF(ISERROR(MATCH(M111,IDSourceRange,0)),1,0)) + IF(LEN(N111)=0,0,IF(ISERROR(MATCH(N111,IDSourceRange,0)),1,0)) + IF(LEN(O111)=0,0,IF(ISERROR(MATCH(O111,IDSourceRange,0)),1,0)) )</f>
        <v>-</v>
      </c>
      <c r="CE111" s="143" t="str">
        <f t="shared" ca="1" si="589"/>
        <v>-</v>
      </c>
      <c r="CF111" s="143" t="s">
        <v>128</v>
      </c>
      <c r="CG111" s="143" t="str">
        <f t="shared" ref="CG111" ca="1" si="893">IF($D111="-","-",IF(X111="-",0,IF(COUNTIF(GridCombinedRange,X111)&gt;1,1,0)))</f>
        <v>-</v>
      </c>
      <c r="CH111" s="143"/>
      <c r="CI111" s="143"/>
      <c r="CJ111" s="143"/>
      <c r="CK111" s="143"/>
      <c r="CL111" s="143"/>
    </row>
    <row r="112" spans="3:90" x14ac:dyDescent="0.3">
      <c r="C112" s="170">
        <v>106</v>
      </c>
      <c r="D112" s="111" t="str">
        <f ca="1">IF(COUNTA(OFFSET(Dashboard!$B$6,C112,0,1,COUNTA(Dashboard!$B$6:$H$6)))&gt;0,"Yes","-")</f>
        <v>-</v>
      </c>
      <c r="E112" s="170" t="str">
        <f ca="1">IF(D112="-","-",IF(LEN(INDEX(Dashboard!B$6:B$206,$C112+1))=0,"x"&amp;C112&amp;"x","x"&amp;INDEX(Dashboard!B$6:B$206,$C112+1)&amp;"x"))</f>
        <v>-</v>
      </c>
      <c r="F112" s="171" t="str">
        <f ca="1">IF(D112="-","-",IF(LEN(INDEX(Dashboard!$C$6:$C$206,C112+1))=0," ",INDEX(Dashboard!$C$6:$C$206,C112+1)))</f>
        <v>-</v>
      </c>
      <c r="G112" s="219" t="str">
        <f ca="1">IF(OR(D112="-",D112=""),"-",IF(LEN(INDEX(Dashboard!$D$6:$D$228,C112+1))=0,"", "x"&amp;SUBSTITUTE(SUBSTITUTE(INDEX(Dashboard!$D$6:$D$228,C112+1)," ",""),",","x,x")&amp;"x"))</f>
        <v>-</v>
      </c>
      <c r="H112" s="111" t="str">
        <f ca="1">IF(D112="-","-",TRIM(INDEX(Dashboard!$E$6:$E$206,C112+1)))</f>
        <v>-</v>
      </c>
      <c r="I112" s="111" t="str">
        <f ca="1">IF(D112="-","-",IF(LEN(INDEX(Dashboard!$F$6:$F$206,C112+1))=0,$BS$8,IF(ISERROR(MATCH(INDEX(Dashboard!$F$6:$F$206,C112+1),$BS$7:$BS$35,0)),$BS$8,INDEX(Dashboard!$F$6:$F$206,C112+1))))</f>
        <v>-</v>
      </c>
      <c r="J112" s="111" t="str">
        <f ca="1">IF(D112="-","-",SUBSTITUTE(INDEX(Dashboard!$G$6:$G$206,C112+1)," ",""))</f>
        <v>-</v>
      </c>
      <c r="K112" s="111" t="str">
        <f ca="1">IF(D112="-","-",IF(LEN(INDEX(Dashboard!$H$6:$H$206,C112+1))=0,"",INDEX(Dashboard!$H$6:$H$206,C112+1)))</f>
        <v>-</v>
      </c>
      <c r="M112" s="172" t="str">
        <f t="shared" ca="1" si="852"/>
        <v>-</v>
      </c>
      <c r="N112" s="172" t="str">
        <f t="shared" ca="1" si="852"/>
        <v>-</v>
      </c>
      <c r="O112" s="172" t="str">
        <f t="shared" ca="1" si="852"/>
        <v>-</v>
      </c>
      <c r="P112" s="173" t="str">
        <f t="shared" ca="1" si="817"/>
        <v>-</v>
      </c>
      <c r="Q112" s="172" t="str">
        <f t="shared" ca="1" si="817"/>
        <v>-</v>
      </c>
      <c r="R112" s="172" t="str">
        <f t="shared" ca="1" si="817"/>
        <v>-</v>
      </c>
      <c r="S112" s="174" t="str">
        <f t="array" aca="1" ref="S112" ca="1">IF($D112="-","-",SUM(IF(LEN(M112:O112)&gt;0,1,0)))</f>
        <v>-</v>
      </c>
      <c r="T112" s="175" t="str">
        <f t="array" aca="1" ref="T112" ca="1">IF(D112="-","-",SUM(IF(ISERROR(SEARCH(E112,$G$7:$G$206)),0,1)))</f>
        <v>-</v>
      </c>
      <c r="V112" s="204"/>
      <c r="W112" s="127"/>
      <c r="X112" s="177" t="str">
        <f t="shared" si="565"/>
        <v>-</v>
      </c>
      <c r="Y112" s="178"/>
      <c r="Z112" s="127"/>
      <c r="AB112" s="179" t="str">
        <f t="shared" ca="1" si="818"/>
        <v>-</v>
      </c>
      <c r="AC112" s="179" t="str">
        <f t="shared" ca="1" si="818"/>
        <v>-</v>
      </c>
      <c r="AD112" s="179" t="str">
        <f t="shared" ca="1" si="818"/>
        <v>-</v>
      </c>
      <c r="AJ112" s="181" t="str">
        <f t="shared" ca="1" si="550"/>
        <v>-</v>
      </c>
      <c r="AK112" s="179" t="str">
        <f t="shared" ca="1" si="551"/>
        <v>-</v>
      </c>
      <c r="AL112" s="179" t="str">
        <f t="shared" ca="1" si="551"/>
        <v>-</v>
      </c>
      <c r="AM112" s="179" t="str">
        <f t="shared" ca="1" si="551"/>
        <v>-</v>
      </c>
      <c r="AO112" s="182" t="str">
        <f t="shared" ca="1" si="819"/>
        <v>-</v>
      </c>
      <c r="AP112" s="182" t="str">
        <f t="shared" ca="1" si="819"/>
        <v>-</v>
      </c>
      <c r="AQ112" s="182" t="str">
        <f t="shared" ca="1" si="819"/>
        <v>-</v>
      </c>
      <c r="AU112" s="185" t="str">
        <f t="shared" ref="AU112" ca="1" si="894">IF($D112="-","-",IF(LEN(M112)=0,"", INDEX($AT$7:$AT$15,MATCH(IF($V112-INDEX(GridXRange,P112)&lt;0,"Negative",IF($V112-INDEX(GridXRange,P112)&gt;0,"Positive","Zero")) &amp; " - " &amp;IF($W112-INDEX(GridYRange,P112)&lt;0,"Negative",IF($W112-INDEX(GridYRange,P112)&gt;0,"Positive","Zero")),$AS$7:$AS$15,0))))</f>
        <v>-</v>
      </c>
      <c r="AV112" s="186" t="str">
        <f t="shared" ref="AV112" ca="1" si="895">IF($D112="-","-",IF(LEN(N112)=0,"", INDEX($AT$7:$AT$15,MATCH(IF($V112-INDEX(GridXRange,Q112)&lt;0,"Negative",IF($V112-INDEX(GridXRange,Q112)&gt;0,"Positive","Zero")) &amp; " - " &amp;IF($W112-INDEX(GridYRange,Q112)&lt;0,"Negative",IF($W112-INDEX(GridYRange,Q112)&gt;0,"Positive","Zero")),$AS$7:$AS$15,0))))</f>
        <v>-</v>
      </c>
      <c r="AW112" s="186" t="str">
        <f t="shared" ref="AW112" ca="1" si="896">IF($D112="-","-",IF(LEN(O112)=0,"", INDEX($AT$7:$AT$15,MATCH(IF($V112-INDEX(GridXRange,R112)&lt;0,"Negative",IF($V112-INDEX(GridXRange,R112)&gt;0,"Positive","Zero")) &amp; " - " &amp;IF($W112-INDEX(GridYRange,R112)&lt;0,"Negative",IF($W112-INDEX(GridYRange,R112)&gt;0,"Positive","Zero")),$AS$7:$AS$15,0))))</f>
        <v>-</v>
      </c>
      <c r="AX112" s="187"/>
      <c r="AY112" s="188"/>
      <c r="AZ112" s="188"/>
      <c r="BA112" s="184"/>
      <c r="BB112" s="187" t="str">
        <f t="shared" ca="1" si="856"/>
        <v>-</v>
      </c>
      <c r="BC112" s="188" t="str">
        <f t="shared" ca="1" si="856"/>
        <v>-</v>
      </c>
      <c r="BD112" s="188" t="str">
        <f t="shared" ca="1" si="856"/>
        <v>-</v>
      </c>
      <c r="BE112" s="189" t="str">
        <f t="shared" ca="1" si="856"/>
        <v>-</v>
      </c>
      <c r="BK112" s="192" t="str">
        <f t="shared" ref="BK112" ca="1" si="897">IF($D112="-","-",$BK$5 + (V112-StartGridX) * (GapXDiff + $BW$7))</f>
        <v>-</v>
      </c>
      <c r="BL112" s="192" t="str">
        <f t="shared" ref="BL112" ca="1" si="898">IF($D112="-","-",$BL$5 + (W112-StartGridY) * (GapYDiff + $BV$7))</f>
        <v>-</v>
      </c>
      <c r="BM112" s="192" t="str">
        <f t="shared" ca="1" si="558"/>
        <v>-</v>
      </c>
      <c r="BN112" s="192" t="str">
        <f t="shared" ca="1" si="559"/>
        <v>-</v>
      </c>
      <c r="BO112" s="192" t="str">
        <f t="shared" ca="1" si="560"/>
        <v>-</v>
      </c>
      <c r="BP112" s="192" t="str">
        <f t="shared" ca="1" si="561"/>
        <v>-</v>
      </c>
      <c r="BQ112" s="192" t="str">
        <f ca="1">IF($D112="-","-",IF(LEN(K112)=0,1,IFERROR(MATCH(K112,Dashboard!$L$25:$L$31,0),1)))</f>
        <v>-</v>
      </c>
      <c r="CC112" s="143" t="str">
        <f t="shared" ref="CC112" ca="1" si="899">IF($D112="-","-",IF(COUNTIF(IDSourceRange,E112)&gt;1,1,0))</f>
        <v>-</v>
      </c>
      <c r="CD112" s="143" t="str">
        <f t="shared" ref="CD112" ca="1" si="900">IF($D112="-","-",  IF(LEN(M112)=0,0,IF(ISERROR(MATCH(M112,IDSourceRange,0)),1,0)) + IF(LEN(N112)=0,0,IF(ISERROR(MATCH(N112,IDSourceRange,0)),1,0)) + IF(LEN(O112)=0,0,IF(ISERROR(MATCH(O112,IDSourceRange,0)),1,0)) )</f>
        <v>-</v>
      </c>
      <c r="CE112" s="143" t="str">
        <f t="shared" ca="1" si="589"/>
        <v>-</v>
      </c>
      <c r="CF112" s="143" t="s">
        <v>128</v>
      </c>
      <c r="CG112" s="143" t="str">
        <f t="shared" ref="CG112" ca="1" si="901">IF($D112="-","-",IF(X112="-",0,IF(COUNTIF(GridCombinedRange,X112)&gt;1,1,0)))</f>
        <v>-</v>
      </c>
      <c r="CH112" s="143"/>
      <c r="CI112" s="143"/>
      <c r="CJ112" s="143"/>
      <c r="CK112" s="143"/>
      <c r="CL112" s="143"/>
    </row>
    <row r="113" spans="3:90" x14ac:dyDescent="0.3">
      <c r="C113" s="170">
        <v>107</v>
      </c>
      <c r="D113" s="111" t="str">
        <f ca="1">IF(COUNTA(OFFSET(Dashboard!$B$6,C113,0,1,COUNTA(Dashboard!$B$6:$H$6)))&gt;0,"Yes","-")</f>
        <v>-</v>
      </c>
      <c r="E113" s="170" t="str">
        <f ca="1">IF(D113="-","-",IF(LEN(INDEX(Dashboard!B$6:B$206,$C113+1))=0,"x"&amp;C113&amp;"x","x"&amp;INDEX(Dashboard!B$6:B$206,$C113+1)&amp;"x"))</f>
        <v>-</v>
      </c>
      <c r="F113" s="171" t="str">
        <f ca="1">IF(D113="-","-",IF(LEN(INDEX(Dashboard!$C$6:$C$206,C113+1))=0," ",INDEX(Dashboard!$C$6:$C$206,C113+1)))</f>
        <v>-</v>
      </c>
      <c r="G113" s="219" t="str">
        <f ca="1">IF(OR(D113="-",D113=""),"-",IF(LEN(INDEX(Dashboard!$D$6:$D$228,C113+1))=0,"", "x"&amp;SUBSTITUTE(SUBSTITUTE(INDEX(Dashboard!$D$6:$D$228,C113+1)," ",""),",","x,x")&amp;"x"))</f>
        <v>-</v>
      </c>
      <c r="H113" s="111" t="str">
        <f ca="1">IF(D113="-","-",TRIM(INDEX(Dashboard!$E$6:$E$206,C113+1)))</f>
        <v>-</v>
      </c>
      <c r="I113" s="111" t="str">
        <f ca="1">IF(D113="-","-",IF(LEN(INDEX(Dashboard!$F$6:$F$206,C113+1))=0,$BS$8,IF(ISERROR(MATCH(INDEX(Dashboard!$F$6:$F$206,C113+1),$BS$7:$BS$35,0)),$BS$8,INDEX(Dashboard!$F$6:$F$206,C113+1))))</f>
        <v>-</v>
      </c>
      <c r="J113" s="111" t="str">
        <f ca="1">IF(D113="-","-",SUBSTITUTE(INDEX(Dashboard!$G$6:$G$206,C113+1)," ",""))</f>
        <v>-</v>
      </c>
      <c r="K113" s="111" t="str">
        <f ca="1">IF(D113="-","-",IF(LEN(INDEX(Dashboard!$H$6:$H$206,C113+1))=0,"",INDEX(Dashboard!$H$6:$H$206,C113+1)))</f>
        <v>-</v>
      </c>
      <c r="M113" s="172" t="str">
        <f t="shared" ca="1" si="852"/>
        <v>-</v>
      </c>
      <c r="N113" s="172" t="str">
        <f t="shared" ca="1" si="852"/>
        <v>-</v>
      </c>
      <c r="O113" s="172" t="str">
        <f t="shared" ca="1" si="852"/>
        <v>-</v>
      </c>
      <c r="P113" s="173" t="str">
        <f t="shared" ca="1" si="817"/>
        <v>-</v>
      </c>
      <c r="Q113" s="172" t="str">
        <f t="shared" ca="1" si="817"/>
        <v>-</v>
      </c>
      <c r="R113" s="172" t="str">
        <f t="shared" ca="1" si="817"/>
        <v>-</v>
      </c>
      <c r="S113" s="174" t="str">
        <f t="array" aca="1" ref="S113" ca="1">IF($D113="-","-",SUM(IF(LEN(M113:O113)&gt;0,1,0)))</f>
        <v>-</v>
      </c>
      <c r="T113" s="175" t="str">
        <f t="array" aca="1" ref="T113" ca="1">IF(D113="-","-",SUM(IF(ISERROR(SEARCH(E113,$G$7:$G$206)),0,1)))</f>
        <v>-</v>
      </c>
      <c r="V113" s="204"/>
      <c r="W113" s="127"/>
      <c r="X113" s="177" t="str">
        <f t="shared" si="565"/>
        <v>-</v>
      </c>
      <c r="Y113" s="178"/>
      <c r="Z113" s="127"/>
      <c r="AB113" s="179" t="str">
        <f t="shared" ca="1" si="818"/>
        <v>-</v>
      </c>
      <c r="AC113" s="179" t="str">
        <f t="shared" ca="1" si="818"/>
        <v>-</v>
      </c>
      <c r="AD113" s="179" t="str">
        <f t="shared" ca="1" si="818"/>
        <v>-</v>
      </c>
      <c r="AJ113" s="181" t="str">
        <f t="shared" ca="1" si="550"/>
        <v>-</v>
      </c>
      <c r="AK113" s="179" t="str">
        <f t="shared" ca="1" si="551"/>
        <v>-</v>
      </c>
      <c r="AL113" s="179" t="str">
        <f t="shared" ca="1" si="551"/>
        <v>-</v>
      </c>
      <c r="AM113" s="179" t="str">
        <f t="shared" ca="1" si="551"/>
        <v>-</v>
      </c>
      <c r="AO113" s="182" t="str">
        <f t="shared" ca="1" si="819"/>
        <v>-</v>
      </c>
      <c r="AP113" s="182" t="str">
        <f t="shared" ca="1" si="819"/>
        <v>-</v>
      </c>
      <c r="AQ113" s="182" t="str">
        <f t="shared" ca="1" si="819"/>
        <v>-</v>
      </c>
      <c r="AU113" s="185" t="str">
        <f t="shared" ref="AU113" ca="1" si="902">IF($D113="-","-",IF(LEN(M113)=0,"", INDEX($AT$7:$AT$15,MATCH(IF($V113-INDEX(GridXRange,P113)&lt;0,"Negative",IF($V113-INDEX(GridXRange,P113)&gt;0,"Positive","Zero")) &amp; " - " &amp;IF($W113-INDEX(GridYRange,P113)&lt;0,"Negative",IF($W113-INDEX(GridYRange,P113)&gt;0,"Positive","Zero")),$AS$7:$AS$15,0))))</f>
        <v>-</v>
      </c>
      <c r="AV113" s="186" t="str">
        <f t="shared" ref="AV113" ca="1" si="903">IF($D113="-","-",IF(LEN(N113)=0,"", INDEX($AT$7:$AT$15,MATCH(IF($V113-INDEX(GridXRange,Q113)&lt;0,"Negative",IF($V113-INDEX(GridXRange,Q113)&gt;0,"Positive","Zero")) &amp; " - " &amp;IF($W113-INDEX(GridYRange,Q113)&lt;0,"Negative",IF($W113-INDEX(GridYRange,Q113)&gt;0,"Positive","Zero")),$AS$7:$AS$15,0))))</f>
        <v>-</v>
      </c>
      <c r="AW113" s="186" t="str">
        <f t="shared" ref="AW113" ca="1" si="904">IF($D113="-","-",IF(LEN(O113)=0,"", INDEX($AT$7:$AT$15,MATCH(IF($V113-INDEX(GridXRange,R113)&lt;0,"Negative",IF($V113-INDEX(GridXRange,R113)&gt;0,"Positive","Zero")) &amp; " - " &amp;IF($W113-INDEX(GridYRange,R113)&lt;0,"Negative",IF($W113-INDEX(GridYRange,R113)&gt;0,"Positive","Zero")),$AS$7:$AS$15,0))))</f>
        <v>-</v>
      </c>
      <c r="AX113" s="187"/>
      <c r="AY113" s="188"/>
      <c r="AZ113" s="188"/>
      <c r="BA113" s="184"/>
      <c r="BB113" s="187" t="str">
        <f t="shared" ca="1" si="856"/>
        <v>-</v>
      </c>
      <c r="BC113" s="188" t="str">
        <f t="shared" ca="1" si="856"/>
        <v>-</v>
      </c>
      <c r="BD113" s="188" t="str">
        <f t="shared" ca="1" si="856"/>
        <v>-</v>
      </c>
      <c r="BE113" s="189" t="str">
        <f t="shared" ca="1" si="856"/>
        <v>-</v>
      </c>
      <c r="BK113" s="192" t="str">
        <f t="shared" ref="BK113" ca="1" si="905">IF($D113="-","-",$BK$5 + (V113-StartGridX) * (GapXDiff + $BW$7))</f>
        <v>-</v>
      </c>
      <c r="BL113" s="192" t="str">
        <f t="shared" ref="BL113" ca="1" si="906">IF($D113="-","-",$BL$5 + (W113-StartGridY) * (GapYDiff + $BV$7))</f>
        <v>-</v>
      </c>
      <c r="BM113" s="192" t="str">
        <f t="shared" ca="1" si="558"/>
        <v>-</v>
      </c>
      <c r="BN113" s="192" t="str">
        <f t="shared" ca="1" si="559"/>
        <v>-</v>
      </c>
      <c r="BO113" s="192" t="str">
        <f t="shared" ca="1" si="560"/>
        <v>-</v>
      </c>
      <c r="BP113" s="192" t="str">
        <f t="shared" ca="1" si="561"/>
        <v>-</v>
      </c>
      <c r="BQ113" s="192" t="str">
        <f ca="1">IF($D113="-","-",IF(LEN(K113)=0,1,IFERROR(MATCH(K113,Dashboard!$L$25:$L$31,0),1)))</f>
        <v>-</v>
      </c>
      <c r="CC113" s="143" t="str">
        <f t="shared" ref="CC113" ca="1" si="907">IF($D113="-","-",IF(COUNTIF(IDSourceRange,E113)&gt;1,1,0))</f>
        <v>-</v>
      </c>
      <c r="CD113" s="143" t="str">
        <f t="shared" ref="CD113" ca="1" si="908">IF($D113="-","-",  IF(LEN(M113)=0,0,IF(ISERROR(MATCH(M113,IDSourceRange,0)),1,0)) + IF(LEN(N113)=0,0,IF(ISERROR(MATCH(N113,IDSourceRange,0)),1,0)) + IF(LEN(O113)=0,0,IF(ISERROR(MATCH(O113,IDSourceRange,0)),1,0)) )</f>
        <v>-</v>
      </c>
      <c r="CE113" s="143" t="str">
        <f t="shared" ca="1" si="589"/>
        <v>-</v>
      </c>
      <c r="CF113" s="143" t="s">
        <v>128</v>
      </c>
      <c r="CG113" s="143" t="str">
        <f t="shared" ref="CG113" ca="1" si="909">IF($D113="-","-",IF(X113="-",0,IF(COUNTIF(GridCombinedRange,X113)&gt;1,1,0)))</f>
        <v>-</v>
      </c>
      <c r="CH113" s="143"/>
      <c r="CI113" s="143"/>
      <c r="CJ113" s="143"/>
      <c r="CK113" s="143"/>
      <c r="CL113" s="143"/>
    </row>
    <row r="114" spans="3:90" x14ac:dyDescent="0.3">
      <c r="C114" s="170">
        <v>108</v>
      </c>
      <c r="D114" s="111" t="str">
        <f ca="1">IF(COUNTA(OFFSET(Dashboard!$B$6,C114,0,1,COUNTA(Dashboard!$B$6:$H$6)))&gt;0,"Yes","-")</f>
        <v>-</v>
      </c>
      <c r="E114" s="170" t="str">
        <f ca="1">IF(D114="-","-",IF(LEN(INDEX(Dashboard!B$6:B$206,$C114+1))=0,"x"&amp;C114&amp;"x","x"&amp;INDEX(Dashboard!B$6:B$206,$C114+1)&amp;"x"))</f>
        <v>-</v>
      </c>
      <c r="F114" s="171" t="str">
        <f ca="1">IF(D114="-","-",IF(LEN(INDEX(Dashboard!$C$6:$C$206,C114+1))=0," ",INDEX(Dashboard!$C$6:$C$206,C114+1)))</f>
        <v>-</v>
      </c>
      <c r="G114" s="219" t="str">
        <f ca="1">IF(OR(D114="-",D114=""),"-",IF(LEN(INDEX(Dashboard!$D$6:$D$228,C114+1))=0,"", "x"&amp;SUBSTITUTE(SUBSTITUTE(INDEX(Dashboard!$D$6:$D$228,C114+1)," ",""),",","x,x")&amp;"x"))</f>
        <v>-</v>
      </c>
      <c r="H114" s="111" t="str">
        <f ca="1">IF(D114="-","-",TRIM(INDEX(Dashboard!$E$6:$E$206,C114+1)))</f>
        <v>-</v>
      </c>
      <c r="I114" s="111" t="str">
        <f ca="1">IF(D114="-","-",IF(LEN(INDEX(Dashboard!$F$6:$F$206,C114+1))=0,$BS$8,IF(ISERROR(MATCH(INDEX(Dashboard!$F$6:$F$206,C114+1),$BS$7:$BS$35,0)),$BS$8,INDEX(Dashboard!$F$6:$F$206,C114+1))))</f>
        <v>-</v>
      </c>
      <c r="J114" s="111" t="str">
        <f ca="1">IF(D114="-","-",SUBSTITUTE(INDEX(Dashboard!$G$6:$G$206,C114+1)," ",""))</f>
        <v>-</v>
      </c>
      <c r="K114" s="111" t="str">
        <f ca="1">IF(D114="-","-",IF(LEN(INDEX(Dashboard!$H$6:$H$206,C114+1))=0,"",INDEX(Dashboard!$H$6:$H$206,C114+1)))</f>
        <v>-</v>
      </c>
      <c r="M114" s="172" t="str">
        <f t="shared" ca="1" si="852"/>
        <v>-</v>
      </c>
      <c r="N114" s="172" t="str">
        <f t="shared" ca="1" si="852"/>
        <v>-</v>
      </c>
      <c r="O114" s="172" t="str">
        <f t="shared" ca="1" si="852"/>
        <v>-</v>
      </c>
      <c r="P114" s="173" t="str">
        <f t="shared" ca="1" si="817"/>
        <v>-</v>
      </c>
      <c r="Q114" s="172" t="str">
        <f t="shared" ca="1" si="817"/>
        <v>-</v>
      </c>
      <c r="R114" s="172" t="str">
        <f t="shared" ca="1" si="817"/>
        <v>-</v>
      </c>
      <c r="S114" s="174" t="str">
        <f t="array" aca="1" ref="S114" ca="1">IF($D114="-","-",SUM(IF(LEN(M114:O114)&gt;0,1,0)))</f>
        <v>-</v>
      </c>
      <c r="T114" s="175" t="str">
        <f t="array" aca="1" ref="T114" ca="1">IF(D114="-","-",SUM(IF(ISERROR(SEARCH(E114,$G$7:$G$206)),0,1)))</f>
        <v>-</v>
      </c>
      <c r="V114" s="204"/>
      <c r="W114" s="127"/>
      <c r="X114" s="177" t="str">
        <f t="shared" si="565"/>
        <v>-</v>
      </c>
      <c r="Y114" s="178"/>
      <c r="Z114" s="127"/>
      <c r="AB114" s="179" t="str">
        <f t="shared" ca="1" si="818"/>
        <v>-</v>
      </c>
      <c r="AC114" s="179" t="str">
        <f t="shared" ca="1" si="818"/>
        <v>-</v>
      </c>
      <c r="AD114" s="179" t="str">
        <f t="shared" ca="1" si="818"/>
        <v>-</v>
      </c>
      <c r="AJ114" s="181" t="str">
        <f t="shared" ca="1" si="550"/>
        <v>-</v>
      </c>
      <c r="AK114" s="179" t="str">
        <f t="shared" ca="1" si="551"/>
        <v>-</v>
      </c>
      <c r="AL114" s="179" t="str">
        <f t="shared" ca="1" si="551"/>
        <v>-</v>
      </c>
      <c r="AM114" s="179" t="str">
        <f t="shared" ca="1" si="551"/>
        <v>-</v>
      </c>
      <c r="AO114" s="182" t="str">
        <f t="shared" ca="1" si="819"/>
        <v>-</v>
      </c>
      <c r="AP114" s="182" t="str">
        <f t="shared" ca="1" si="819"/>
        <v>-</v>
      </c>
      <c r="AQ114" s="182" t="str">
        <f t="shared" ca="1" si="819"/>
        <v>-</v>
      </c>
      <c r="AU114" s="185" t="str">
        <f t="shared" ref="AU114" ca="1" si="910">IF($D114="-","-",IF(LEN(M114)=0,"", INDEX($AT$7:$AT$15,MATCH(IF($V114-INDEX(GridXRange,P114)&lt;0,"Negative",IF($V114-INDEX(GridXRange,P114)&gt;0,"Positive","Zero")) &amp; " - " &amp;IF($W114-INDEX(GridYRange,P114)&lt;0,"Negative",IF($W114-INDEX(GridYRange,P114)&gt;0,"Positive","Zero")),$AS$7:$AS$15,0))))</f>
        <v>-</v>
      </c>
      <c r="AV114" s="186" t="str">
        <f t="shared" ref="AV114" ca="1" si="911">IF($D114="-","-",IF(LEN(N114)=0,"", INDEX($AT$7:$AT$15,MATCH(IF($V114-INDEX(GridXRange,Q114)&lt;0,"Negative",IF($V114-INDEX(GridXRange,Q114)&gt;0,"Positive","Zero")) &amp; " - " &amp;IF($W114-INDEX(GridYRange,Q114)&lt;0,"Negative",IF($W114-INDEX(GridYRange,Q114)&gt;0,"Positive","Zero")),$AS$7:$AS$15,0))))</f>
        <v>-</v>
      </c>
      <c r="AW114" s="186" t="str">
        <f t="shared" ref="AW114" ca="1" si="912">IF($D114="-","-",IF(LEN(O114)=0,"", INDEX($AT$7:$AT$15,MATCH(IF($V114-INDEX(GridXRange,R114)&lt;0,"Negative",IF($V114-INDEX(GridXRange,R114)&gt;0,"Positive","Zero")) &amp; " - " &amp;IF($W114-INDEX(GridYRange,R114)&lt;0,"Negative",IF($W114-INDEX(GridYRange,R114)&gt;0,"Positive","Zero")),$AS$7:$AS$15,0))))</f>
        <v>-</v>
      </c>
      <c r="AX114" s="187"/>
      <c r="AY114" s="188"/>
      <c r="AZ114" s="188"/>
      <c r="BA114" s="184"/>
      <c r="BB114" s="187" t="str">
        <f t="shared" ca="1" si="856"/>
        <v>-</v>
      </c>
      <c r="BC114" s="188" t="str">
        <f t="shared" ca="1" si="856"/>
        <v>-</v>
      </c>
      <c r="BD114" s="188" t="str">
        <f t="shared" ca="1" si="856"/>
        <v>-</v>
      </c>
      <c r="BE114" s="189" t="str">
        <f t="shared" ca="1" si="856"/>
        <v>-</v>
      </c>
      <c r="BK114" s="192" t="str">
        <f t="shared" ref="BK114" ca="1" si="913">IF($D114="-","-",$BK$5 + (V114-StartGridX) * (GapXDiff + $BW$7))</f>
        <v>-</v>
      </c>
      <c r="BL114" s="192" t="str">
        <f t="shared" ref="BL114" ca="1" si="914">IF($D114="-","-",$BL$5 + (W114-StartGridY) * (GapYDiff + $BV$7))</f>
        <v>-</v>
      </c>
      <c r="BM114" s="192" t="str">
        <f t="shared" ca="1" si="558"/>
        <v>-</v>
      </c>
      <c r="BN114" s="192" t="str">
        <f t="shared" ca="1" si="559"/>
        <v>-</v>
      </c>
      <c r="BO114" s="192" t="str">
        <f t="shared" ca="1" si="560"/>
        <v>-</v>
      </c>
      <c r="BP114" s="192" t="str">
        <f t="shared" ca="1" si="561"/>
        <v>-</v>
      </c>
      <c r="BQ114" s="192" t="str">
        <f ca="1">IF($D114="-","-",IF(LEN(K114)=0,1,IFERROR(MATCH(K114,Dashboard!$L$25:$L$31,0),1)))</f>
        <v>-</v>
      </c>
      <c r="CC114" s="143" t="str">
        <f t="shared" ref="CC114" ca="1" si="915">IF($D114="-","-",IF(COUNTIF(IDSourceRange,E114)&gt;1,1,0))</f>
        <v>-</v>
      </c>
      <c r="CD114" s="143" t="str">
        <f t="shared" ref="CD114" ca="1" si="916">IF($D114="-","-",  IF(LEN(M114)=0,0,IF(ISERROR(MATCH(M114,IDSourceRange,0)),1,0)) + IF(LEN(N114)=0,0,IF(ISERROR(MATCH(N114,IDSourceRange,0)),1,0)) + IF(LEN(O114)=0,0,IF(ISERROR(MATCH(O114,IDSourceRange,0)),1,0)) )</f>
        <v>-</v>
      </c>
      <c r="CE114" s="143" t="str">
        <f t="shared" ca="1" si="589"/>
        <v>-</v>
      </c>
      <c r="CF114" s="143" t="s">
        <v>128</v>
      </c>
      <c r="CG114" s="143" t="str">
        <f t="shared" ref="CG114" ca="1" si="917">IF($D114="-","-",IF(X114="-",0,IF(COUNTIF(GridCombinedRange,X114)&gt;1,1,0)))</f>
        <v>-</v>
      </c>
      <c r="CH114" s="143"/>
      <c r="CI114" s="143"/>
      <c r="CJ114" s="143"/>
      <c r="CK114" s="143"/>
      <c r="CL114" s="143"/>
    </row>
    <row r="115" spans="3:90" x14ac:dyDescent="0.3">
      <c r="C115" s="170">
        <v>109</v>
      </c>
      <c r="D115" s="111" t="str">
        <f ca="1">IF(COUNTA(OFFSET(Dashboard!$B$6,C115,0,1,COUNTA(Dashboard!$B$6:$H$6)))&gt;0,"Yes","-")</f>
        <v>-</v>
      </c>
      <c r="E115" s="170" t="str">
        <f ca="1">IF(D115="-","-",IF(LEN(INDEX(Dashboard!B$6:B$206,$C115+1))=0,"x"&amp;C115&amp;"x","x"&amp;INDEX(Dashboard!B$6:B$206,$C115+1)&amp;"x"))</f>
        <v>-</v>
      </c>
      <c r="F115" s="171" t="str">
        <f ca="1">IF(D115="-","-",IF(LEN(INDEX(Dashboard!$C$6:$C$206,C115+1))=0," ",INDEX(Dashboard!$C$6:$C$206,C115+1)))</f>
        <v>-</v>
      </c>
      <c r="G115" s="219" t="str">
        <f ca="1">IF(OR(D115="-",D115=""),"-",IF(LEN(INDEX(Dashboard!$D$6:$D$228,C115+1))=0,"", "x"&amp;SUBSTITUTE(SUBSTITUTE(INDEX(Dashboard!$D$6:$D$228,C115+1)," ",""),",","x,x")&amp;"x"))</f>
        <v>-</v>
      </c>
      <c r="H115" s="111" t="str">
        <f ca="1">IF(D115="-","-",TRIM(INDEX(Dashboard!$E$6:$E$206,C115+1)))</f>
        <v>-</v>
      </c>
      <c r="I115" s="111" t="str">
        <f ca="1">IF(D115="-","-",IF(LEN(INDEX(Dashboard!$F$6:$F$206,C115+1))=0,$BS$8,IF(ISERROR(MATCH(INDEX(Dashboard!$F$6:$F$206,C115+1),$BS$7:$BS$35,0)),$BS$8,INDEX(Dashboard!$F$6:$F$206,C115+1))))</f>
        <v>-</v>
      </c>
      <c r="J115" s="111" t="str">
        <f ca="1">IF(D115="-","-",SUBSTITUTE(INDEX(Dashboard!$G$6:$G$206,C115+1)," ",""))</f>
        <v>-</v>
      </c>
      <c r="K115" s="111" t="str">
        <f ca="1">IF(D115="-","-",IF(LEN(INDEX(Dashboard!$H$6:$H$206,C115+1))=0,"",INDEX(Dashboard!$H$6:$H$206,C115+1)))</f>
        <v>-</v>
      </c>
      <c r="M115" s="172" t="str">
        <f t="shared" ca="1" si="852"/>
        <v>-</v>
      </c>
      <c r="N115" s="172" t="str">
        <f t="shared" ca="1" si="852"/>
        <v>-</v>
      </c>
      <c r="O115" s="172" t="str">
        <f t="shared" ca="1" si="852"/>
        <v>-</v>
      </c>
      <c r="P115" s="173" t="str">
        <f t="shared" ca="1" si="817"/>
        <v>-</v>
      </c>
      <c r="Q115" s="172" t="str">
        <f t="shared" ca="1" si="817"/>
        <v>-</v>
      </c>
      <c r="R115" s="172" t="str">
        <f t="shared" ca="1" si="817"/>
        <v>-</v>
      </c>
      <c r="S115" s="174" t="str">
        <f t="array" aca="1" ref="S115" ca="1">IF($D115="-","-",SUM(IF(LEN(M115:O115)&gt;0,1,0)))</f>
        <v>-</v>
      </c>
      <c r="T115" s="175" t="str">
        <f t="array" aca="1" ref="T115" ca="1">IF(D115="-","-",SUM(IF(ISERROR(SEARCH(E115,$G$7:$G$206)),0,1)))</f>
        <v>-</v>
      </c>
      <c r="V115" s="204"/>
      <c r="W115" s="127"/>
      <c r="X115" s="177" t="str">
        <f t="shared" si="565"/>
        <v>-</v>
      </c>
      <c r="Y115" s="178"/>
      <c r="Z115" s="127"/>
      <c r="AB115" s="179" t="str">
        <f t="shared" ca="1" si="818"/>
        <v>-</v>
      </c>
      <c r="AC115" s="179" t="str">
        <f t="shared" ca="1" si="818"/>
        <v>-</v>
      </c>
      <c r="AD115" s="179" t="str">
        <f t="shared" ca="1" si="818"/>
        <v>-</v>
      </c>
      <c r="AJ115" s="181" t="str">
        <f t="shared" ca="1" si="550"/>
        <v>-</v>
      </c>
      <c r="AK115" s="179" t="str">
        <f t="shared" ca="1" si="551"/>
        <v>-</v>
      </c>
      <c r="AL115" s="179" t="str">
        <f t="shared" ca="1" si="551"/>
        <v>-</v>
      </c>
      <c r="AM115" s="179" t="str">
        <f t="shared" ca="1" si="551"/>
        <v>-</v>
      </c>
      <c r="AO115" s="182" t="str">
        <f t="shared" ca="1" si="819"/>
        <v>-</v>
      </c>
      <c r="AP115" s="182" t="str">
        <f t="shared" ca="1" si="819"/>
        <v>-</v>
      </c>
      <c r="AQ115" s="182" t="str">
        <f t="shared" ca="1" si="819"/>
        <v>-</v>
      </c>
      <c r="AU115" s="185" t="str">
        <f t="shared" ref="AU115" ca="1" si="918">IF($D115="-","-",IF(LEN(M115)=0,"", INDEX($AT$7:$AT$15,MATCH(IF($V115-INDEX(GridXRange,P115)&lt;0,"Negative",IF($V115-INDEX(GridXRange,P115)&gt;0,"Positive","Zero")) &amp; " - " &amp;IF($W115-INDEX(GridYRange,P115)&lt;0,"Negative",IF($W115-INDEX(GridYRange,P115)&gt;0,"Positive","Zero")),$AS$7:$AS$15,0))))</f>
        <v>-</v>
      </c>
      <c r="AV115" s="186" t="str">
        <f t="shared" ref="AV115" ca="1" si="919">IF($D115="-","-",IF(LEN(N115)=0,"", INDEX($AT$7:$AT$15,MATCH(IF($V115-INDEX(GridXRange,Q115)&lt;0,"Negative",IF($V115-INDEX(GridXRange,Q115)&gt;0,"Positive","Zero")) &amp; " - " &amp;IF($W115-INDEX(GridYRange,Q115)&lt;0,"Negative",IF($W115-INDEX(GridYRange,Q115)&gt;0,"Positive","Zero")),$AS$7:$AS$15,0))))</f>
        <v>-</v>
      </c>
      <c r="AW115" s="186" t="str">
        <f t="shared" ref="AW115" ca="1" si="920">IF($D115="-","-",IF(LEN(O115)=0,"", INDEX($AT$7:$AT$15,MATCH(IF($V115-INDEX(GridXRange,R115)&lt;0,"Negative",IF($V115-INDEX(GridXRange,R115)&gt;0,"Positive","Zero")) &amp; " - " &amp;IF($W115-INDEX(GridYRange,R115)&lt;0,"Negative",IF($W115-INDEX(GridYRange,R115)&gt;0,"Positive","Zero")),$AS$7:$AS$15,0))))</f>
        <v>-</v>
      </c>
      <c r="AX115" s="187"/>
      <c r="AY115" s="188"/>
      <c r="AZ115" s="188"/>
      <c r="BA115" s="184"/>
      <c r="BB115" s="187" t="str">
        <f t="shared" ca="1" si="856"/>
        <v>-</v>
      </c>
      <c r="BC115" s="188" t="str">
        <f t="shared" ca="1" si="856"/>
        <v>-</v>
      </c>
      <c r="BD115" s="188" t="str">
        <f t="shared" ca="1" si="856"/>
        <v>-</v>
      </c>
      <c r="BE115" s="189" t="str">
        <f t="shared" ca="1" si="856"/>
        <v>-</v>
      </c>
      <c r="BK115" s="192" t="str">
        <f t="shared" ref="BK115" ca="1" si="921">IF($D115="-","-",$BK$5 + (V115-StartGridX) * (GapXDiff + $BW$7))</f>
        <v>-</v>
      </c>
      <c r="BL115" s="192" t="str">
        <f t="shared" ref="BL115" ca="1" si="922">IF($D115="-","-",$BL$5 + (W115-StartGridY) * (GapYDiff + $BV$7))</f>
        <v>-</v>
      </c>
      <c r="BM115" s="192" t="str">
        <f t="shared" ca="1" si="558"/>
        <v>-</v>
      </c>
      <c r="BN115" s="192" t="str">
        <f t="shared" ca="1" si="559"/>
        <v>-</v>
      </c>
      <c r="BO115" s="192" t="str">
        <f t="shared" ca="1" si="560"/>
        <v>-</v>
      </c>
      <c r="BP115" s="192" t="str">
        <f t="shared" ca="1" si="561"/>
        <v>-</v>
      </c>
      <c r="BQ115" s="192" t="str">
        <f ca="1">IF($D115="-","-",IF(LEN(K115)=0,1,IFERROR(MATCH(K115,Dashboard!$L$25:$L$31,0),1)))</f>
        <v>-</v>
      </c>
      <c r="CC115" s="143" t="str">
        <f t="shared" ref="CC115" ca="1" si="923">IF($D115="-","-",IF(COUNTIF(IDSourceRange,E115)&gt;1,1,0))</f>
        <v>-</v>
      </c>
      <c r="CD115" s="143" t="str">
        <f t="shared" ref="CD115" ca="1" si="924">IF($D115="-","-",  IF(LEN(M115)=0,0,IF(ISERROR(MATCH(M115,IDSourceRange,0)),1,0)) + IF(LEN(N115)=0,0,IF(ISERROR(MATCH(N115,IDSourceRange,0)),1,0)) + IF(LEN(O115)=0,0,IF(ISERROR(MATCH(O115,IDSourceRange,0)),1,0)) )</f>
        <v>-</v>
      </c>
      <c r="CE115" s="143" t="str">
        <f t="shared" ca="1" si="589"/>
        <v>-</v>
      </c>
      <c r="CF115" s="143" t="s">
        <v>128</v>
      </c>
      <c r="CG115" s="143" t="str">
        <f t="shared" ref="CG115" ca="1" si="925">IF($D115="-","-",IF(X115="-",0,IF(COUNTIF(GridCombinedRange,X115)&gt;1,1,0)))</f>
        <v>-</v>
      </c>
      <c r="CH115" s="143"/>
      <c r="CI115" s="143"/>
      <c r="CJ115" s="143"/>
      <c r="CK115" s="143"/>
      <c r="CL115" s="143"/>
    </row>
    <row r="116" spans="3:90" x14ac:dyDescent="0.3">
      <c r="C116" s="170">
        <v>110</v>
      </c>
      <c r="D116" s="111" t="str">
        <f ca="1">IF(COUNTA(OFFSET(Dashboard!$B$6,C116,0,1,COUNTA(Dashboard!$B$6:$H$6)))&gt;0,"Yes","-")</f>
        <v>-</v>
      </c>
      <c r="E116" s="170" t="str">
        <f ca="1">IF(D116="-","-",IF(LEN(INDEX(Dashboard!B$6:B$206,$C116+1))=0,"x"&amp;C116&amp;"x","x"&amp;INDEX(Dashboard!B$6:B$206,$C116+1)&amp;"x"))</f>
        <v>-</v>
      </c>
      <c r="F116" s="171" t="str">
        <f ca="1">IF(D116="-","-",IF(LEN(INDEX(Dashboard!$C$6:$C$206,C116+1))=0," ",INDEX(Dashboard!$C$6:$C$206,C116+1)))</f>
        <v>-</v>
      </c>
      <c r="G116" s="219" t="str">
        <f ca="1">IF(OR(D116="-",D116=""),"-",IF(LEN(INDEX(Dashboard!$D$6:$D$228,C116+1))=0,"", "x"&amp;SUBSTITUTE(SUBSTITUTE(INDEX(Dashboard!$D$6:$D$228,C116+1)," ",""),",","x,x")&amp;"x"))</f>
        <v>-</v>
      </c>
      <c r="H116" s="219" t="str">
        <f ca="1">IF(D116="-","-",TRIM(INDEX(Dashboard!$E$6:$E$228,C116+1)))</f>
        <v>-</v>
      </c>
      <c r="I116" s="111" t="str">
        <f ca="1">IF(D116="-","-",IF(LEN(INDEX(Dashboard!$F$6:$F$206,C116+1))=0,$BS$8,IF(ISERROR(MATCH(INDEX(Dashboard!$F$6:$F$206,C116+1),$BS$7:$BS$35,0)),$BS$8,INDEX(Dashboard!$F$6:$F$206,C116+1))))</f>
        <v>-</v>
      </c>
      <c r="J116" s="111" t="str">
        <f ca="1">IF(D116="-","-",SUBSTITUTE(INDEX(Dashboard!$G$6:$G$206,C116+1)," ",""))</f>
        <v>-</v>
      </c>
      <c r="K116" s="111" t="str">
        <f ca="1">IF(D116="-","-",IF(LEN(INDEX(Dashboard!$H$6:$H$206,C116+1))=0,"",INDEX(Dashboard!$H$6:$H$206,C116+1)))</f>
        <v>-</v>
      </c>
      <c r="M116" s="172" t="str">
        <f t="shared" ca="1" si="852"/>
        <v>-</v>
      </c>
      <c r="N116" s="172" t="str">
        <f t="shared" ca="1" si="852"/>
        <v>-</v>
      </c>
      <c r="O116" s="172" t="str">
        <f t="shared" ca="1" si="852"/>
        <v>-</v>
      </c>
      <c r="P116" s="173" t="str">
        <f t="shared" ca="1" si="817"/>
        <v>-</v>
      </c>
      <c r="Q116" s="172" t="str">
        <f t="shared" ca="1" si="817"/>
        <v>-</v>
      </c>
      <c r="R116" s="172" t="str">
        <f t="shared" ca="1" si="817"/>
        <v>-</v>
      </c>
      <c r="S116" s="174" t="str">
        <f t="array" aca="1" ref="S116" ca="1">IF($D116="-","-",SUM(IF(LEN(M116:O116)&gt;0,1,0)))</f>
        <v>-</v>
      </c>
      <c r="T116" s="175" t="str">
        <f t="array" aca="1" ref="T116" ca="1">IF(D116="-","-",SUM(IF(ISERROR(SEARCH(E116,$G$7:$G$206)),0,1)))</f>
        <v>-</v>
      </c>
      <c r="V116" s="204"/>
      <c r="W116" s="127"/>
      <c r="X116" s="177" t="str">
        <f t="shared" si="565"/>
        <v>-</v>
      </c>
      <c r="Y116" s="178"/>
      <c r="Z116" s="127"/>
      <c r="AB116" s="179" t="str">
        <f t="shared" ca="1" si="818"/>
        <v>-</v>
      </c>
      <c r="AC116" s="179" t="str">
        <f t="shared" ca="1" si="818"/>
        <v>-</v>
      </c>
      <c r="AD116" s="179" t="str">
        <f t="shared" ca="1" si="818"/>
        <v>-</v>
      </c>
      <c r="AJ116" s="181" t="str">
        <f t="shared" ca="1" si="550"/>
        <v>-</v>
      </c>
      <c r="AK116" s="179" t="str">
        <f t="shared" ca="1" si="551"/>
        <v>-</v>
      </c>
      <c r="AL116" s="179" t="str">
        <f t="shared" ca="1" si="551"/>
        <v>-</v>
      </c>
      <c r="AM116" s="179" t="str">
        <f t="shared" ca="1" si="551"/>
        <v>-</v>
      </c>
      <c r="AO116" s="182" t="str">
        <f t="shared" ca="1" si="819"/>
        <v>-</v>
      </c>
      <c r="AP116" s="182" t="str">
        <f t="shared" ca="1" si="819"/>
        <v>-</v>
      </c>
      <c r="AQ116" s="182" t="str">
        <f t="shared" ca="1" si="819"/>
        <v>-</v>
      </c>
      <c r="AU116" s="185" t="str">
        <f t="shared" ref="AU116" ca="1" si="926">IF($D116="-","-",IF(LEN(M116)=0,"", INDEX($AT$7:$AT$15,MATCH(IF($V116-INDEX(GridXRange,P116)&lt;0,"Negative",IF($V116-INDEX(GridXRange,P116)&gt;0,"Positive","Zero")) &amp; " - " &amp;IF($W116-INDEX(GridYRange,P116)&lt;0,"Negative",IF($W116-INDEX(GridYRange,P116)&gt;0,"Positive","Zero")),$AS$7:$AS$15,0))))</f>
        <v>-</v>
      </c>
      <c r="AV116" s="186" t="str">
        <f t="shared" ref="AV116" ca="1" si="927">IF($D116="-","-",IF(LEN(N116)=0,"", INDEX($AT$7:$AT$15,MATCH(IF($V116-INDEX(GridXRange,Q116)&lt;0,"Negative",IF($V116-INDEX(GridXRange,Q116)&gt;0,"Positive","Zero")) &amp; " - " &amp;IF($W116-INDEX(GridYRange,Q116)&lt;0,"Negative",IF($W116-INDEX(GridYRange,Q116)&gt;0,"Positive","Zero")),$AS$7:$AS$15,0))))</f>
        <v>-</v>
      </c>
      <c r="AW116" s="186" t="str">
        <f t="shared" ref="AW116" ca="1" si="928">IF($D116="-","-",IF(LEN(O116)=0,"", INDEX($AT$7:$AT$15,MATCH(IF($V116-INDEX(GridXRange,R116)&lt;0,"Negative",IF($V116-INDEX(GridXRange,R116)&gt;0,"Positive","Zero")) &amp; " - " &amp;IF($W116-INDEX(GridYRange,R116)&lt;0,"Negative",IF($W116-INDEX(GridYRange,R116)&gt;0,"Positive","Zero")),$AS$7:$AS$15,0))))</f>
        <v>-</v>
      </c>
      <c r="AX116" s="187"/>
      <c r="AY116" s="188"/>
      <c r="AZ116" s="188"/>
      <c r="BA116" s="184"/>
      <c r="BB116" s="187" t="str">
        <f t="shared" ca="1" si="856"/>
        <v>-</v>
      </c>
      <c r="BC116" s="188" t="str">
        <f t="shared" ca="1" si="856"/>
        <v>-</v>
      </c>
      <c r="BD116" s="188" t="str">
        <f t="shared" ca="1" si="856"/>
        <v>-</v>
      </c>
      <c r="BE116" s="189" t="str">
        <f t="shared" ca="1" si="856"/>
        <v>-</v>
      </c>
      <c r="BK116" s="192" t="str">
        <f t="shared" ref="BK116" ca="1" si="929">IF($D116="-","-",$BK$5 + (V116-StartGridX) * (GapXDiff + $BW$7))</f>
        <v>-</v>
      </c>
      <c r="BL116" s="192" t="str">
        <f t="shared" ref="BL116" ca="1" si="930">IF($D116="-","-",$BL$5 + (W116-StartGridY) * (GapYDiff + $BV$7))</f>
        <v>-</v>
      </c>
      <c r="BM116" s="192" t="str">
        <f t="shared" ca="1" si="558"/>
        <v>-</v>
      </c>
      <c r="BN116" s="192" t="str">
        <f t="shared" ca="1" si="559"/>
        <v>-</v>
      </c>
      <c r="BO116" s="192" t="str">
        <f t="shared" ca="1" si="560"/>
        <v>-</v>
      </c>
      <c r="BP116" s="192" t="str">
        <f t="shared" ca="1" si="561"/>
        <v>-</v>
      </c>
      <c r="BQ116" s="192" t="str">
        <f ca="1">IF($D116="-","-",IF(LEN(K116)=0,1,IFERROR(MATCH(K116,Dashboard!$L$25:$L$31,0),1)))</f>
        <v>-</v>
      </c>
      <c r="CC116" s="143" t="str">
        <f t="shared" ref="CC116" ca="1" si="931">IF($D116="-","-",IF(COUNTIF(IDSourceRange,E116)&gt;1,1,0))</f>
        <v>-</v>
      </c>
      <c r="CD116" s="143" t="str">
        <f t="shared" ref="CD116" ca="1" si="932">IF($D116="-","-",  IF(LEN(M116)=0,0,IF(ISERROR(MATCH(M116,IDSourceRange,0)),1,0)) + IF(LEN(N116)=0,0,IF(ISERROR(MATCH(N116,IDSourceRange,0)),1,0)) + IF(LEN(O116)=0,0,IF(ISERROR(MATCH(O116,IDSourceRange,0)),1,0)) )</f>
        <v>-</v>
      </c>
      <c r="CE116" s="143" t="str">
        <f t="shared" ca="1" si="589"/>
        <v>-</v>
      </c>
      <c r="CF116" s="143" t="s">
        <v>128</v>
      </c>
      <c r="CG116" s="143" t="str">
        <f t="shared" ref="CG116" ca="1" si="933">IF($D116="-","-",IF(X116="-",0,IF(COUNTIF(GridCombinedRange,X116)&gt;1,1,0)))</f>
        <v>-</v>
      </c>
      <c r="CH116" s="143"/>
      <c r="CI116" s="143"/>
      <c r="CJ116" s="143"/>
      <c r="CK116" s="143"/>
      <c r="CL116" s="143"/>
    </row>
    <row r="117" spans="3:90" x14ac:dyDescent="0.3">
      <c r="C117" s="170">
        <v>111</v>
      </c>
      <c r="D117" s="111" t="str">
        <f ca="1">IF(COUNTA(OFFSET(Dashboard!$B$6,C117,0,1,COUNTA(Dashboard!$B$6:$H$6)))&gt;0,"Yes","-")</f>
        <v>-</v>
      </c>
      <c r="E117" s="170" t="str">
        <f ca="1">IF(D117="-","-",IF(LEN(INDEX(Dashboard!B$6:B$206,$C117+1))=0,"x"&amp;C117&amp;"x","x"&amp;INDEX(Dashboard!B$6:B$206,$C117+1)&amp;"x"))</f>
        <v>-</v>
      </c>
      <c r="F117" s="171" t="str">
        <f ca="1">IF(D117="-","-",IF(LEN(INDEX(Dashboard!$C$6:$C$206,C117+1))=0," ",INDEX(Dashboard!$C$6:$C$206,C117+1)))</f>
        <v>-</v>
      </c>
      <c r="G117" s="219" t="str">
        <f ca="1">IF(OR(D117="-",D117=""),"-",IF(LEN(INDEX(Dashboard!$D$6:$D$228,C117+1))=0,"", "x"&amp;SUBSTITUTE(SUBSTITUTE(INDEX(Dashboard!$D$6:$D$228,C117+1)," ",""),",","x,x")&amp;"x"))</f>
        <v>-</v>
      </c>
      <c r="H117" s="111" t="str">
        <f ca="1">IF(D117="-","-",TRIM(INDEX(Dashboard!$E$6:$E$206,C117+1)))</f>
        <v>-</v>
      </c>
      <c r="I117" s="111" t="str">
        <f ca="1">IF(D117="-","-",IF(LEN(INDEX(Dashboard!$F$6:$F$206,C117+1))=0,$BS$8,IF(ISERROR(MATCH(INDEX(Dashboard!$F$6:$F$206,C117+1),$BS$7:$BS$35,0)),$BS$8,INDEX(Dashboard!$F$6:$F$206,C117+1))))</f>
        <v>-</v>
      </c>
      <c r="J117" s="111" t="str">
        <f ca="1">IF(D117="-","-",SUBSTITUTE(INDEX(Dashboard!$G$6:$G$206,C117+1)," ",""))</f>
        <v>-</v>
      </c>
      <c r="K117" s="111" t="str">
        <f ca="1">IF(D117="-","-",IF(LEN(INDEX(Dashboard!$H$6:$H$206,C117+1))=0,"",INDEX(Dashboard!$H$6:$H$206,C117+1)))</f>
        <v>-</v>
      </c>
      <c r="M117" s="172" t="str">
        <f t="shared" ca="1" si="852"/>
        <v>-</v>
      </c>
      <c r="N117" s="172" t="str">
        <f t="shared" ca="1" si="852"/>
        <v>-</v>
      </c>
      <c r="O117" s="172" t="str">
        <f t="shared" ca="1" si="852"/>
        <v>-</v>
      </c>
      <c r="P117" s="173" t="str">
        <f t="shared" ca="1" si="817"/>
        <v>-</v>
      </c>
      <c r="Q117" s="172" t="str">
        <f t="shared" ca="1" si="817"/>
        <v>-</v>
      </c>
      <c r="R117" s="172" t="str">
        <f t="shared" ca="1" si="817"/>
        <v>-</v>
      </c>
      <c r="S117" s="174" t="str">
        <f t="array" aca="1" ref="S117" ca="1">IF($D117="-","-",SUM(IF(LEN(M117:O117)&gt;0,1,0)))</f>
        <v>-</v>
      </c>
      <c r="T117" s="175" t="str">
        <f t="array" aca="1" ref="T117" ca="1">IF(D117="-","-",SUM(IF(ISERROR(SEARCH(E117,$G$7:$G$206)),0,1)))</f>
        <v>-</v>
      </c>
      <c r="V117" s="204"/>
      <c r="W117" s="127"/>
      <c r="X117" s="177" t="str">
        <f t="shared" si="565"/>
        <v>-</v>
      </c>
      <c r="Y117" s="178"/>
      <c r="Z117" s="127"/>
      <c r="AB117" s="179" t="str">
        <f t="shared" ca="1" si="818"/>
        <v>-</v>
      </c>
      <c r="AC117" s="179" t="str">
        <f t="shared" ca="1" si="818"/>
        <v>-</v>
      </c>
      <c r="AD117" s="179" t="str">
        <f t="shared" ca="1" si="818"/>
        <v>-</v>
      </c>
      <c r="AJ117" s="181" t="str">
        <f t="shared" ca="1" si="550"/>
        <v>-</v>
      </c>
      <c r="AK117" s="179" t="str">
        <f t="shared" ca="1" si="551"/>
        <v>-</v>
      </c>
      <c r="AL117" s="179" t="str">
        <f t="shared" ca="1" si="551"/>
        <v>-</v>
      </c>
      <c r="AM117" s="179" t="str">
        <f t="shared" ca="1" si="551"/>
        <v>-</v>
      </c>
      <c r="AO117" s="182" t="str">
        <f t="shared" ca="1" si="819"/>
        <v>-</v>
      </c>
      <c r="AP117" s="182" t="str">
        <f t="shared" ca="1" si="819"/>
        <v>-</v>
      </c>
      <c r="AQ117" s="182" t="str">
        <f t="shared" ca="1" si="819"/>
        <v>-</v>
      </c>
      <c r="AU117" s="185" t="str">
        <f t="shared" ref="AU117" ca="1" si="934">IF($D117="-","-",IF(LEN(M117)=0,"", INDEX($AT$7:$AT$15,MATCH(IF($V117-INDEX(GridXRange,P117)&lt;0,"Negative",IF($V117-INDEX(GridXRange,P117)&gt;0,"Positive","Zero")) &amp; " - " &amp;IF($W117-INDEX(GridYRange,P117)&lt;0,"Negative",IF($W117-INDEX(GridYRange,P117)&gt;0,"Positive","Zero")),$AS$7:$AS$15,0))))</f>
        <v>-</v>
      </c>
      <c r="AV117" s="186" t="str">
        <f t="shared" ref="AV117" ca="1" si="935">IF($D117="-","-",IF(LEN(N117)=0,"", INDEX($AT$7:$AT$15,MATCH(IF($V117-INDEX(GridXRange,Q117)&lt;0,"Negative",IF($V117-INDEX(GridXRange,Q117)&gt;0,"Positive","Zero")) &amp; " - " &amp;IF($W117-INDEX(GridYRange,Q117)&lt;0,"Negative",IF($W117-INDEX(GridYRange,Q117)&gt;0,"Positive","Zero")),$AS$7:$AS$15,0))))</f>
        <v>-</v>
      </c>
      <c r="AW117" s="186" t="str">
        <f t="shared" ref="AW117" ca="1" si="936">IF($D117="-","-",IF(LEN(O117)=0,"", INDEX($AT$7:$AT$15,MATCH(IF($V117-INDEX(GridXRange,R117)&lt;0,"Negative",IF($V117-INDEX(GridXRange,R117)&gt;0,"Positive","Zero")) &amp; " - " &amp;IF($W117-INDEX(GridYRange,R117)&lt;0,"Negative",IF($W117-INDEX(GridYRange,R117)&gt;0,"Positive","Zero")),$AS$7:$AS$15,0))))</f>
        <v>-</v>
      </c>
      <c r="AX117" s="187"/>
      <c r="AY117" s="188"/>
      <c r="AZ117" s="188"/>
      <c r="BA117" s="184"/>
      <c r="BB117" s="187" t="str">
        <f t="shared" ca="1" si="856"/>
        <v>-</v>
      </c>
      <c r="BC117" s="188" t="str">
        <f t="shared" ca="1" si="856"/>
        <v>-</v>
      </c>
      <c r="BD117" s="188" t="str">
        <f t="shared" ca="1" si="856"/>
        <v>-</v>
      </c>
      <c r="BE117" s="189" t="str">
        <f t="shared" ca="1" si="856"/>
        <v>-</v>
      </c>
      <c r="BK117" s="192" t="str">
        <f t="shared" ref="BK117" ca="1" si="937">IF($D117="-","-",$BK$5 + (V117-StartGridX) * (GapXDiff + $BW$7))</f>
        <v>-</v>
      </c>
      <c r="BL117" s="192" t="str">
        <f t="shared" ref="BL117" ca="1" si="938">IF($D117="-","-",$BL$5 + (W117-StartGridY) * (GapYDiff + $BV$7))</f>
        <v>-</v>
      </c>
      <c r="BM117" s="192" t="str">
        <f t="shared" ca="1" si="558"/>
        <v>-</v>
      </c>
      <c r="BN117" s="192" t="str">
        <f t="shared" ca="1" si="559"/>
        <v>-</v>
      </c>
      <c r="BO117" s="192" t="str">
        <f t="shared" ca="1" si="560"/>
        <v>-</v>
      </c>
      <c r="BP117" s="192" t="str">
        <f t="shared" ca="1" si="561"/>
        <v>-</v>
      </c>
      <c r="BQ117" s="192" t="str">
        <f ca="1">IF($D117="-","-",IF(LEN(K117)=0,1,IFERROR(MATCH(K117,Dashboard!$L$25:$L$31,0),1)))</f>
        <v>-</v>
      </c>
      <c r="CC117" s="143" t="str">
        <f t="shared" ref="CC117" ca="1" si="939">IF($D117="-","-",IF(COUNTIF(IDSourceRange,E117)&gt;1,1,0))</f>
        <v>-</v>
      </c>
      <c r="CD117" s="143" t="str">
        <f t="shared" ref="CD117" ca="1" si="940">IF($D117="-","-",  IF(LEN(M117)=0,0,IF(ISERROR(MATCH(M117,IDSourceRange,0)),1,0)) + IF(LEN(N117)=0,0,IF(ISERROR(MATCH(N117,IDSourceRange,0)),1,0)) + IF(LEN(O117)=0,0,IF(ISERROR(MATCH(O117,IDSourceRange,0)),1,0)) )</f>
        <v>-</v>
      </c>
      <c r="CE117" s="143" t="str">
        <f t="shared" ca="1" si="589"/>
        <v>-</v>
      </c>
      <c r="CF117" s="143" t="s">
        <v>128</v>
      </c>
      <c r="CG117" s="143" t="str">
        <f t="shared" ref="CG117" ca="1" si="941">IF($D117="-","-",IF(X117="-",0,IF(COUNTIF(GridCombinedRange,X117)&gt;1,1,0)))</f>
        <v>-</v>
      </c>
      <c r="CH117" s="143"/>
      <c r="CI117" s="143"/>
      <c r="CJ117" s="143"/>
      <c r="CK117" s="143"/>
      <c r="CL117" s="143"/>
    </row>
    <row r="118" spans="3:90" x14ac:dyDescent="0.3">
      <c r="C118" s="170">
        <v>112</v>
      </c>
      <c r="D118" s="111" t="str">
        <f ca="1">IF(COUNTA(OFFSET(Dashboard!$B$6,C118,0,1,COUNTA(Dashboard!$B$6:$H$6)))&gt;0,"Yes","-")</f>
        <v>-</v>
      </c>
      <c r="E118" s="170" t="str">
        <f ca="1">IF(D118="-","-",IF(LEN(INDEX(Dashboard!B$6:B$206,$C118+1))=0,"x"&amp;C118&amp;"x","x"&amp;INDEX(Dashboard!B$6:B$206,$C118+1)&amp;"x"))</f>
        <v>-</v>
      </c>
      <c r="F118" s="171" t="str">
        <f ca="1">IF(D118="-","-",IF(LEN(INDEX(Dashboard!$C$6:$C$206,C118+1))=0," ",INDEX(Dashboard!$C$6:$C$206,C118+1)))</f>
        <v>-</v>
      </c>
      <c r="G118" s="219" t="str">
        <f ca="1">IF(OR(D118="-",D118=""),"-",IF(LEN(INDEX(Dashboard!$D$6:$D$228,C118+1))=0,"", "x"&amp;SUBSTITUTE(SUBSTITUTE(INDEX(Dashboard!$D$6:$D$228,C118+1)," ",""),",","x,x")&amp;"x"))</f>
        <v>-</v>
      </c>
      <c r="H118" s="111" t="str">
        <f ca="1">IF(D118="-","-",TRIM(INDEX(Dashboard!$E$6:$E$206,C118+1)))</f>
        <v>-</v>
      </c>
      <c r="I118" s="111" t="str">
        <f ca="1">IF(D118="-","-",IF(LEN(INDEX(Dashboard!$F$6:$F$206,C118+1))=0,$BS$8,IF(ISERROR(MATCH(INDEX(Dashboard!$F$6:$F$206,C118+1),$BS$7:$BS$35,0)),$BS$8,INDEX(Dashboard!$F$6:$F$206,C118+1))))</f>
        <v>-</v>
      </c>
      <c r="J118" s="111" t="str">
        <f ca="1">IF(D118="-","-",SUBSTITUTE(INDEX(Dashboard!$G$6:$G$206,C118+1)," ",""))</f>
        <v>-</v>
      </c>
      <c r="K118" s="111" t="str">
        <f ca="1">IF(D118="-","-",IF(LEN(INDEX(Dashboard!$H$6:$H$206,C118+1))=0,"",INDEX(Dashboard!$H$6:$H$206,C118+1)))</f>
        <v>-</v>
      </c>
      <c r="M118" s="172" t="str">
        <f t="shared" ca="1" si="852"/>
        <v>-</v>
      </c>
      <c r="N118" s="172" t="str">
        <f t="shared" ca="1" si="852"/>
        <v>-</v>
      </c>
      <c r="O118" s="172" t="str">
        <f t="shared" ca="1" si="852"/>
        <v>-</v>
      </c>
      <c r="P118" s="173" t="str">
        <f t="shared" ca="1" si="817"/>
        <v>-</v>
      </c>
      <c r="Q118" s="172" t="str">
        <f t="shared" ca="1" si="817"/>
        <v>-</v>
      </c>
      <c r="R118" s="172" t="str">
        <f t="shared" ca="1" si="817"/>
        <v>-</v>
      </c>
      <c r="S118" s="174" t="str">
        <f t="array" aca="1" ref="S118" ca="1">IF($D118="-","-",SUM(IF(LEN(M118:O118)&gt;0,1,0)))</f>
        <v>-</v>
      </c>
      <c r="T118" s="175" t="str">
        <f t="array" aca="1" ref="T118" ca="1">IF(D118="-","-",SUM(IF(ISERROR(SEARCH(E118,$G$7:$G$206)),0,1)))</f>
        <v>-</v>
      </c>
      <c r="V118" s="204"/>
      <c r="W118" s="127"/>
      <c r="X118" s="177" t="str">
        <f t="shared" si="565"/>
        <v>-</v>
      </c>
      <c r="Y118" s="178"/>
      <c r="Z118" s="127"/>
      <c r="AB118" s="179" t="str">
        <f t="shared" ca="1" si="818"/>
        <v>-</v>
      </c>
      <c r="AC118" s="179" t="str">
        <f t="shared" ca="1" si="818"/>
        <v>-</v>
      </c>
      <c r="AD118" s="179" t="str">
        <f t="shared" ca="1" si="818"/>
        <v>-</v>
      </c>
      <c r="AJ118" s="181" t="str">
        <f t="shared" ca="1" si="550"/>
        <v>-</v>
      </c>
      <c r="AK118" s="179" t="str">
        <f t="shared" ca="1" si="551"/>
        <v>-</v>
      </c>
      <c r="AL118" s="179" t="str">
        <f t="shared" ca="1" si="551"/>
        <v>-</v>
      </c>
      <c r="AM118" s="179" t="str">
        <f t="shared" ca="1" si="551"/>
        <v>-</v>
      </c>
      <c r="AO118" s="182" t="str">
        <f t="shared" ca="1" si="819"/>
        <v>-</v>
      </c>
      <c r="AP118" s="182" t="str">
        <f t="shared" ca="1" si="819"/>
        <v>-</v>
      </c>
      <c r="AQ118" s="182" t="str">
        <f t="shared" ca="1" si="819"/>
        <v>-</v>
      </c>
      <c r="AU118" s="185" t="str">
        <f t="shared" ref="AU118" ca="1" si="942">IF($D118="-","-",IF(LEN(M118)=0,"", INDEX($AT$7:$AT$15,MATCH(IF($V118-INDEX(GridXRange,P118)&lt;0,"Negative",IF($V118-INDEX(GridXRange,P118)&gt;0,"Positive","Zero")) &amp; " - " &amp;IF($W118-INDEX(GridYRange,P118)&lt;0,"Negative",IF($W118-INDEX(GridYRange,P118)&gt;0,"Positive","Zero")),$AS$7:$AS$15,0))))</f>
        <v>-</v>
      </c>
      <c r="AV118" s="186" t="str">
        <f t="shared" ref="AV118" ca="1" si="943">IF($D118="-","-",IF(LEN(N118)=0,"", INDEX($AT$7:$AT$15,MATCH(IF($V118-INDEX(GridXRange,Q118)&lt;0,"Negative",IF($V118-INDEX(GridXRange,Q118)&gt;0,"Positive","Zero")) &amp; " - " &amp;IF($W118-INDEX(GridYRange,Q118)&lt;0,"Negative",IF($W118-INDEX(GridYRange,Q118)&gt;0,"Positive","Zero")),$AS$7:$AS$15,0))))</f>
        <v>-</v>
      </c>
      <c r="AW118" s="186" t="str">
        <f t="shared" ref="AW118" ca="1" si="944">IF($D118="-","-",IF(LEN(O118)=0,"", INDEX($AT$7:$AT$15,MATCH(IF($V118-INDEX(GridXRange,R118)&lt;0,"Negative",IF($V118-INDEX(GridXRange,R118)&gt;0,"Positive","Zero")) &amp; " - " &amp;IF($W118-INDEX(GridYRange,R118)&lt;0,"Negative",IF($W118-INDEX(GridYRange,R118)&gt;0,"Positive","Zero")),$AS$7:$AS$15,0))))</f>
        <v>-</v>
      </c>
      <c r="AX118" s="187"/>
      <c r="AY118" s="188"/>
      <c r="AZ118" s="188"/>
      <c r="BA118" s="184"/>
      <c r="BB118" s="187" t="str">
        <f t="shared" ca="1" si="856"/>
        <v>-</v>
      </c>
      <c r="BC118" s="188" t="str">
        <f t="shared" ca="1" si="856"/>
        <v>-</v>
      </c>
      <c r="BD118" s="188" t="str">
        <f t="shared" ca="1" si="856"/>
        <v>-</v>
      </c>
      <c r="BE118" s="189" t="str">
        <f t="shared" ca="1" si="856"/>
        <v>-</v>
      </c>
      <c r="BK118" s="192" t="str">
        <f t="shared" ref="BK118" ca="1" si="945">IF($D118="-","-",$BK$5 + (V118-StartGridX) * (GapXDiff + $BW$7))</f>
        <v>-</v>
      </c>
      <c r="BL118" s="192" t="str">
        <f t="shared" ref="BL118" ca="1" si="946">IF($D118="-","-",$BL$5 + (W118-StartGridY) * (GapYDiff + $BV$7))</f>
        <v>-</v>
      </c>
      <c r="BM118" s="192" t="str">
        <f t="shared" ca="1" si="558"/>
        <v>-</v>
      </c>
      <c r="BN118" s="192" t="str">
        <f t="shared" ca="1" si="559"/>
        <v>-</v>
      </c>
      <c r="BO118" s="192" t="str">
        <f t="shared" ca="1" si="560"/>
        <v>-</v>
      </c>
      <c r="BP118" s="192" t="str">
        <f t="shared" ca="1" si="561"/>
        <v>-</v>
      </c>
      <c r="BQ118" s="192" t="str">
        <f ca="1">IF($D118="-","-",IF(LEN(K118)=0,1,IFERROR(MATCH(K118,Dashboard!$L$25:$L$31,0),1)))</f>
        <v>-</v>
      </c>
      <c r="CC118" s="143" t="str">
        <f t="shared" ref="CC118" ca="1" si="947">IF($D118="-","-",IF(COUNTIF(IDSourceRange,E118)&gt;1,1,0))</f>
        <v>-</v>
      </c>
      <c r="CD118" s="143" t="str">
        <f t="shared" ref="CD118" ca="1" si="948">IF($D118="-","-",  IF(LEN(M118)=0,0,IF(ISERROR(MATCH(M118,IDSourceRange,0)),1,0)) + IF(LEN(N118)=0,0,IF(ISERROR(MATCH(N118,IDSourceRange,0)),1,0)) + IF(LEN(O118)=0,0,IF(ISERROR(MATCH(O118,IDSourceRange,0)),1,0)) )</f>
        <v>-</v>
      </c>
      <c r="CE118" s="143" t="str">
        <f t="shared" ca="1" si="589"/>
        <v>-</v>
      </c>
      <c r="CF118" s="143" t="s">
        <v>128</v>
      </c>
      <c r="CG118" s="143" t="str">
        <f t="shared" ref="CG118" ca="1" si="949">IF($D118="-","-",IF(X118="-",0,IF(COUNTIF(GridCombinedRange,X118)&gt;1,1,0)))</f>
        <v>-</v>
      </c>
      <c r="CH118" s="143"/>
      <c r="CI118" s="143"/>
      <c r="CJ118" s="143"/>
      <c r="CK118" s="143"/>
      <c r="CL118" s="143"/>
    </row>
    <row r="119" spans="3:90" x14ac:dyDescent="0.3">
      <c r="C119" s="170">
        <v>113</v>
      </c>
      <c r="D119" s="111" t="str">
        <f ca="1">IF(COUNTA(OFFSET(Dashboard!$B$6,C119,0,1,COUNTA(Dashboard!$B$6:$H$6)))&gt;0,"Yes","-")</f>
        <v>-</v>
      </c>
      <c r="E119" s="170" t="str">
        <f ca="1">IF(D119="-","-",IF(LEN(INDEX(Dashboard!B$6:B$206,$C119+1))=0,"x"&amp;C119&amp;"x","x"&amp;INDEX(Dashboard!B$6:B$206,$C119+1)&amp;"x"))</f>
        <v>-</v>
      </c>
      <c r="F119" s="171" t="str">
        <f ca="1">IF(D119="-","-",IF(LEN(INDEX(Dashboard!$C$6:$C$206,C119+1))=0," ",INDEX(Dashboard!$C$6:$C$206,C119+1)))</f>
        <v>-</v>
      </c>
      <c r="G119" s="219" t="str">
        <f ca="1">IF(OR(D119="-",D119=""),"-",IF(LEN(INDEX(Dashboard!$D$6:$D$228,C119+1))=0,"", "x"&amp;SUBSTITUTE(SUBSTITUTE(INDEX(Dashboard!$D$6:$D$228,C119+1)," ",""),",","x,x")&amp;"x"))</f>
        <v>-</v>
      </c>
      <c r="H119" s="111" t="str">
        <f ca="1">IF(D119="-","-",TRIM(INDEX(Dashboard!$E$6:$E$206,C119+1)))</f>
        <v>-</v>
      </c>
      <c r="I119" s="111" t="str">
        <f ca="1">IF(D119="-","-",IF(LEN(INDEX(Dashboard!$F$6:$F$206,C119+1))=0,$BS$8,IF(ISERROR(MATCH(INDEX(Dashboard!$F$6:$F$206,C119+1),$BS$7:$BS$35,0)),$BS$8,INDEX(Dashboard!$F$6:$F$206,C119+1))))</f>
        <v>-</v>
      </c>
      <c r="J119" s="111" t="str">
        <f ca="1">IF(D119="-","-",SUBSTITUTE(INDEX(Dashboard!$G$6:$G$206,C119+1)," ",""))</f>
        <v>-</v>
      </c>
      <c r="K119" s="111" t="str">
        <f ca="1">IF(D119="-","-",IF(LEN(INDEX(Dashboard!$H$6:$H$206,C119+1))=0,"",INDEX(Dashboard!$H$6:$H$206,C119+1)))</f>
        <v>-</v>
      </c>
      <c r="M119" s="172" t="str">
        <f t="shared" ca="1" si="852"/>
        <v>-</v>
      </c>
      <c r="N119" s="172" t="str">
        <f t="shared" ca="1" si="852"/>
        <v>-</v>
      </c>
      <c r="O119" s="172" t="str">
        <f t="shared" ca="1" si="852"/>
        <v>-</v>
      </c>
      <c r="P119" s="173" t="str">
        <f t="shared" ca="1" si="817"/>
        <v>-</v>
      </c>
      <c r="Q119" s="172" t="str">
        <f t="shared" ca="1" si="817"/>
        <v>-</v>
      </c>
      <c r="R119" s="172" t="str">
        <f t="shared" ca="1" si="817"/>
        <v>-</v>
      </c>
      <c r="S119" s="174" t="str">
        <f t="array" aca="1" ref="S119" ca="1">IF($D119="-","-",SUM(IF(LEN(M119:O119)&gt;0,1,0)))</f>
        <v>-</v>
      </c>
      <c r="T119" s="175" t="str">
        <f t="array" aca="1" ref="T119" ca="1">IF(D119="-","-",SUM(IF(ISERROR(SEARCH(E119,$G$7:$G$206)),0,1)))</f>
        <v>-</v>
      </c>
      <c r="V119" s="204"/>
      <c r="W119" s="127"/>
      <c r="X119" s="177" t="str">
        <f t="shared" si="565"/>
        <v>-</v>
      </c>
      <c r="Y119" s="178"/>
      <c r="Z119" s="127"/>
      <c r="AB119" s="179" t="str">
        <f t="shared" ca="1" si="818"/>
        <v>-</v>
      </c>
      <c r="AC119" s="179" t="str">
        <f t="shared" ca="1" si="818"/>
        <v>-</v>
      </c>
      <c r="AD119" s="179" t="str">
        <f t="shared" ca="1" si="818"/>
        <v>-</v>
      </c>
      <c r="AJ119" s="181" t="str">
        <f t="shared" ca="1" si="550"/>
        <v>-</v>
      </c>
      <c r="AK119" s="179" t="str">
        <f t="shared" ca="1" si="551"/>
        <v>-</v>
      </c>
      <c r="AL119" s="179" t="str">
        <f t="shared" ca="1" si="551"/>
        <v>-</v>
      </c>
      <c r="AM119" s="179" t="str">
        <f t="shared" ca="1" si="551"/>
        <v>-</v>
      </c>
      <c r="AO119" s="182" t="str">
        <f t="shared" ca="1" si="819"/>
        <v>-</v>
      </c>
      <c r="AP119" s="182" t="str">
        <f t="shared" ca="1" si="819"/>
        <v>-</v>
      </c>
      <c r="AQ119" s="182" t="str">
        <f t="shared" ca="1" si="819"/>
        <v>-</v>
      </c>
      <c r="AU119" s="185" t="str">
        <f t="shared" ref="AU119" ca="1" si="950">IF($D119="-","-",IF(LEN(M119)=0,"", INDEX($AT$7:$AT$15,MATCH(IF($V119-INDEX(GridXRange,P119)&lt;0,"Negative",IF($V119-INDEX(GridXRange,P119)&gt;0,"Positive","Zero")) &amp; " - " &amp;IF($W119-INDEX(GridYRange,P119)&lt;0,"Negative",IF($W119-INDEX(GridYRange,P119)&gt;0,"Positive","Zero")),$AS$7:$AS$15,0))))</f>
        <v>-</v>
      </c>
      <c r="AV119" s="186" t="str">
        <f t="shared" ref="AV119" ca="1" si="951">IF($D119="-","-",IF(LEN(N119)=0,"", INDEX($AT$7:$AT$15,MATCH(IF($V119-INDEX(GridXRange,Q119)&lt;0,"Negative",IF($V119-INDEX(GridXRange,Q119)&gt;0,"Positive","Zero")) &amp; " - " &amp;IF($W119-INDEX(GridYRange,Q119)&lt;0,"Negative",IF($W119-INDEX(GridYRange,Q119)&gt;0,"Positive","Zero")),$AS$7:$AS$15,0))))</f>
        <v>-</v>
      </c>
      <c r="AW119" s="186" t="str">
        <f t="shared" ref="AW119" ca="1" si="952">IF($D119="-","-",IF(LEN(O119)=0,"", INDEX($AT$7:$AT$15,MATCH(IF($V119-INDEX(GridXRange,R119)&lt;0,"Negative",IF($V119-INDEX(GridXRange,R119)&gt;0,"Positive","Zero")) &amp; " - " &amp;IF($W119-INDEX(GridYRange,R119)&lt;0,"Negative",IF($W119-INDEX(GridYRange,R119)&gt;0,"Positive","Zero")),$AS$7:$AS$15,0))))</f>
        <v>-</v>
      </c>
      <c r="AX119" s="187"/>
      <c r="AY119" s="188"/>
      <c r="AZ119" s="188"/>
      <c r="BA119" s="184"/>
      <c r="BB119" s="187" t="str">
        <f t="shared" ca="1" si="856"/>
        <v>-</v>
      </c>
      <c r="BC119" s="188" t="str">
        <f t="shared" ca="1" si="856"/>
        <v>-</v>
      </c>
      <c r="BD119" s="188" t="str">
        <f t="shared" ca="1" si="856"/>
        <v>-</v>
      </c>
      <c r="BE119" s="189" t="str">
        <f t="shared" ca="1" si="856"/>
        <v>-</v>
      </c>
      <c r="BK119" s="192" t="str">
        <f t="shared" ref="BK119" ca="1" si="953">IF($D119="-","-",$BK$5 + (V119-StartGridX) * (GapXDiff + $BW$7))</f>
        <v>-</v>
      </c>
      <c r="BL119" s="192" t="str">
        <f t="shared" ref="BL119" ca="1" si="954">IF($D119="-","-",$BL$5 + (W119-StartGridY) * (GapYDiff + $BV$7))</f>
        <v>-</v>
      </c>
      <c r="BM119" s="192" t="str">
        <f t="shared" ca="1" si="558"/>
        <v>-</v>
      </c>
      <c r="BN119" s="192" t="str">
        <f t="shared" ca="1" si="559"/>
        <v>-</v>
      </c>
      <c r="BO119" s="192" t="str">
        <f t="shared" ca="1" si="560"/>
        <v>-</v>
      </c>
      <c r="BP119" s="192" t="str">
        <f t="shared" ca="1" si="561"/>
        <v>-</v>
      </c>
      <c r="BQ119" s="192" t="str">
        <f ca="1">IF($D119="-","-",IF(LEN(K119)=0,1,IFERROR(MATCH(K119,Dashboard!$L$25:$L$31,0),1)))</f>
        <v>-</v>
      </c>
      <c r="CC119" s="143" t="str">
        <f t="shared" ref="CC119" ca="1" si="955">IF($D119="-","-",IF(COUNTIF(IDSourceRange,E119)&gt;1,1,0))</f>
        <v>-</v>
      </c>
      <c r="CD119" s="143" t="str">
        <f t="shared" ref="CD119" ca="1" si="956">IF($D119="-","-",  IF(LEN(M119)=0,0,IF(ISERROR(MATCH(M119,IDSourceRange,0)),1,0)) + IF(LEN(N119)=0,0,IF(ISERROR(MATCH(N119,IDSourceRange,0)),1,0)) + IF(LEN(O119)=0,0,IF(ISERROR(MATCH(O119,IDSourceRange,0)),1,0)) )</f>
        <v>-</v>
      </c>
      <c r="CE119" s="143" t="str">
        <f t="shared" ca="1" si="589"/>
        <v>-</v>
      </c>
      <c r="CF119" s="143" t="s">
        <v>128</v>
      </c>
      <c r="CG119" s="143" t="str">
        <f t="shared" ref="CG119" ca="1" si="957">IF($D119="-","-",IF(X119="-",0,IF(COUNTIF(GridCombinedRange,X119)&gt;1,1,0)))</f>
        <v>-</v>
      </c>
      <c r="CH119" s="143"/>
      <c r="CI119" s="143"/>
      <c r="CJ119" s="143"/>
      <c r="CK119" s="143"/>
      <c r="CL119" s="143"/>
    </row>
    <row r="120" spans="3:90" x14ac:dyDescent="0.3">
      <c r="C120" s="170">
        <v>114</v>
      </c>
      <c r="D120" s="111" t="str">
        <f ca="1">IF(COUNTA(OFFSET(Dashboard!$B$6,C120,0,1,COUNTA(Dashboard!$B$6:$H$6)))&gt;0,"Yes","-")</f>
        <v>-</v>
      </c>
      <c r="E120" s="170" t="str">
        <f ca="1">IF(D120="-","-",IF(LEN(INDEX(Dashboard!B$6:B$206,$C120+1))=0,"x"&amp;C120&amp;"x","x"&amp;INDEX(Dashboard!B$6:B$206,$C120+1)&amp;"x"))</f>
        <v>-</v>
      </c>
      <c r="F120" s="171" t="str">
        <f ca="1">IF(D120="-","-",IF(LEN(INDEX(Dashboard!$C$6:$C$206,C120+1))=0," ",INDEX(Dashboard!$C$6:$C$206,C120+1)))</f>
        <v>-</v>
      </c>
      <c r="G120" s="219" t="str">
        <f ca="1">IF(OR(D120="-",D120=""),"-",IF(LEN(INDEX(Dashboard!$D$6:$D$228,C120+1))=0,"", "x"&amp;SUBSTITUTE(SUBSTITUTE(INDEX(Dashboard!$D$6:$D$228,C120+1)," ",""),",","x,x")&amp;"x"))</f>
        <v>-</v>
      </c>
      <c r="H120" s="111" t="str">
        <f ca="1">IF(D120="-","-",TRIM(INDEX(Dashboard!$E$6:$E$206,C120+1)))</f>
        <v>-</v>
      </c>
      <c r="I120" s="111" t="str">
        <f ca="1">IF(D120="-","-",IF(LEN(INDEX(Dashboard!$F$6:$F$206,C120+1))=0,$BS$8,IF(ISERROR(MATCH(INDEX(Dashboard!$F$6:$F$206,C120+1),$BS$7:$BS$35,0)),$BS$8,INDEX(Dashboard!$F$6:$F$206,C120+1))))</f>
        <v>-</v>
      </c>
      <c r="J120" s="111" t="str">
        <f ca="1">IF(D120="-","-",SUBSTITUTE(INDEX(Dashboard!$G$6:$G$206,C120+1)," ",""))</f>
        <v>-</v>
      </c>
      <c r="K120" s="111" t="str">
        <f ca="1">IF(D120="-","-",IF(LEN(INDEX(Dashboard!$H$6:$H$206,C120+1))=0,"",INDEX(Dashboard!$H$6:$H$206,C120+1)))</f>
        <v>-</v>
      </c>
      <c r="M120" s="172" t="str">
        <f t="shared" ca="1" si="852"/>
        <v>-</v>
      </c>
      <c r="N120" s="172" t="str">
        <f t="shared" ca="1" si="852"/>
        <v>-</v>
      </c>
      <c r="O120" s="172" t="str">
        <f t="shared" ca="1" si="852"/>
        <v>-</v>
      </c>
      <c r="P120" s="173" t="str">
        <f t="shared" ca="1" si="817"/>
        <v>-</v>
      </c>
      <c r="Q120" s="172" t="str">
        <f t="shared" ca="1" si="817"/>
        <v>-</v>
      </c>
      <c r="R120" s="172" t="str">
        <f t="shared" ca="1" si="817"/>
        <v>-</v>
      </c>
      <c r="S120" s="174" t="str">
        <f t="array" aca="1" ref="S120" ca="1">IF($D120="-","-",SUM(IF(LEN(M120:O120)&gt;0,1,0)))</f>
        <v>-</v>
      </c>
      <c r="T120" s="175" t="str">
        <f t="array" aca="1" ref="T120" ca="1">IF(D120="-","-",SUM(IF(ISERROR(SEARCH(E120,$G$7:$G$206)),0,1)))</f>
        <v>-</v>
      </c>
      <c r="V120" s="204"/>
      <c r="W120" s="127"/>
      <c r="X120" s="177" t="str">
        <f t="shared" si="565"/>
        <v>-</v>
      </c>
      <c r="Y120" s="178"/>
      <c r="Z120" s="127"/>
      <c r="AB120" s="179" t="str">
        <f t="shared" ca="1" si="818"/>
        <v>-</v>
      </c>
      <c r="AC120" s="179" t="str">
        <f t="shared" ca="1" si="818"/>
        <v>-</v>
      </c>
      <c r="AD120" s="179" t="str">
        <f t="shared" ca="1" si="818"/>
        <v>-</v>
      </c>
      <c r="AJ120" s="181" t="str">
        <f t="shared" ca="1" si="550"/>
        <v>-</v>
      </c>
      <c r="AK120" s="179" t="str">
        <f t="shared" ca="1" si="551"/>
        <v>-</v>
      </c>
      <c r="AL120" s="179" t="str">
        <f t="shared" ca="1" si="551"/>
        <v>-</v>
      </c>
      <c r="AM120" s="179" t="str">
        <f t="shared" ca="1" si="551"/>
        <v>-</v>
      </c>
      <c r="AO120" s="182" t="str">
        <f t="shared" ca="1" si="819"/>
        <v>-</v>
      </c>
      <c r="AP120" s="182" t="str">
        <f t="shared" ca="1" si="819"/>
        <v>-</v>
      </c>
      <c r="AQ120" s="182" t="str">
        <f t="shared" ca="1" si="819"/>
        <v>-</v>
      </c>
      <c r="AU120" s="185" t="str">
        <f t="shared" ref="AU120" ca="1" si="958">IF($D120="-","-",IF(LEN(M120)=0,"", INDEX($AT$7:$AT$15,MATCH(IF($V120-INDEX(GridXRange,P120)&lt;0,"Negative",IF($V120-INDEX(GridXRange,P120)&gt;0,"Positive","Zero")) &amp; " - " &amp;IF($W120-INDEX(GridYRange,P120)&lt;0,"Negative",IF($W120-INDEX(GridYRange,P120)&gt;0,"Positive","Zero")),$AS$7:$AS$15,0))))</f>
        <v>-</v>
      </c>
      <c r="AV120" s="186" t="str">
        <f t="shared" ref="AV120" ca="1" si="959">IF($D120="-","-",IF(LEN(N120)=0,"", INDEX($AT$7:$AT$15,MATCH(IF($V120-INDEX(GridXRange,Q120)&lt;0,"Negative",IF($V120-INDEX(GridXRange,Q120)&gt;0,"Positive","Zero")) &amp; " - " &amp;IF($W120-INDEX(GridYRange,Q120)&lt;0,"Negative",IF($W120-INDEX(GridYRange,Q120)&gt;0,"Positive","Zero")),$AS$7:$AS$15,0))))</f>
        <v>-</v>
      </c>
      <c r="AW120" s="186" t="str">
        <f t="shared" ref="AW120" ca="1" si="960">IF($D120="-","-",IF(LEN(O120)=0,"", INDEX($AT$7:$AT$15,MATCH(IF($V120-INDEX(GridXRange,R120)&lt;0,"Negative",IF($V120-INDEX(GridXRange,R120)&gt;0,"Positive","Zero")) &amp; " - " &amp;IF($W120-INDEX(GridYRange,R120)&lt;0,"Negative",IF($W120-INDEX(GridYRange,R120)&gt;0,"Positive","Zero")),$AS$7:$AS$15,0))))</f>
        <v>-</v>
      </c>
      <c r="AX120" s="187"/>
      <c r="AY120" s="188"/>
      <c r="AZ120" s="188"/>
      <c r="BA120" s="184"/>
      <c r="BB120" s="187" t="str">
        <f t="shared" ca="1" si="856"/>
        <v>-</v>
      </c>
      <c r="BC120" s="188" t="str">
        <f t="shared" ca="1" si="856"/>
        <v>-</v>
      </c>
      <c r="BD120" s="188" t="str">
        <f t="shared" ca="1" si="856"/>
        <v>-</v>
      </c>
      <c r="BE120" s="189" t="str">
        <f t="shared" ca="1" si="856"/>
        <v>-</v>
      </c>
      <c r="BK120" s="192" t="str">
        <f t="shared" ref="BK120" ca="1" si="961">IF($D120="-","-",$BK$5 + (V120-StartGridX) * (GapXDiff + $BW$7))</f>
        <v>-</v>
      </c>
      <c r="BL120" s="192" t="str">
        <f t="shared" ref="BL120" ca="1" si="962">IF($D120="-","-",$BL$5 + (W120-StartGridY) * (GapYDiff + $BV$7))</f>
        <v>-</v>
      </c>
      <c r="BM120" s="192" t="str">
        <f t="shared" ca="1" si="558"/>
        <v>-</v>
      </c>
      <c r="BN120" s="192" t="str">
        <f t="shared" ca="1" si="559"/>
        <v>-</v>
      </c>
      <c r="BO120" s="192" t="str">
        <f t="shared" ca="1" si="560"/>
        <v>-</v>
      </c>
      <c r="BP120" s="192" t="str">
        <f t="shared" ca="1" si="561"/>
        <v>-</v>
      </c>
      <c r="BQ120" s="192" t="str">
        <f ca="1">IF($D120="-","-",IF(LEN(K120)=0,1,IFERROR(MATCH(K120,Dashboard!$L$25:$L$31,0),1)))</f>
        <v>-</v>
      </c>
      <c r="CC120" s="143" t="str">
        <f t="shared" ref="CC120" ca="1" si="963">IF($D120="-","-",IF(COUNTIF(IDSourceRange,E120)&gt;1,1,0))</f>
        <v>-</v>
      </c>
      <c r="CD120" s="143" t="str">
        <f t="shared" ref="CD120" ca="1" si="964">IF($D120="-","-",  IF(LEN(M120)=0,0,IF(ISERROR(MATCH(M120,IDSourceRange,0)),1,0)) + IF(LEN(N120)=0,0,IF(ISERROR(MATCH(N120,IDSourceRange,0)),1,0)) + IF(LEN(O120)=0,0,IF(ISERROR(MATCH(O120,IDSourceRange,0)),1,0)) )</f>
        <v>-</v>
      </c>
      <c r="CE120" s="143" t="str">
        <f t="shared" ca="1" si="589"/>
        <v>-</v>
      </c>
      <c r="CF120" s="143" t="s">
        <v>128</v>
      </c>
      <c r="CG120" s="143" t="str">
        <f t="shared" ref="CG120" ca="1" si="965">IF($D120="-","-",IF(X120="-",0,IF(COUNTIF(GridCombinedRange,X120)&gt;1,1,0)))</f>
        <v>-</v>
      </c>
      <c r="CH120" s="143"/>
      <c r="CI120" s="143"/>
      <c r="CJ120" s="143"/>
      <c r="CK120" s="143"/>
      <c r="CL120" s="143"/>
    </row>
    <row r="121" spans="3:90" x14ac:dyDescent="0.3">
      <c r="C121" s="170">
        <v>115</v>
      </c>
      <c r="D121" s="111" t="str">
        <f ca="1">IF(COUNTA(OFFSET(Dashboard!$B$6,C121,0,1,COUNTA(Dashboard!$B$6:$H$6)))&gt;0,"Yes","-")</f>
        <v>-</v>
      </c>
      <c r="E121" s="170" t="str">
        <f ca="1">IF(D121="-","-",IF(LEN(INDEX(Dashboard!B$6:B$206,$C121+1))=0,"x"&amp;C121&amp;"x","x"&amp;INDEX(Dashboard!B$6:B$206,$C121+1)&amp;"x"))</f>
        <v>-</v>
      </c>
      <c r="F121" s="171" t="str">
        <f ca="1">IF(D121="-","-",IF(LEN(INDEX(Dashboard!$C$6:$C$206,C121+1))=0," ",INDEX(Dashboard!$C$6:$C$206,C121+1)))</f>
        <v>-</v>
      </c>
      <c r="G121" s="219" t="str">
        <f ca="1">IF(OR(D121="-",D121=""),"-",IF(LEN(INDEX(Dashboard!$D$6:$D$228,C121+1))=0,"", "x"&amp;SUBSTITUTE(SUBSTITUTE(INDEX(Dashboard!$D$6:$D$228,C121+1)," ",""),",","x,x")&amp;"x"))</f>
        <v>-</v>
      </c>
      <c r="H121" s="111" t="str">
        <f ca="1">IF(D121="-","-",TRIM(INDEX(Dashboard!$E$6:$E$206,C121+1)))</f>
        <v>-</v>
      </c>
      <c r="I121" s="111" t="str">
        <f ca="1">IF(D121="-","-",IF(LEN(INDEX(Dashboard!$F$6:$F$206,C121+1))=0,$BS$8,IF(ISERROR(MATCH(INDEX(Dashboard!$F$6:$F$206,C121+1),$BS$7:$BS$35,0)),$BS$8,INDEX(Dashboard!$F$6:$F$206,C121+1))))</f>
        <v>-</v>
      </c>
      <c r="J121" s="111" t="str">
        <f ca="1">IF(D121="-","-",SUBSTITUTE(INDEX(Dashboard!$G$6:$G$206,C121+1)," ",""))</f>
        <v>-</v>
      </c>
      <c r="K121" s="111" t="str">
        <f ca="1">IF(D121="-","-",IF(LEN(INDEX(Dashboard!$H$6:$H$206,C121+1))=0,"",INDEX(Dashboard!$H$6:$H$206,C121+1)))</f>
        <v>-</v>
      </c>
      <c r="M121" s="172" t="str">
        <f t="shared" ca="1" si="852"/>
        <v>-</v>
      </c>
      <c r="N121" s="172" t="str">
        <f t="shared" ca="1" si="852"/>
        <v>-</v>
      </c>
      <c r="O121" s="172" t="str">
        <f t="shared" ca="1" si="852"/>
        <v>-</v>
      </c>
      <c r="P121" s="173" t="str">
        <f t="shared" ca="1" si="817"/>
        <v>-</v>
      </c>
      <c r="Q121" s="172" t="str">
        <f t="shared" ca="1" si="817"/>
        <v>-</v>
      </c>
      <c r="R121" s="172" t="str">
        <f t="shared" ca="1" si="817"/>
        <v>-</v>
      </c>
      <c r="S121" s="174" t="str">
        <f t="array" aca="1" ref="S121" ca="1">IF($D121="-","-",SUM(IF(LEN(M121:O121)&gt;0,1,0)))</f>
        <v>-</v>
      </c>
      <c r="T121" s="175" t="str">
        <f t="array" aca="1" ref="T121" ca="1">IF(D121="-","-",SUM(IF(ISERROR(SEARCH(E121,$G$7:$G$206)),0,1)))</f>
        <v>-</v>
      </c>
      <c r="V121" s="204"/>
      <c r="W121" s="127"/>
      <c r="X121" s="177" t="str">
        <f t="shared" si="565"/>
        <v>-</v>
      </c>
      <c r="Y121" s="178"/>
      <c r="Z121" s="127"/>
      <c r="AB121" s="179" t="str">
        <f t="shared" ca="1" si="818"/>
        <v>-</v>
      </c>
      <c r="AC121" s="179" t="str">
        <f t="shared" ca="1" si="818"/>
        <v>-</v>
      </c>
      <c r="AD121" s="179" t="str">
        <f t="shared" ca="1" si="818"/>
        <v>-</v>
      </c>
      <c r="AJ121" s="181" t="str">
        <f t="shared" ca="1" si="550"/>
        <v>-</v>
      </c>
      <c r="AK121" s="179" t="str">
        <f t="shared" ca="1" si="551"/>
        <v>-</v>
      </c>
      <c r="AL121" s="179" t="str">
        <f t="shared" ca="1" si="551"/>
        <v>-</v>
      </c>
      <c r="AM121" s="179" t="str">
        <f t="shared" ca="1" si="551"/>
        <v>-</v>
      </c>
      <c r="AO121" s="182" t="str">
        <f t="shared" ca="1" si="819"/>
        <v>-</v>
      </c>
      <c r="AP121" s="182" t="str">
        <f t="shared" ca="1" si="819"/>
        <v>-</v>
      </c>
      <c r="AQ121" s="182" t="str">
        <f t="shared" ca="1" si="819"/>
        <v>-</v>
      </c>
      <c r="AU121" s="185" t="str">
        <f t="shared" ref="AU121" ca="1" si="966">IF($D121="-","-",IF(LEN(M121)=0,"", INDEX($AT$7:$AT$15,MATCH(IF($V121-INDEX(GridXRange,P121)&lt;0,"Negative",IF($V121-INDEX(GridXRange,P121)&gt;0,"Positive","Zero")) &amp; " - " &amp;IF($W121-INDEX(GridYRange,P121)&lt;0,"Negative",IF($W121-INDEX(GridYRange,P121)&gt;0,"Positive","Zero")),$AS$7:$AS$15,0))))</f>
        <v>-</v>
      </c>
      <c r="AV121" s="186" t="str">
        <f t="shared" ref="AV121" ca="1" si="967">IF($D121="-","-",IF(LEN(N121)=0,"", INDEX($AT$7:$AT$15,MATCH(IF($V121-INDEX(GridXRange,Q121)&lt;0,"Negative",IF($V121-INDEX(GridXRange,Q121)&gt;0,"Positive","Zero")) &amp; " - " &amp;IF($W121-INDEX(GridYRange,Q121)&lt;0,"Negative",IF($W121-INDEX(GridYRange,Q121)&gt;0,"Positive","Zero")),$AS$7:$AS$15,0))))</f>
        <v>-</v>
      </c>
      <c r="AW121" s="186" t="str">
        <f t="shared" ref="AW121" ca="1" si="968">IF($D121="-","-",IF(LEN(O121)=0,"", INDEX($AT$7:$AT$15,MATCH(IF($V121-INDEX(GridXRange,R121)&lt;0,"Negative",IF($V121-INDEX(GridXRange,R121)&gt;0,"Positive","Zero")) &amp; " - " &amp;IF($W121-INDEX(GridYRange,R121)&lt;0,"Negative",IF($W121-INDEX(GridYRange,R121)&gt;0,"Positive","Zero")),$AS$7:$AS$15,0))))</f>
        <v>-</v>
      </c>
      <c r="AX121" s="187"/>
      <c r="AY121" s="188"/>
      <c r="AZ121" s="188"/>
      <c r="BA121" s="184"/>
      <c r="BB121" s="187" t="str">
        <f t="shared" ca="1" si="856"/>
        <v>-</v>
      </c>
      <c r="BC121" s="188" t="str">
        <f t="shared" ca="1" si="856"/>
        <v>-</v>
      </c>
      <c r="BD121" s="188" t="str">
        <f t="shared" ca="1" si="856"/>
        <v>-</v>
      </c>
      <c r="BE121" s="189" t="str">
        <f t="shared" ca="1" si="856"/>
        <v>-</v>
      </c>
      <c r="BK121" s="192" t="str">
        <f t="shared" ref="BK121" ca="1" si="969">IF($D121="-","-",$BK$5 + (V121-StartGridX) * (GapXDiff + $BW$7))</f>
        <v>-</v>
      </c>
      <c r="BL121" s="192" t="str">
        <f t="shared" ref="BL121" ca="1" si="970">IF($D121="-","-",$BL$5 + (W121-StartGridY) * (GapYDiff + $BV$7))</f>
        <v>-</v>
      </c>
      <c r="BM121" s="192" t="str">
        <f t="shared" ca="1" si="558"/>
        <v>-</v>
      </c>
      <c r="BN121" s="192" t="str">
        <f t="shared" ca="1" si="559"/>
        <v>-</v>
      </c>
      <c r="BO121" s="192" t="str">
        <f t="shared" ca="1" si="560"/>
        <v>-</v>
      </c>
      <c r="BP121" s="192" t="str">
        <f t="shared" ca="1" si="561"/>
        <v>-</v>
      </c>
      <c r="BQ121" s="192" t="str">
        <f ca="1">IF($D121="-","-",IF(LEN(K121)=0,1,IFERROR(MATCH(K121,Dashboard!$L$25:$L$31,0),1)))</f>
        <v>-</v>
      </c>
      <c r="CC121" s="143" t="str">
        <f t="shared" ref="CC121" ca="1" si="971">IF($D121="-","-",IF(COUNTIF(IDSourceRange,E121)&gt;1,1,0))</f>
        <v>-</v>
      </c>
      <c r="CD121" s="143" t="str">
        <f t="shared" ref="CD121" ca="1" si="972">IF($D121="-","-",  IF(LEN(M121)=0,0,IF(ISERROR(MATCH(M121,IDSourceRange,0)),1,0)) + IF(LEN(N121)=0,0,IF(ISERROR(MATCH(N121,IDSourceRange,0)),1,0)) + IF(LEN(O121)=0,0,IF(ISERROR(MATCH(O121,IDSourceRange,0)),1,0)) )</f>
        <v>-</v>
      </c>
      <c r="CE121" s="143" t="str">
        <f t="shared" ca="1" si="589"/>
        <v>-</v>
      </c>
      <c r="CF121" s="143" t="s">
        <v>128</v>
      </c>
      <c r="CG121" s="143" t="str">
        <f t="shared" ref="CG121" ca="1" si="973">IF($D121="-","-",IF(X121="-",0,IF(COUNTIF(GridCombinedRange,X121)&gt;1,1,0)))</f>
        <v>-</v>
      </c>
      <c r="CH121" s="143"/>
      <c r="CI121" s="143"/>
      <c r="CJ121" s="143"/>
      <c r="CK121" s="143"/>
      <c r="CL121" s="143"/>
    </row>
    <row r="122" spans="3:90" x14ac:dyDescent="0.3">
      <c r="C122" s="170">
        <v>116</v>
      </c>
      <c r="D122" s="111" t="str">
        <f ca="1">IF(COUNTA(OFFSET(Dashboard!$B$6,C122,0,1,COUNTA(Dashboard!$B$6:$H$6)))&gt;0,"Yes","-")</f>
        <v>-</v>
      </c>
      <c r="E122" s="170" t="str">
        <f ca="1">IF(D122="-","-",IF(LEN(INDEX(Dashboard!B$6:B$206,$C122+1))=0,"x"&amp;C122&amp;"x","x"&amp;INDEX(Dashboard!B$6:B$206,$C122+1)&amp;"x"))</f>
        <v>-</v>
      </c>
      <c r="F122" s="171" t="str">
        <f ca="1">IF(D122="-","-",IF(LEN(INDEX(Dashboard!$C$6:$C$206,C122+1))=0," ",INDEX(Dashboard!$C$6:$C$206,C122+1)))</f>
        <v>-</v>
      </c>
      <c r="G122" s="219" t="str">
        <f ca="1">IF(OR(D122="-",D122=""),"-",IF(LEN(INDEX(Dashboard!$D$6:$D$228,C122+1))=0,"", "x"&amp;SUBSTITUTE(SUBSTITUTE(INDEX(Dashboard!$D$6:$D$228,C122+1)," ",""),",","x,x")&amp;"x"))</f>
        <v>-</v>
      </c>
      <c r="H122" s="111" t="str">
        <f ca="1">IF(D122="-","-",TRIM(INDEX(Dashboard!$E$6:$E$206,C122+1)))</f>
        <v>-</v>
      </c>
      <c r="I122" s="111" t="str">
        <f ca="1">IF(D122="-","-",IF(LEN(INDEX(Dashboard!$F$6:$F$206,C122+1))=0,$BS$8,IF(ISERROR(MATCH(INDEX(Dashboard!$F$6:$F$206,C122+1),$BS$7:$BS$35,0)),$BS$8,INDEX(Dashboard!$F$6:$F$206,C122+1))))</f>
        <v>-</v>
      </c>
      <c r="J122" s="111" t="str">
        <f ca="1">IF(D122="-","-",SUBSTITUTE(INDEX(Dashboard!$G$6:$G$206,C122+1)," ",""))</f>
        <v>-</v>
      </c>
      <c r="K122" s="111" t="str">
        <f ca="1">IF(D122="-","-",IF(LEN(INDEX(Dashboard!$H$6:$H$206,C122+1))=0,"",INDEX(Dashboard!$H$6:$H$206,C122+1)))</f>
        <v>-</v>
      </c>
      <c r="M122" s="172" t="str">
        <f t="shared" ca="1" si="852"/>
        <v>-</v>
      </c>
      <c r="N122" s="172" t="str">
        <f t="shared" ca="1" si="852"/>
        <v>-</v>
      </c>
      <c r="O122" s="172" t="str">
        <f t="shared" ca="1" si="852"/>
        <v>-</v>
      </c>
      <c r="P122" s="173" t="str">
        <f t="shared" ca="1" si="817"/>
        <v>-</v>
      </c>
      <c r="Q122" s="172" t="str">
        <f t="shared" ca="1" si="817"/>
        <v>-</v>
      </c>
      <c r="R122" s="172" t="str">
        <f t="shared" ca="1" si="817"/>
        <v>-</v>
      </c>
      <c r="S122" s="174" t="str">
        <f t="array" aca="1" ref="S122" ca="1">IF($D122="-","-",SUM(IF(LEN(M122:O122)&gt;0,1,0)))</f>
        <v>-</v>
      </c>
      <c r="T122" s="175" t="str">
        <f t="array" aca="1" ref="T122" ca="1">IF(D122="-","-",SUM(IF(ISERROR(SEARCH(E122,$G$7:$G$206)),0,1)))</f>
        <v>-</v>
      </c>
      <c r="V122" s="204"/>
      <c r="W122" s="127"/>
      <c r="X122" s="177" t="str">
        <f t="shared" si="565"/>
        <v>-</v>
      </c>
      <c r="Y122" s="178"/>
      <c r="Z122" s="127"/>
      <c r="AB122" s="179" t="str">
        <f t="shared" ca="1" si="818"/>
        <v>-</v>
      </c>
      <c r="AC122" s="179" t="str">
        <f t="shared" ca="1" si="818"/>
        <v>-</v>
      </c>
      <c r="AD122" s="179" t="str">
        <f t="shared" ca="1" si="818"/>
        <v>-</v>
      </c>
      <c r="AJ122" s="181" t="str">
        <f t="shared" ca="1" si="550"/>
        <v>-</v>
      </c>
      <c r="AK122" s="179" t="str">
        <f t="shared" ca="1" si="551"/>
        <v>-</v>
      </c>
      <c r="AL122" s="179" t="str">
        <f t="shared" ca="1" si="551"/>
        <v>-</v>
      </c>
      <c r="AM122" s="179" t="str">
        <f t="shared" ca="1" si="551"/>
        <v>-</v>
      </c>
      <c r="AO122" s="182" t="str">
        <f t="shared" ca="1" si="819"/>
        <v>-</v>
      </c>
      <c r="AP122" s="182" t="str">
        <f t="shared" ca="1" si="819"/>
        <v>-</v>
      </c>
      <c r="AQ122" s="182" t="str">
        <f t="shared" ca="1" si="819"/>
        <v>-</v>
      </c>
      <c r="AU122" s="185" t="str">
        <f t="shared" ref="AU122" ca="1" si="974">IF($D122="-","-",IF(LEN(M122)=0,"", INDEX($AT$7:$AT$15,MATCH(IF($V122-INDEX(GridXRange,P122)&lt;0,"Negative",IF($V122-INDEX(GridXRange,P122)&gt;0,"Positive","Zero")) &amp; " - " &amp;IF($W122-INDEX(GridYRange,P122)&lt;0,"Negative",IF($W122-INDEX(GridYRange,P122)&gt;0,"Positive","Zero")),$AS$7:$AS$15,0))))</f>
        <v>-</v>
      </c>
      <c r="AV122" s="186" t="str">
        <f t="shared" ref="AV122" ca="1" si="975">IF($D122="-","-",IF(LEN(N122)=0,"", INDEX($AT$7:$AT$15,MATCH(IF($V122-INDEX(GridXRange,Q122)&lt;0,"Negative",IF($V122-INDEX(GridXRange,Q122)&gt;0,"Positive","Zero")) &amp; " - " &amp;IF($W122-INDEX(GridYRange,Q122)&lt;0,"Negative",IF($W122-INDEX(GridYRange,Q122)&gt;0,"Positive","Zero")),$AS$7:$AS$15,0))))</f>
        <v>-</v>
      </c>
      <c r="AW122" s="186" t="str">
        <f t="shared" ref="AW122" ca="1" si="976">IF($D122="-","-",IF(LEN(O122)=0,"", INDEX($AT$7:$AT$15,MATCH(IF($V122-INDEX(GridXRange,R122)&lt;0,"Negative",IF($V122-INDEX(GridXRange,R122)&gt;0,"Positive","Zero")) &amp; " - " &amp;IF($W122-INDEX(GridYRange,R122)&lt;0,"Negative",IF($W122-INDEX(GridYRange,R122)&gt;0,"Positive","Zero")),$AS$7:$AS$15,0))))</f>
        <v>-</v>
      </c>
      <c r="AX122" s="187"/>
      <c r="AY122" s="188"/>
      <c r="AZ122" s="188"/>
      <c r="BA122" s="184"/>
      <c r="BB122" s="187" t="str">
        <f t="shared" ca="1" si="856"/>
        <v>-</v>
      </c>
      <c r="BC122" s="188" t="str">
        <f t="shared" ca="1" si="856"/>
        <v>-</v>
      </c>
      <c r="BD122" s="188" t="str">
        <f t="shared" ca="1" si="856"/>
        <v>-</v>
      </c>
      <c r="BE122" s="189" t="str">
        <f t="shared" ca="1" si="856"/>
        <v>-</v>
      </c>
      <c r="BK122" s="192" t="str">
        <f t="shared" ref="BK122" ca="1" si="977">IF($D122="-","-",$BK$5 + (V122-StartGridX) * (GapXDiff + $BW$7))</f>
        <v>-</v>
      </c>
      <c r="BL122" s="192" t="str">
        <f t="shared" ref="BL122" ca="1" si="978">IF($D122="-","-",$BL$5 + (W122-StartGridY) * (GapYDiff + $BV$7))</f>
        <v>-</v>
      </c>
      <c r="BM122" s="192" t="str">
        <f t="shared" ca="1" si="558"/>
        <v>-</v>
      </c>
      <c r="BN122" s="192" t="str">
        <f t="shared" ca="1" si="559"/>
        <v>-</v>
      </c>
      <c r="BO122" s="192" t="str">
        <f t="shared" ca="1" si="560"/>
        <v>-</v>
      </c>
      <c r="BP122" s="192" t="str">
        <f t="shared" ca="1" si="561"/>
        <v>-</v>
      </c>
      <c r="BQ122" s="192" t="str">
        <f ca="1">IF($D122="-","-",IF(LEN(K122)=0,1,IFERROR(MATCH(K122,Dashboard!$L$25:$L$31,0),1)))</f>
        <v>-</v>
      </c>
      <c r="CC122" s="143" t="str">
        <f t="shared" ref="CC122" ca="1" si="979">IF($D122="-","-",IF(COUNTIF(IDSourceRange,E122)&gt;1,1,0))</f>
        <v>-</v>
      </c>
      <c r="CD122" s="143" t="str">
        <f t="shared" ref="CD122" ca="1" si="980">IF($D122="-","-",  IF(LEN(M122)=0,0,IF(ISERROR(MATCH(M122,IDSourceRange,0)),1,0)) + IF(LEN(N122)=0,0,IF(ISERROR(MATCH(N122,IDSourceRange,0)),1,0)) + IF(LEN(O122)=0,0,IF(ISERROR(MATCH(O122,IDSourceRange,0)),1,0)) )</f>
        <v>-</v>
      </c>
      <c r="CE122" s="143" t="str">
        <f t="shared" ca="1" si="589"/>
        <v>-</v>
      </c>
      <c r="CF122" s="143" t="s">
        <v>128</v>
      </c>
      <c r="CG122" s="143" t="str">
        <f t="shared" ref="CG122" ca="1" si="981">IF($D122="-","-",IF(X122="-",0,IF(COUNTIF(GridCombinedRange,X122)&gt;1,1,0)))</f>
        <v>-</v>
      </c>
      <c r="CH122" s="143"/>
      <c r="CI122" s="143"/>
      <c r="CJ122" s="143"/>
      <c r="CK122" s="143"/>
      <c r="CL122" s="143"/>
    </row>
    <row r="123" spans="3:90" x14ac:dyDescent="0.3">
      <c r="C123" s="170">
        <v>117</v>
      </c>
      <c r="D123" s="111" t="str">
        <f ca="1">IF(COUNTA(OFFSET(Dashboard!$B$6,C123,0,1,COUNTA(Dashboard!$B$6:$H$6)))&gt;0,"Yes","-")</f>
        <v>-</v>
      </c>
      <c r="E123" s="170" t="str">
        <f ca="1">IF(D123="-","-",IF(LEN(INDEX(Dashboard!B$6:B$206,$C123+1))=0,"x"&amp;C123&amp;"x","x"&amp;INDEX(Dashboard!B$6:B$206,$C123+1)&amp;"x"))</f>
        <v>-</v>
      </c>
      <c r="F123" s="171" t="str">
        <f ca="1">IF(D123="-","-",IF(LEN(INDEX(Dashboard!$C$6:$C$206,C123+1))=0," ",INDEX(Dashboard!$C$6:$C$206,C123+1)))</f>
        <v>-</v>
      </c>
      <c r="G123" s="219" t="str">
        <f ca="1">IF(OR(D123="-",D123=""),"-",IF(LEN(INDEX(Dashboard!$D$6:$D$228,C123+1))=0,"", "x"&amp;SUBSTITUTE(SUBSTITUTE(INDEX(Dashboard!$D$6:$D$228,C123+1)," ",""),",","x,x")&amp;"x"))</f>
        <v>-</v>
      </c>
      <c r="H123" s="111" t="str">
        <f ca="1">IF(D123="-","-",TRIM(INDEX(Dashboard!$E$6:$E$206,C123+1)))</f>
        <v>-</v>
      </c>
      <c r="I123" s="111" t="str">
        <f ca="1">IF(D123="-","-",IF(LEN(INDEX(Dashboard!$F$6:$F$206,C123+1))=0,$BS$8,IF(ISERROR(MATCH(INDEX(Dashboard!$F$6:$F$206,C123+1),$BS$7:$BS$35,0)),$BS$8,INDEX(Dashboard!$F$6:$F$206,C123+1))))</f>
        <v>-</v>
      </c>
      <c r="J123" s="111" t="str">
        <f ca="1">IF(D123="-","-",SUBSTITUTE(INDEX(Dashboard!$G$6:$G$206,C123+1)," ",""))</f>
        <v>-</v>
      </c>
      <c r="K123" s="111" t="str">
        <f ca="1">IF(D123="-","-",IF(LEN(INDEX(Dashboard!$H$6:$H$206,C123+1))=0,"",INDEX(Dashboard!$H$6:$H$206,C123+1)))</f>
        <v>-</v>
      </c>
      <c r="M123" s="172" t="str">
        <f t="shared" ca="1" si="852"/>
        <v>-</v>
      </c>
      <c r="N123" s="172" t="str">
        <f t="shared" ca="1" si="852"/>
        <v>-</v>
      </c>
      <c r="O123" s="172" t="str">
        <f t="shared" ca="1" si="852"/>
        <v>-</v>
      </c>
      <c r="P123" s="173" t="str">
        <f t="shared" ca="1" si="817"/>
        <v>-</v>
      </c>
      <c r="Q123" s="172" t="str">
        <f t="shared" ca="1" si="817"/>
        <v>-</v>
      </c>
      <c r="R123" s="172" t="str">
        <f t="shared" ca="1" si="817"/>
        <v>-</v>
      </c>
      <c r="S123" s="174" t="str">
        <f t="array" aca="1" ref="S123" ca="1">IF($D123="-","-",SUM(IF(LEN(M123:O123)&gt;0,1,0)))</f>
        <v>-</v>
      </c>
      <c r="T123" s="175" t="str">
        <f t="array" aca="1" ref="T123" ca="1">IF(D123="-","-",SUM(IF(ISERROR(SEARCH(E123,$G$7:$G$206)),0,1)))</f>
        <v>-</v>
      </c>
      <c r="V123" s="204"/>
      <c r="W123" s="127"/>
      <c r="X123" s="177" t="str">
        <f t="shared" si="565"/>
        <v>-</v>
      </c>
      <c r="Y123" s="178"/>
      <c r="Z123" s="127"/>
      <c r="AB123" s="179" t="str">
        <f t="shared" ca="1" si="818"/>
        <v>-</v>
      </c>
      <c r="AC123" s="179" t="str">
        <f t="shared" ca="1" si="818"/>
        <v>-</v>
      </c>
      <c r="AD123" s="179" t="str">
        <f t="shared" ca="1" si="818"/>
        <v>-</v>
      </c>
      <c r="AJ123" s="181" t="str">
        <f t="shared" ca="1" si="550"/>
        <v>-</v>
      </c>
      <c r="AK123" s="179" t="str">
        <f t="shared" ca="1" si="551"/>
        <v>-</v>
      </c>
      <c r="AL123" s="179" t="str">
        <f t="shared" ca="1" si="551"/>
        <v>-</v>
      </c>
      <c r="AM123" s="179" t="str">
        <f t="shared" ca="1" si="551"/>
        <v>-</v>
      </c>
      <c r="AO123" s="182" t="str">
        <f t="shared" ca="1" si="819"/>
        <v>-</v>
      </c>
      <c r="AP123" s="182" t="str">
        <f t="shared" ca="1" si="819"/>
        <v>-</v>
      </c>
      <c r="AQ123" s="182" t="str">
        <f t="shared" ca="1" si="819"/>
        <v>-</v>
      </c>
      <c r="AU123" s="185" t="str">
        <f t="shared" ref="AU123" ca="1" si="982">IF($D123="-","-",IF(LEN(M123)=0,"", INDEX($AT$7:$AT$15,MATCH(IF($V123-INDEX(GridXRange,P123)&lt;0,"Negative",IF($V123-INDEX(GridXRange,P123)&gt;0,"Positive","Zero")) &amp; " - " &amp;IF($W123-INDEX(GridYRange,P123)&lt;0,"Negative",IF($W123-INDEX(GridYRange,P123)&gt;0,"Positive","Zero")),$AS$7:$AS$15,0))))</f>
        <v>-</v>
      </c>
      <c r="AV123" s="186" t="str">
        <f t="shared" ref="AV123" ca="1" si="983">IF($D123="-","-",IF(LEN(N123)=0,"", INDEX($AT$7:$AT$15,MATCH(IF($V123-INDEX(GridXRange,Q123)&lt;0,"Negative",IF($V123-INDEX(GridXRange,Q123)&gt;0,"Positive","Zero")) &amp; " - " &amp;IF($W123-INDEX(GridYRange,Q123)&lt;0,"Negative",IF($W123-INDEX(GridYRange,Q123)&gt;0,"Positive","Zero")),$AS$7:$AS$15,0))))</f>
        <v>-</v>
      </c>
      <c r="AW123" s="186" t="str">
        <f t="shared" ref="AW123" ca="1" si="984">IF($D123="-","-",IF(LEN(O123)=0,"", INDEX($AT$7:$AT$15,MATCH(IF($V123-INDEX(GridXRange,R123)&lt;0,"Negative",IF($V123-INDEX(GridXRange,R123)&gt;0,"Positive","Zero")) &amp; " - " &amp;IF($W123-INDEX(GridYRange,R123)&lt;0,"Negative",IF($W123-INDEX(GridYRange,R123)&gt;0,"Positive","Zero")),$AS$7:$AS$15,0))))</f>
        <v>-</v>
      </c>
      <c r="AX123" s="187"/>
      <c r="AY123" s="188"/>
      <c r="AZ123" s="188"/>
      <c r="BA123" s="184"/>
      <c r="BB123" s="187" t="str">
        <f t="shared" ca="1" si="856"/>
        <v>-</v>
      </c>
      <c r="BC123" s="188" t="str">
        <f t="shared" ca="1" si="856"/>
        <v>-</v>
      </c>
      <c r="BD123" s="188" t="str">
        <f t="shared" ca="1" si="856"/>
        <v>-</v>
      </c>
      <c r="BE123" s="189" t="str">
        <f t="shared" ca="1" si="856"/>
        <v>-</v>
      </c>
      <c r="BK123" s="192" t="str">
        <f t="shared" ref="BK123" ca="1" si="985">IF($D123="-","-",$BK$5 + (V123-StartGridX) * (GapXDiff + $BW$7))</f>
        <v>-</v>
      </c>
      <c r="BL123" s="192" t="str">
        <f t="shared" ref="BL123" ca="1" si="986">IF($D123="-","-",$BL$5 + (W123-StartGridY) * (GapYDiff + $BV$7))</f>
        <v>-</v>
      </c>
      <c r="BM123" s="192" t="str">
        <f t="shared" ca="1" si="558"/>
        <v>-</v>
      </c>
      <c r="BN123" s="192" t="str">
        <f t="shared" ca="1" si="559"/>
        <v>-</v>
      </c>
      <c r="BO123" s="192" t="str">
        <f t="shared" ca="1" si="560"/>
        <v>-</v>
      </c>
      <c r="BP123" s="192" t="str">
        <f t="shared" ca="1" si="561"/>
        <v>-</v>
      </c>
      <c r="BQ123" s="192" t="str">
        <f ca="1">IF($D123="-","-",IF(LEN(K123)=0,1,IFERROR(MATCH(K123,Dashboard!$L$25:$L$31,0),1)))</f>
        <v>-</v>
      </c>
      <c r="CC123" s="143" t="str">
        <f t="shared" ref="CC123" ca="1" si="987">IF($D123="-","-",IF(COUNTIF(IDSourceRange,E123)&gt;1,1,0))</f>
        <v>-</v>
      </c>
      <c r="CD123" s="143" t="str">
        <f t="shared" ref="CD123" ca="1" si="988">IF($D123="-","-",  IF(LEN(M123)=0,0,IF(ISERROR(MATCH(M123,IDSourceRange,0)),1,0)) + IF(LEN(N123)=0,0,IF(ISERROR(MATCH(N123,IDSourceRange,0)),1,0)) + IF(LEN(O123)=0,0,IF(ISERROR(MATCH(O123,IDSourceRange,0)),1,0)) )</f>
        <v>-</v>
      </c>
      <c r="CE123" s="143" t="str">
        <f t="shared" ca="1" si="589"/>
        <v>-</v>
      </c>
      <c r="CF123" s="143" t="s">
        <v>128</v>
      </c>
      <c r="CG123" s="143" t="str">
        <f t="shared" ref="CG123" ca="1" si="989">IF($D123="-","-",IF(X123="-",0,IF(COUNTIF(GridCombinedRange,X123)&gt;1,1,0)))</f>
        <v>-</v>
      </c>
      <c r="CH123" s="143"/>
      <c r="CI123" s="143"/>
      <c r="CJ123" s="143"/>
      <c r="CK123" s="143"/>
      <c r="CL123" s="143"/>
    </row>
    <row r="124" spans="3:90" x14ac:dyDescent="0.3">
      <c r="C124" s="170">
        <v>118</v>
      </c>
      <c r="D124" s="111" t="str">
        <f ca="1">IF(COUNTA(OFFSET(Dashboard!$B$6,C124,0,1,COUNTA(Dashboard!$B$6:$H$6)))&gt;0,"Yes","-")</f>
        <v>-</v>
      </c>
      <c r="E124" s="170" t="str">
        <f ca="1">IF(D124="-","-",IF(LEN(INDEX(Dashboard!B$6:B$206,$C124+1))=0,"x"&amp;C124&amp;"x","x"&amp;INDEX(Dashboard!B$6:B$206,$C124+1)&amp;"x"))</f>
        <v>-</v>
      </c>
      <c r="F124" s="171" t="str">
        <f ca="1">IF(D124="-","-",IF(LEN(INDEX(Dashboard!$C$6:$C$206,C124+1))=0," ",INDEX(Dashboard!$C$6:$C$206,C124+1)))</f>
        <v>-</v>
      </c>
      <c r="G124" s="219" t="str">
        <f ca="1">IF(OR(D124="-",D124=""),"-",IF(LEN(INDEX(Dashboard!$D$6:$D$228,C124+1))=0,"", "x"&amp;SUBSTITUTE(SUBSTITUTE(INDEX(Dashboard!$D$6:$D$228,C124+1)," ",""),",","x,x")&amp;"x"))</f>
        <v>-</v>
      </c>
      <c r="H124" s="219" t="str">
        <f ca="1">IF(D124="-","-",TRIM(INDEX(Dashboard!$E$6:$E$228,C124+1)))</f>
        <v>-</v>
      </c>
      <c r="I124" s="111" t="str">
        <f ca="1">IF(D124="-","-",IF(LEN(INDEX(Dashboard!$F$6:$F$206,C124+1))=0,$BS$8,IF(ISERROR(MATCH(INDEX(Dashboard!$F$6:$F$206,C124+1),$BS$7:$BS$35,0)),$BS$8,INDEX(Dashboard!$F$6:$F$206,C124+1))))</f>
        <v>-</v>
      </c>
      <c r="J124" s="111" t="str">
        <f ca="1">IF(D124="-","-",SUBSTITUTE(INDEX(Dashboard!$G$6:$G$206,C124+1)," ",""))</f>
        <v>-</v>
      </c>
      <c r="K124" s="111" t="str">
        <f ca="1">IF(D124="-","-",IF(LEN(INDEX(Dashboard!$H$6:$H$206,C124+1))=0,"",INDEX(Dashboard!$H$6:$H$206,C124+1)))</f>
        <v>-</v>
      </c>
      <c r="M124" s="172" t="str">
        <f t="shared" ca="1" si="852"/>
        <v>-</v>
      </c>
      <c r="N124" s="172" t="str">
        <f t="shared" ca="1" si="852"/>
        <v>-</v>
      </c>
      <c r="O124" s="172" t="str">
        <f t="shared" ca="1" si="852"/>
        <v>-</v>
      </c>
      <c r="P124" s="173" t="str">
        <f t="shared" ca="1" si="817"/>
        <v>-</v>
      </c>
      <c r="Q124" s="172" t="str">
        <f t="shared" ca="1" si="817"/>
        <v>-</v>
      </c>
      <c r="R124" s="172" t="str">
        <f t="shared" ca="1" si="817"/>
        <v>-</v>
      </c>
      <c r="S124" s="174" t="str">
        <f t="array" aca="1" ref="S124" ca="1">IF($D124="-","-",SUM(IF(LEN(M124:O124)&gt;0,1,0)))</f>
        <v>-</v>
      </c>
      <c r="T124" s="175" t="str">
        <f t="array" aca="1" ref="T124" ca="1">IF(D124="-","-",SUM(IF(ISERROR(SEARCH(E124,$G$7:$G$206)),0,1)))</f>
        <v>-</v>
      </c>
      <c r="V124" s="204"/>
      <c r="W124" s="127"/>
      <c r="X124" s="177" t="str">
        <f t="shared" si="565"/>
        <v>-</v>
      </c>
      <c r="Y124" s="178"/>
      <c r="Z124" s="127"/>
      <c r="AB124" s="179" t="str">
        <f t="shared" ca="1" si="818"/>
        <v>-</v>
      </c>
      <c r="AC124" s="179" t="str">
        <f t="shared" ca="1" si="818"/>
        <v>-</v>
      </c>
      <c r="AD124" s="179" t="str">
        <f t="shared" ca="1" si="818"/>
        <v>-</v>
      </c>
      <c r="AJ124" s="181" t="str">
        <f t="shared" ca="1" si="550"/>
        <v>-</v>
      </c>
      <c r="AK124" s="179" t="str">
        <f t="shared" ca="1" si="551"/>
        <v>-</v>
      </c>
      <c r="AL124" s="179" t="str">
        <f t="shared" ca="1" si="551"/>
        <v>-</v>
      </c>
      <c r="AM124" s="179" t="str">
        <f t="shared" ca="1" si="551"/>
        <v>-</v>
      </c>
      <c r="AO124" s="182" t="str">
        <f t="shared" ca="1" si="819"/>
        <v>-</v>
      </c>
      <c r="AP124" s="182" t="str">
        <f t="shared" ca="1" si="819"/>
        <v>-</v>
      </c>
      <c r="AQ124" s="182" t="str">
        <f t="shared" ca="1" si="819"/>
        <v>-</v>
      </c>
      <c r="AU124" s="185" t="str">
        <f t="shared" ref="AU124" ca="1" si="990">IF($D124="-","-",IF(LEN(M124)=0,"", INDEX($AT$7:$AT$15,MATCH(IF($V124-INDEX(GridXRange,P124)&lt;0,"Negative",IF($V124-INDEX(GridXRange,P124)&gt;0,"Positive","Zero")) &amp; " - " &amp;IF($W124-INDEX(GridYRange,P124)&lt;0,"Negative",IF($W124-INDEX(GridYRange,P124)&gt;0,"Positive","Zero")),$AS$7:$AS$15,0))))</f>
        <v>-</v>
      </c>
      <c r="AV124" s="186" t="str">
        <f t="shared" ref="AV124" ca="1" si="991">IF($D124="-","-",IF(LEN(N124)=0,"", INDEX($AT$7:$AT$15,MATCH(IF($V124-INDEX(GridXRange,Q124)&lt;0,"Negative",IF($V124-INDEX(GridXRange,Q124)&gt;0,"Positive","Zero")) &amp; " - " &amp;IF($W124-INDEX(GridYRange,Q124)&lt;0,"Negative",IF($W124-INDEX(GridYRange,Q124)&gt;0,"Positive","Zero")),$AS$7:$AS$15,0))))</f>
        <v>-</v>
      </c>
      <c r="AW124" s="186" t="str">
        <f t="shared" ref="AW124" ca="1" si="992">IF($D124="-","-",IF(LEN(O124)=0,"", INDEX($AT$7:$AT$15,MATCH(IF($V124-INDEX(GridXRange,R124)&lt;0,"Negative",IF($V124-INDEX(GridXRange,R124)&gt;0,"Positive","Zero")) &amp; " - " &amp;IF($W124-INDEX(GridYRange,R124)&lt;0,"Negative",IF($W124-INDEX(GridYRange,R124)&gt;0,"Positive","Zero")),$AS$7:$AS$15,0))))</f>
        <v>-</v>
      </c>
      <c r="AX124" s="187"/>
      <c r="AY124" s="188"/>
      <c r="AZ124" s="188"/>
      <c r="BA124" s="184"/>
      <c r="BB124" s="187" t="str">
        <f t="shared" ca="1" si="856"/>
        <v>-</v>
      </c>
      <c r="BC124" s="188" t="str">
        <f t="shared" ca="1" si="856"/>
        <v>-</v>
      </c>
      <c r="BD124" s="188" t="str">
        <f t="shared" ca="1" si="856"/>
        <v>-</v>
      </c>
      <c r="BE124" s="189" t="str">
        <f t="shared" ca="1" si="856"/>
        <v>-</v>
      </c>
      <c r="BK124" s="192" t="str">
        <f t="shared" ref="BK124" ca="1" si="993">IF($D124="-","-",$BK$5 + (V124-StartGridX) * (GapXDiff + $BW$7))</f>
        <v>-</v>
      </c>
      <c r="BL124" s="192" t="str">
        <f t="shared" ref="BL124" ca="1" si="994">IF($D124="-","-",$BL$5 + (W124-StartGridY) * (GapYDiff + $BV$7))</f>
        <v>-</v>
      </c>
      <c r="BM124" s="192" t="str">
        <f t="shared" ca="1" si="558"/>
        <v>-</v>
      </c>
      <c r="BN124" s="192" t="str">
        <f t="shared" ca="1" si="559"/>
        <v>-</v>
      </c>
      <c r="BO124" s="192" t="str">
        <f t="shared" ca="1" si="560"/>
        <v>-</v>
      </c>
      <c r="BP124" s="192" t="str">
        <f t="shared" ca="1" si="561"/>
        <v>-</v>
      </c>
      <c r="BQ124" s="192" t="str">
        <f ca="1">IF($D124="-","-",IF(LEN(K124)=0,1,IFERROR(MATCH(K124,Dashboard!$L$25:$L$31,0),1)))</f>
        <v>-</v>
      </c>
      <c r="CC124" s="143" t="str">
        <f t="shared" ref="CC124" ca="1" si="995">IF($D124="-","-",IF(COUNTIF(IDSourceRange,E124)&gt;1,1,0))</f>
        <v>-</v>
      </c>
      <c r="CD124" s="143" t="str">
        <f t="shared" ref="CD124" ca="1" si="996">IF($D124="-","-",  IF(LEN(M124)=0,0,IF(ISERROR(MATCH(M124,IDSourceRange,0)),1,0)) + IF(LEN(N124)=0,0,IF(ISERROR(MATCH(N124,IDSourceRange,0)),1,0)) + IF(LEN(O124)=0,0,IF(ISERROR(MATCH(O124,IDSourceRange,0)),1,0)) )</f>
        <v>-</v>
      </c>
      <c r="CE124" s="143" t="str">
        <f t="shared" ca="1" si="589"/>
        <v>-</v>
      </c>
      <c r="CF124" s="143" t="s">
        <v>128</v>
      </c>
      <c r="CG124" s="143" t="str">
        <f t="shared" ref="CG124" ca="1" si="997">IF($D124="-","-",IF(X124="-",0,IF(COUNTIF(GridCombinedRange,X124)&gt;1,1,0)))</f>
        <v>-</v>
      </c>
      <c r="CH124" s="143"/>
      <c r="CI124" s="143"/>
      <c r="CJ124" s="143"/>
      <c r="CK124" s="143"/>
      <c r="CL124" s="143"/>
    </row>
    <row r="125" spans="3:90" x14ac:dyDescent="0.3">
      <c r="C125" s="170">
        <v>119</v>
      </c>
      <c r="D125" s="111" t="str">
        <f ca="1">IF(COUNTA(OFFSET(Dashboard!$B$6,C125,0,1,COUNTA(Dashboard!$B$6:$H$6)))&gt;0,"Yes","-")</f>
        <v>-</v>
      </c>
      <c r="E125" s="170" t="str">
        <f ca="1">IF(D125="-","-",IF(LEN(INDEX(Dashboard!B$6:B$206,$C125+1))=0,"x"&amp;C125&amp;"x","x"&amp;INDEX(Dashboard!B$6:B$206,$C125+1)&amp;"x"))</f>
        <v>-</v>
      </c>
      <c r="F125" s="171" t="str">
        <f ca="1">IF(D125="-","-",IF(LEN(INDEX(Dashboard!$C$6:$C$206,C125+1))=0," ",INDEX(Dashboard!$C$6:$C$206,C125+1)))</f>
        <v>-</v>
      </c>
      <c r="G125" s="219" t="str">
        <f ca="1">IF(OR(D125="-",D125=""),"-",IF(LEN(INDEX(Dashboard!$D$6:$D$228,C125+1))=0,"", "x"&amp;SUBSTITUTE(SUBSTITUTE(INDEX(Dashboard!$D$6:$D$228,C125+1)," ",""),",","x,x")&amp;"x"))</f>
        <v>-</v>
      </c>
      <c r="H125" s="111" t="str">
        <f ca="1">IF(D125="-","-",TRIM(INDEX(Dashboard!$E$6:$E$206,C125+1)))</f>
        <v>-</v>
      </c>
      <c r="I125" s="111" t="str">
        <f ca="1">IF(D125="-","-",IF(LEN(INDEX(Dashboard!$F$6:$F$206,C125+1))=0,$BS$8,IF(ISERROR(MATCH(INDEX(Dashboard!$F$6:$F$206,C125+1),$BS$7:$BS$35,0)),$BS$8,INDEX(Dashboard!$F$6:$F$206,C125+1))))</f>
        <v>-</v>
      </c>
      <c r="J125" s="111" t="str">
        <f ca="1">IF(D125="-","-",SUBSTITUTE(INDEX(Dashboard!$G$6:$G$206,C125+1)," ",""))</f>
        <v>-</v>
      </c>
      <c r="K125" s="111" t="str">
        <f ca="1">IF(D125="-","-",IF(LEN(INDEX(Dashboard!$H$6:$H$206,C125+1))=0,"",INDEX(Dashboard!$H$6:$H$206,C125+1)))</f>
        <v>-</v>
      </c>
      <c r="M125" s="172" t="str">
        <f t="shared" ca="1" si="852"/>
        <v>-</v>
      </c>
      <c r="N125" s="172" t="str">
        <f t="shared" ca="1" si="852"/>
        <v>-</v>
      </c>
      <c r="O125" s="172" t="str">
        <f t="shared" ca="1" si="852"/>
        <v>-</v>
      </c>
      <c r="P125" s="173" t="str">
        <f t="shared" ca="1" si="817"/>
        <v>-</v>
      </c>
      <c r="Q125" s="172" t="str">
        <f t="shared" ca="1" si="817"/>
        <v>-</v>
      </c>
      <c r="R125" s="172" t="str">
        <f t="shared" ca="1" si="817"/>
        <v>-</v>
      </c>
      <c r="S125" s="174" t="str">
        <f t="array" aca="1" ref="S125" ca="1">IF($D125="-","-",SUM(IF(LEN(M125:O125)&gt;0,1,0)))</f>
        <v>-</v>
      </c>
      <c r="T125" s="175" t="str">
        <f t="array" aca="1" ref="T125" ca="1">IF(D125="-","-",SUM(IF(ISERROR(SEARCH(E125,$G$7:$G$206)),0,1)))</f>
        <v>-</v>
      </c>
      <c r="V125" s="204"/>
      <c r="W125" s="127"/>
      <c r="X125" s="177" t="str">
        <f t="shared" si="565"/>
        <v>-</v>
      </c>
      <c r="Y125" s="178"/>
      <c r="Z125" s="127"/>
      <c r="AB125" s="179" t="str">
        <f t="shared" ca="1" si="818"/>
        <v>-</v>
      </c>
      <c r="AC125" s="179" t="str">
        <f t="shared" ca="1" si="818"/>
        <v>-</v>
      </c>
      <c r="AD125" s="179" t="str">
        <f t="shared" ca="1" si="818"/>
        <v>-</v>
      </c>
      <c r="AJ125" s="181" t="str">
        <f t="shared" ca="1" si="550"/>
        <v>-</v>
      </c>
      <c r="AK125" s="179" t="str">
        <f t="shared" ca="1" si="551"/>
        <v>-</v>
      </c>
      <c r="AL125" s="179" t="str">
        <f t="shared" ca="1" si="551"/>
        <v>-</v>
      </c>
      <c r="AM125" s="179" t="str">
        <f t="shared" ca="1" si="551"/>
        <v>-</v>
      </c>
      <c r="AO125" s="182" t="str">
        <f t="shared" ca="1" si="819"/>
        <v>-</v>
      </c>
      <c r="AP125" s="182" t="str">
        <f t="shared" ca="1" si="819"/>
        <v>-</v>
      </c>
      <c r="AQ125" s="182" t="str">
        <f t="shared" ca="1" si="819"/>
        <v>-</v>
      </c>
      <c r="AU125" s="185" t="str">
        <f t="shared" ref="AU125" ca="1" si="998">IF($D125="-","-",IF(LEN(M125)=0,"", INDEX($AT$7:$AT$15,MATCH(IF($V125-INDEX(GridXRange,P125)&lt;0,"Negative",IF($V125-INDEX(GridXRange,P125)&gt;0,"Positive","Zero")) &amp; " - " &amp;IF($W125-INDEX(GridYRange,P125)&lt;0,"Negative",IF($W125-INDEX(GridYRange,P125)&gt;0,"Positive","Zero")),$AS$7:$AS$15,0))))</f>
        <v>-</v>
      </c>
      <c r="AV125" s="186" t="str">
        <f t="shared" ref="AV125" ca="1" si="999">IF($D125="-","-",IF(LEN(N125)=0,"", INDEX($AT$7:$AT$15,MATCH(IF($V125-INDEX(GridXRange,Q125)&lt;0,"Negative",IF($V125-INDEX(GridXRange,Q125)&gt;0,"Positive","Zero")) &amp; " - " &amp;IF($W125-INDEX(GridYRange,Q125)&lt;0,"Negative",IF($W125-INDEX(GridYRange,Q125)&gt;0,"Positive","Zero")),$AS$7:$AS$15,0))))</f>
        <v>-</v>
      </c>
      <c r="AW125" s="186" t="str">
        <f t="shared" ref="AW125" ca="1" si="1000">IF($D125="-","-",IF(LEN(O125)=0,"", INDEX($AT$7:$AT$15,MATCH(IF($V125-INDEX(GridXRange,R125)&lt;0,"Negative",IF($V125-INDEX(GridXRange,R125)&gt;0,"Positive","Zero")) &amp; " - " &amp;IF($W125-INDEX(GridYRange,R125)&lt;0,"Negative",IF($W125-INDEX(GridYRange,R125)&gt;0,"Positive","Zero")),$AS$7:$AS$15,0))))</f>
        <v>-</v>
      </c>
      <c r="AX125" s="187"/>
      <c r="AY125" s="188"/>
      <c r="AZ125" s="188"/>
      <c r="BA125" s="184"/>
      <c r="BB125" s="187" t="str">
        <f t="shared" ca="1" si="856"/>
        <v>-</v>
      </c>
      <c r="BC125" s="188" t="str">
        <f t="shared" ca="1" si="856"/>
        <v>-</v>
      </c>
      <c r="BD125" s="188" t="str">
        <f t="shared" ca="1" si="856"/>
        <v>-</v>
      </c>
      <c r="BE125" s="189" t="str">
        <f t="shared" ca="1" si="856"/>
        <v>-</v>
      </c>
      <c r="BK125" s="192" t="str">
        <f t="shared" ref="BK125" ca="1" si="1001">IF($D125="-","-",$BK$5 + (V125-StartGridX) * (GapXDiff + $BW$7))</f>
        <v>-</v>
      </c>
      <c r="BL125" s="192" t="str">
        <f t="shared" ref="BL125" ca="1" si="1002">IF($D125="-","-",$BL$5 + (W125-StartGridY) * (GapYDiff + $BV$7))</f>
        <v>-</v>
      </c>
      <c r="BM125" s="192" t="str">
        <f t="shared" ca="1" si="558"/>
        <v>-</v>
      </c>
      <c r="BN125" s="192" t="str">
        <f t="shared" ca="1" si="559"/>
        <v>-</v>
      </c>
      <c r="BO125" s="192" t="str">
        <f t="shared" ca="1" si="560"/>
        <v>-</v>
      </c>
      <c r="BP125" s="192" t="str">
        <f t="shared" ca="1" si="561"/>
        <v>-</v>
      </c>
      <c r="BQ125" s="192" t="str">
        <f ca="1">IF($D125="-","-",IF(LEN(K125)=0,1,IFERROR(MATCH(K125,Dashboard!$L$25:$L$31,0),1)))</f>
        <v>-</v>
      </c>
      <c r="CC125" s="143" t="str">
        <f t="shared" ref="CC125" ca="1" si="1003">IF($D125="-","-",IF(COUNTIF(IDSourceRange,E125)&gt;1,1,0))</f>
        <v>-</v>
      </c>
      <c r="CD125" s="143" t="str">
        <f t="shared" ref="CD125" ca="1" si="1004">IF($D125="-","-",  IF(LEN(M125)=0,0,IF(ISERROR(MATCH(M125,IDSourceRange,0)),1,0)) + IF(LEN(N125)=0,0,IF(ISERROR(MATCH(N125,IDSourceRange,0)),1,0)) + IF(LEN(O125)=0,0,IF(ISERROR(MATCH(O125,IDSourceRange,0)),1,0)) )</f>
        <v>-</v>
      </c>
      <c r="CE125" s="143" t="str">
        <f t="shared" ca="1" si="589"/>
        <v>-</v>
      </c>
      <c r="CF125" s="143" t="s">
        <v>128</v>
      </c>
      <c r="CG125" s="143" t="str">
        <f t="shared" ref="CG125" ca="1" si="1005">IF($D125="-","-",IF(X125="-",0,IF(COUNTIF(GridCombinedRange,X125)&gt;1,1,0)))</f>
        <v>-</v>
      </c>
      <c r="CH125" s="143"/>
      <c r="CI125" s="143"/>
      <c r="CJ125" s="143"/>
      <c r="CK125" s="143"/>
      <c r="CL125" s="143"/>
    </row>
    <row r="126" spans="3:90" x14ac:dyDescent="0.3">
      <c r="C126" s="170">
        <v>120</v>
      </c>
      <c r="D126" s="111" t="str">
        <f ca="1">IF(COUNTA(OFFSET(Dashboard!$B$6,C126,0,1,COUNTA(Dashboard!$B$6:$H$6)))&gt;0,"Yes","-")</f>
        <v>-</v>
      </c>
      <c r="E126" s="170" t="str">
        <f ca="1">IF(D126="-","-",IF(LEN(INDEX(Dashboard!B$6:B$206,$C126+1))=0,"x"&amp;C126&amp;"x","x"&amp;INDEX(Dashboard!B$6:B$206,$C126+1)&amp;"x"))</f>
        <v>-</v>
      </c>
      <c r="F126" s="171" t="str">
        <f ca="1">IF(D126="-","-",IF(LEN(INDEX(Dashboard!$C$6:$C$206,C126+1))=0," ",INDEX(Dashboard!$C$6:$C$206,C126+1)))</f>
        <v>-</v>
      </c>
      <c r="G126" s="219" t="str">
        <f ca="1">IF(OR(D126="-",D126=""),"-",IF(LEN(INDEX(Dashboard!$D$6:$D$228,C126+1))=0,"", "x"&amp;SUBSTITUTE(SUBSTITUTE(INDEX(Dashboard!$D$6:$D$228,C126+1)," ",""),",","x,x")&amp;"x"))</f>
        <v>-</v>
      </c>
      <c r="H126" s="111" t="str">
        <f ca="1">IF(D126="-","-",TRIM(INDEX(Dashboard!$E$6:$E$206,C126+1)))</f>
        <v>-</v>
      </c>
      <c r="I126" s="111" t="str">
        <f ca="1">IF(D126="-","-",IF(LEN(INDEX(Dashboard!$F$6:$F$206,C126+1))=0,$BS$8,IF(ISERROR(MATCH(INDEX(Dashboard!$F$6:$F$206,C126+1),$BS$7:$BS$35,0)),$BS$8,INDEX(Dashboard!$F$6:$F$206,C126+1))))</f>
        <v>-</v>
      </c>
      <c r="J126" s="111" t="str">
        <f ca="1">IF(D126="-","-",SUBSTITUTE(INDEX(Dashboard!$G$6:$G$206,C126+1)," ",""))</f>
        <v>-</v>
      </c>
      <c r="K126" s="111" t="str">
        <f ca="1">IF(D126="-","-",IF(LEN(INDEX(Dashboard!$H$6:$H$206,C126+1))=0,"",INDEX(Dashboard!$H$6:$H$206,C126+1)))</f>
        <v>-</v>
      </c>
      <c r="M126" s="172" t="str">
        <f t="shared" ca="1" si="852"/>
        <v>-</v>
      </c>
      <c r="N126" s="172" t="str">
        <f t="shared" ca="1" si="852"/>
        <v>-</v>
      </c>
      <c r="O126" s="172" t="str">
        <f t="shared" ca="1" si="852"/>
        <v>-</v>
      </c>
      <c r="P126" s="173" t="str">
        <f t="shared" ca="1" si="817"/>
        <v>-</v>
      </c>
      <c r="Q126" s="172" t="str">
        <f t="shared" ca="1" si="817"/>
        <v>-</v>
      </c>
      <c r="R126" s="172" t="str">
        <f t="shared" ca="1" si="817"/>
        <v>-</v>
      </c>
      <c r="S126" s="174" t="str">
        <f t="array" aca="1" ref="S126" ca="1">IF($D126="-","-",SUM(IF(LEN(M126:O126)&gt;0,1,0)))</f>
        <v>-</v>
      </c>
      <c r="T126" s="175" t="str">
        <f t="array" aca="1" ref="T126" ca="1">IF(D126="-","-",SUM(IF(ISERROR(SEARCH(E126,$G$7:$G$206)),0,1)))</f>
        <v>-</v>
      </c>
      <c r="V126" s="204"/>
      <c r="W126" s="127"/>
      <c r="X126" s="177" t="str">
        <f t="shared" si="565"/>
        <v>-</v>
      </c>
      <c r="Y126" s="178"/>
      <c r="Z126" s="127"/>
      <c r="AB126" s="179" t="str">
        <f t="shared" ca="1" si="818"/>
        <v>-</v>
      </c>
      <c r="AC126" s="179" t="str">
        <f t="shared" ca="1" si="818"/>
        <v>-</v>
      </c>
      <c r="AD126" s="179" t="str">
        <f t="shared" ca="1" si="818"/>
        <v>-</v>
      </c>
      <c r="AJ126" s="181" t="str">
        <f t="shared" ca="1" si="550"/>
        <v>-</v>
      </c>
      <c r="AK126" s="179" t="str">
        <f t="shared" ca="1" si="551"/>
        <v>-</v>
      </c>
      <c r="AL126" s="179" t="str">
        <f t="shared" ca="1" si="551"/>
        <v>-</v>
      </c>
      <c r="AM126" s="179" t="str">
        <f t="shared" ca="1" si="551"/>
        <v>-</v>
      </c>
      <c r="AO126" s="182" t="str">
        <f t="shared" ca="1" si="819"/>
        <v>-</v>
      </c>
      <c r="AP126" s="182" t="str">
        <f t="shared" ca="1" si="819"/>
        <v>-</v>
      </c>
      <c r="AQ126" s="182" t="str">
        <f t="shared" ca="1" si="819"/>
        <v>-</v>
      </c>
      <c r="AU126" s="185" t="str">
        <f t="shared" ref="AU126" ca="1" si="1006">IF($D126="-","-",IF(LEN(M126)=0,"", INDEX($AT$7:$AT$15,MATCH(IF($V126-INDEX(GridXRange,P126)&lt;0,"Negative",IF($V126-INDEX(GridXRange,P126)&gt;0,"Positive","Zero")) &amp; " - " &amp;IF($W126-INDEX(GridYRange,P126)&lt;0,"Negative",IF($W126-INDEX(GridYRange,P126)&gt;0,"Positive","Zero")),$AS$7:$AS$15,0))))</f>
        <v>-</v>
      </c>
      <c r="AV126" s="186" t="str">
        <f t="shared" ref="AV126" ca="1" si="1007">IF($D126="-","-",IF(LEN(N126)=0,"", INDEX($AT$7:$AT$15,MATCH(IF($V126-INDEX(GridXRange,Q126)&lt;0,"Negative",IF($V126-INDEX(GridXRange,Q126)&gt;0,"Positive","Zero")) &amp; " - " &amp;IF($W126-INDEX(GridYRange,Q126)&lt;0,"Negative",IF($W126-INDEX(GridYRange,Q126)&gt;0,"Positive","Zero")),$AS$7:$AS$15,0))))</f>
        <v>-</v>
      </c>
      <c r="AW126" s="186" t="str">
        <f t="shared" ref="AW126" ca="1" si="1008">IF($D126="-","-",IF(LEN(O126)=0,"", INDEX($AT$7:$AT$15,MATCH(IF($V126-INDEX(GridXRange,R126)&lt;0,"Negative",IF($V126-INDEX(GridXRange,R126)&gt;0,"Positive","Zero")) &amp; " - " &amp;IF($W126-INDEX(GridYRange,R126)&lt;0,"Negative",IF($W126-INDEX(GridYRange,R126)&gt;0,"Positive","Zero")),$AS$7:$AS$15,0))))</f>
        <v>-</v>
      </c>
      <c r="AX126" s="187"/>
      <c r="AY126" s="188"/>
      <c r="AZ126" s="188"/>
      <c r="BA126" s="184"/>
      <c r="BB126" s="187" t="str">
        <f t="shared" ca="1" si="856"/>
        <v>-</v>
      </c>
      <c r="BC126" s="188" t="str">
        <f t="shared" ca="1" si="856"/>
        <v>-</v>
      </c>
      <c r="BD126" s="188" t="str">
        <f t="shared" ca="1" si="856"/>
        <v>-</v>
      </c>
      <c r="BE126" s="189" t="str">
        <f t="shared" ca="1" si="856"/>
        <v>-</v>
      </c>
      <c r="BK126" s="192" t="str">
        <f t="shared" ref="BK126" ca="1" si="1009">IF($D126="-","-",$BK$5 + (V126-StartGridX) * (GapXDiff + $BW$7))</f>
        <v>-</v>
      </c>
      <c r="BL126" s="192" t="str">
        <f t="shared" ref="BL126" ca="1" si="1010">IF($D126="-","-",$BL$5 + (W126-StartGridY) * (GapYDiff + $BV$7))</f>
        <v>-</v>
      </c>
      <c r="BM126" s="192" t="str">
        <f t="shared" ca="1" si="558"/>
        <v>-</v>
      </c>
      <c r="BN126" s="192" t="str">
        <f t="shared" ca="1" si="559"/>
        <v>-</v>
      </c>
      <c r="BO126" s="192" t="str">
        <f t="shared" ca="1" si="560"/>
        <v>-</v>
      </c>
      <c r="BP126" s="192" t="str">
        <f t="shared" ca="1" si="561"/>
        <v>-</v>
      </c>
      <c r="BQ126" s="192" t="str">
        <f ca="1">IF($D126="-","-",IF(LEN(K126)=0,1,IFERROR(MATCH(K126,Dashboard!$L$25:$L$31,0),1)))</f>
        <v>-</v>
      </c>
      <c r="CC126" s="143" t="str">
        <f t="shared" ref="CC126" ca="1" si="1011">IF($D126="-","-",IF(COUNTIF(IDSourceRange,E126)&gt;1,1,0))</f>
        <v>-</v>
      </c>
      <c r="CD126" s="143" t="str">
        <f t="shared" ref="CD126" ca="1" si="1012">IF($D126="-","-",  IF(LEN(M126)=0,0,IF(ISERROR(MATCH(M126,IDSourceRange,0)),1,0)) + IF(LEN(N126)=0,0,IF(ISERROR(MATCH(N126,IDSourceRange,0)),1,0)) + IF(LEN(O126)=0,0,IF(ISERROR(MATCH(O126,IDSourceRange,0)),1,0)) )</f>
        <v>-</v>
      </c>
      <c r="CE126" s="143" t="str">
        <f t="shared" ca="1" si="589"/>
        <v>-</v>
      </c>
      <c r="CF126" s="143" t="s">
        <v>128</v>
      </c>
      <c r="CG126" s="143" t="str">
        <f t="shared" ref="CG126" ca="1" si="1013">IF($D126="-","-",IF(X126="-",0,IF(COUNTIF(GridCombinedRange,X126)&gt;1,1,0)))</f>
        <v>-</v>
      </c>
      <c r="CH126" s="143"/>
      <c r="CI126" s="143"/>
      <c r="CJ126" s="143"/>
      <c r="CK126" s="143"/>
      <c r="CL126" s="143"/>
    </row>
    <row r="127" spans="3:90" x14ac:dyDescent="0.3">
      <c r="C127" s="170">
        <v>121</v>
      </c>
      <c r="D127" s="111" t="str">
        <f ca="1">IF(COUNTA(OFFSET(Dashboard!$B$6,C127,0,1,COUNTA(Dashboard!$B$6:$H$6)))&gt;0,"Yes","-")</f>
        <v>-</v>
      </c>
      <c r="E127" s="170" t="str">
        <f ca="1">IF(D127="-","-",IF(LEN(INDEX(Dashboard!B$6:B$206,$C127+1))=0,"x"&amp;C127&amp;"x","x"&amp;INDEX(Dashboard!B$6:B$206,$C127+1)&amp;"x"))</f>
        <v>-</v>
      </c>
      <c r="F127" s="171" t="str">
        <f ca="1">IF(D127="-","-",IF(LEN(INDEX(Dashboard!$C$6:$C$206,C127+1))=0," ",INDEX(Dashboard!$C$6:$C$206,C127+1)))</f>
        <v>-</v>
      </c>
      <c r="G127" s="219" t="str">
        <f ca="1">IF(OR(D127="-",D127=""),"-",IF(LEN(INDEX(Dashboard!$D$6:$D$228,C127+1))=0,"", "x"&amp;SUBSTITUTE(SUBSTITUTE(INDEX(Dashboard!$D$6:$D$228,C127+1)," ",""),",","x,x")&amp;"x"))</f>
        <v>-</v>
      </c>
      <c r="H127" s="111" t="str">
        <f ca="1">IF(D127="-","-",TRIM(INDEX(Dashboard!$E$6:$E$206,C127+1)))</f>
        <v>-</v>
      </c>
      <c r="I127" s="111" t="str">
        <f ca="1">IF(D127="-","-",IF(LEN(INDEX(Dashboard!$F$6:$F$206,C127+1))=0,$BS$8,IF(ISERROR(MATCH(INDEX(Dashboard!$F$6:$F$206,C127+1),$BS$7:$BS$35,0)),$BS$8,INDEX(Dashboard!$F$6:$F$206,C127+1))))</f>
        <v>-</v>
      </c>
      <c r="J127" s="111" t="str">
        <f ca="1">IF(D127="-","-",SUBSTITUTE(INDEX(Dashboard!$G$6:$G$206,C127+1)," ",""))</f>
        <v>-</v>
      </c>
      <c r="K127" s="111" t="str">
        <f ca="1">IF(D127="-","-",IF(LEN(INDEX(Dashboard!$H$6:$H$206,C127+1))=0,"",INDEX(Dashboard!$H$6:$H$206,C127+1)))</f>
        <v>-</v>
      </c>
      <c r="M127" s="172" t="str">
        <f t="shared" ref="M127:O146" ca="1" si="1014">IF($D127="-","-",TRIM(MID(SUBSTITUTE($G127,",",REPT(" ",LEN($G127))),(M$6-1)*LEN($G127)+1,LEN($G127))))</f>
        <v>-</v>
      </c>
      <c r="N127" s="172" t="str">
        <f t="shared" ca="1" si="1014"/>
        <v>-</v>
      </c>
      <c r="O127" s="172" t="str">
        <f t="shared" ca="1" si="1014"/>
        <v>-</v>
      </c>
      <c r="P127" s="173" t="str">
        <f t="shared" ca="1" si="817"/>
        <v>-</v>
      </c>
      <c r="Q127" s="172" t="str">
        <f t="shared" ca="1" si="817"/>
        <v>-</v>
      </c>
      <c r="R127" s="172" t="str">
        <f t="shared" ca="1" si="817"/>
        <v>-</v>
      </c>
      <c r="S127" s="174" t="str">
        <f t="array" aca="1" ref="S127" ca="1">IF($D127="-","-",SUM(IF(LEN(M127:O127)&gt;0,1,0)))</f>
        <v>-</v>
      </c>
      <c r="T127" s="175" t="str">
        <f t="array" aca="1" ref="T127" ca="1">IF(D127="-","-",SUM(IF(ISERROR(SEARCH(E127,$G$7:$G$206)),0,1)))</f>
        <v>-</v>
      </c>
      <c r="V127" s="204"/>
      <c r="W127" s="127"/>
      <c r="X127" s="177" t="str">
        <f t="shared" si="565"/>
        <v>-</v>
      </c>
      <c r="Y127" s="178"/>
      <c r="Z127" s="127"/>
      <c r="AB127" s="179" t="str">
        <f t="shared" ca="1" si="818"/>
        <v>-</v>
      </c>
      <c r="AC127" s="179" t="str">
        <f t="shared" ca="1" si="818"/>
        <v>-</v>
      </c>
      <c r="AD127" s="179" t="str">
        <f t="shared" ca="1" si="818"/>
        <v>-</v>
      </c>
      <c r="AJ127" s="181" t="str">
        <f t="shared" ca="1" si="550"/>
        <v>-</v>
      </c>
      <c r="AK127" s="179" t="str">
        <f t="shared" ca="1" si="551"/>
        <v>-</v>
      </c>
      <c r="AL127" s="179" t="str">
        <f t="shared" ca="1" si="551"/>
        <v>-</v>
      </c>
      <c r="AM127" s="179" t="str">
        <f t="shared" ca="1" si="551"/>
        <v>-</v>
      </c>
      <c r="AO127" s="182" t="str">
        <f t="shared" ca="1" si="819"/>
        <v>-</v>
      </c>
      <c r="AP127" s="182" t="str">
        <f t="shared" ca="1" si="819"/>
        <v>-</v>
      </c>
      <c r="AQ127" s="182" t="str">
        <f t="shared" ca="1" si="819"/>
        <v>-</v>
      </c>
      <c r="AU127" s="185" t="str">
        <f t="shared" ref="AU127" ca="1" si="1015">IF($D127="-","-",IF(LEN(M127)=0,"", INDEX($AT$7:$AT$15,MATCH(IF($V127-INDEX(GridXRange,P127)&lt;0,"Negative",IF($V127-INDEX(GridXRange,P127)&gt;0,"Positive","Zero")) &amp; " - " &amp;IF($W127-INDEX(GridYRange,P127)&lt;0,"Negative",IF($W127-INDEX(GridYRange,P127)&gt;0,"Positive","Zero")),$AS$7:$AS$15,0))))</f>
        <v>-</v>
      </c>
      <c r="AV127" s="186" t="str">
        <f t="shared" ref="AV127" ca="1" si="1016">IF($D127="-","-",IF(LEN(N127)=0,"", INDEX($AT$7:$AT$15,MATCH(IF($V127-INDEX(GridXRange,Q127)&lt;0,"Negative",IF($V127-INDEX(GridXRange,Q127)&gt;0,"Positive","Zero")) &amp; " - " &amp;IF($W127-INDEX(GridYRange,Q127)&lt;0,"Negative",IF($W127-INDEX(GridYRange,Q127)&gt;0,"Positive","Zero")),$AS$7:$AS$15,0))))</f>
        <v>-</v>
      </c>
      <c r="AW127" s="186" t="str">
        <f t="shared" ref="AW127" ca="1" si="1017">IF($D127="-","-",IF(LEN(O127)=0,"", INDEX($AT$7:$AT$15,MATCH(IF($V127-INDEX(GridXRange,R127)&lt;0,"Negative",IF($V127-INDEX(GridXRange,R127)&gt;0,"Positive","Zero")) &amp; " - " &amp;IF($W127-INDEX(GridYRange,R127)&lt;0,"Negative",IF($W127-INDEX(GridYRange,R127)&gt;0,"Positive","Zero")),$AS$7:$AS$15,0))))</f>
        <v>-</v>
      </c>
      <c r="AX127" s="187"/>
      <c r="AY127" s="188"/>
      <c r="AZ127" s="188"/>
      <c r="BA127" s="184"/>
      <c r="BB127" s="187" t="str">
        <f t="shared" ref="BB127:BE146" ca="1" si="1018">IF($D127="-","-",INDEX($BX$7:$CA$35,MATCH($I127,$BS$7:$BS$35,0),BB$6))</f>
        <v>-</v>
      </c>
      <c r="BC127" s="188" t="str">
        <f t="shared" ca="1" si="1018"/>
        <v>-</v>
      </c>
      <c r="BD127" s="188" t="str">
        <f t="shared" ca="1" si="1018"/>
        <v>-</v>
      </c>
      <c r="BE127" s="189" t="str">
        <f t="shared" ca="1" si="1018"/>
        <v>-</v>
      </c>
      <c r="BK127" s="192" t="str">
        <f t="shared" ref="BK127" ca="1" si="1019">IF($D127="-","-",$BK$5 + (V127-StartGridX) * (GapXDiff + $BW$7))</f>
        <v>-</v>
      </c>
      <c r="BL127" s="192" t="str">
        <f t="shared" ref="BL127" ca="1" si="1020">IF($D127="-","-",$BL$5 + (W127-StartGridY) * (GapYDiff + $BV$7))</f>
        <v>-</v>
      </c>
      <c r="BM127" s="192" t="str">
        <f t="shared" ca="1" si="558"/>
        <v>-</v>
      </c>
      <c r="BN127" s="192" t="str">
        <f t="shared" ca="1" si="559"/>
        <v>-</v>
      </c>
      <c r="BO127" s="192" t="str">
        <f t="shared" ca="1" si="560"/>
        <v>-</v>
      </c>
      <c r="BP127" s="192" t="str">
        <f t="shared" ca="1" si="561"/>
        <v>-</v>
      </c>
      <c r="BQ127" s="192" t="str">
        <f ca="1">IF($D127="-","-",IF(LEN(K127)=0,1,IFERROR(MATCH(K127,Dashboard!$L$25:$L$31,0),1)))</f>
        <v>-</v>
      </c>
      <c r="CC127" s="143" t="str">
        <f t="shared" ref="CC127" ca="1" si="1021">IF($D127="-","-",IF(COUNTIF(IDSourceRange,E127)&gt;1,1,0))</f>
        <v>-</v>
      </c>
      <c r="CD127" s="143" t="str">
        <f t="shared" ref="CD127" ca="1" si="1022">IF($D127="-","-",  IF(LEN(M127)=0,0,IF(ISERROR(MATCH(M127,IDSourceRange,0)),1,0)) + IF(LEN(N127)=0,0,IF(ISERROR(MATCH(N127,IDSourceRange,0)),1,0)) + IF(LEN(O127)=0,0,IF(ISERROR(MATCH(O127,IDSourceRange,0)),1,0)) )</f>
        <v>-</v>
      </c>
      <c r="CE127" s="143" t="str">
        <f t="shared" ca="1" si="589"/>
        <v>-</v>
      </c>
      <c r="CF127" s="143" t="s">
        <v>128</v>
      </c>
      <c r="CG127" s="143" t="str">
        <f t="shared" ref="CG127" ca="1" si="1023">IF($D127="-","-",IF(X127="-",0,IF(COUNTIF(GridCombinedRange,X127)&gt;1,1,0)))</f>
        <v>-</v>
      </c>
      <c r="CH127" s="143"/>
      <c r="CI127" s="143"/>
      <c r="CJ127" s="143"/>
      <c r="CK127" s="143"/>
      <c r="CL127" s="143"/>
    </row>
    <row r="128" spans="3:90" x14ac:dyDescent="0.3">
      <c r="C128" s="170">
        <v>122</v>
      </c>
      <c r="D128" s="111" t="str">
        <f ca="1">IF(COUNTA(OFFSET(Dashboard!$B$6,C128,0,1,COUNTA(Dashboard!$B$6:$H$6)))&gt;0,"Yes","-")</f>
        <v>-</v>
      </c>
      <c r="E128" s="170" t="str">
        <f ca="1">IF(D128="-","-",IF(LEN(INDEX(Dashboard!B$6:B$206,$C128+1))=0,"x"&amp;C128&amp;"x","x"&amp;INDEX(Dashboard!B$6:B$206,$C128+1)&amp;"x"))</f>
        <v>-</v>
      </c>
      <c r="F128" s="171" t="str">
        <f ca="1">IF(D128="-","-",IF(LEN(INDEX(Dashboard!$C$6:$C$206,C128+1))=0," ",INDEX(Dashboard!$C$6:$C$206,C128+1)))</f>
        <v>-</v>
      </c>
      <c r="G128" s="219" t="str">
        <f ca="1">IF(OR(D128="-",D128=""),"-",IF(LEN(INDEX(Dashboard!$D$6:$D$228,C128+1))=0,"", "x"&amp;SUBSTITUTE(SUBSTITUTE(INDEX(Dashboard!$D$6:$D$228,C128+1)," ",""),",","x,x")&amp;"x"))</f>
        <v>-</v>
      </c>
      <c r="H128" s="219" t="str">
        <f ca="1">IF(D128="-","-",TRIM(INDEX(Dashboard!$E$6:$E$228,C128+1)))</f>
        <v>-</v>
      </c>
      <c r="I128" s="111" t="str">
        <f ca="1">IF(D128="-","-",IF(LEN(INDEX(Dashboard!$F$6:$F$206,C128+1))=0,$BS$8,IF(ISERROR(MATCH(INDEX(Dashboard!$F$6:$F$206,C128+1),$BS$7:$BS$35,0)),$BS$8,INDEX(Dashboard!$F$6:$F$206,C128+1))))</f>
        <v>-</v>
      </c>
      <c r="J128" s="111" t="str">
        <f ca="1">IF(D128="-","-",SUBSTITUTE(INDEX(Dashboard!$G$6:$G$206,C128+1)," ",""))</f>
        <v>-</v>
      </c>
      <c r="K128" s="111" t="str">
        <f ca="1">IF(D128="-","-",IF(LEN(INDEX(Dashboard!$H$6:$H$206,C128+1))=0,"",INDEX(Dashboard!$H$6:$H$206,C128+1)))</f>
        <v>-</v>
      </c>
      <c r="M128" s="172" t="str">
        <f t="shared" ca="1" si="1014"/>
        <v>-</v>
      </c>
      <c r="N128" s="172" t="str">
        <f t="shared" ca="1" si="1014"/>
        <v>-</v>
      </c>
      <c r="O128" s="172" t="str">
        <f t="shared" ca="1" si="1014"/>
        <v>-</v>
      </c>
      <c r="P128" s="173" t="str">
        <f t="shared" ca="1" si="817"/>
        <v>-</v>
      </c>
      <c r="Q128" s="172" t="str">
        <f t="shared" ca="1" si="817"/>
        <v>-</v>
      </c>
      <c r="R128" s="172" t="str">
        <f t="shared" ca="1" si="817"/>
        <v>-</v>
      </c>
      <c r="S128" s="174" t="str">
        <f t="array" aca="1" ref="S128" ca="1">IF($D128="-","-",SUM(IF(LEN(M128:O128)&gt;0,1,0)))</f>
        <v>-</v>
      </c>
      <c r="T128" s="175" t="str">
        <f t="array" aca="1" ref="T128" ca="1">IF(D128="-","-",SUM(IF(ISERROR(SEARCH(E128,$G$7:$G$206)),0,1)))</f>
        <v>-</v>
      </c>
      <c r="V128" s="204"/>
      <c r="W128" s="127"/>
      <c r="X128" s="177" t="str">
        <f t="shared" si="565"/>
        <v>-</v>
      </c>
      <c r="Y128" s="178"/>
      <c r="Z128" s="127"/>
      <c r="AB128" s="179" t="str">
        <f t="shared" ca="1" si="818"/>
        <v>-</v>
      </c>
      <c r="AC128" s="179" t="str">
        <f t="shared" ca="1" si="818"/>
        <v>-</v>
      </c>
      <c r="AD128" s="179" t="str">
        <f t="shared" ca="1" si="818"/>
        <v>-</v>
      </c>
      <c r="AJ128" s="181" t="str">
        <f t="shared" ca="1" si="550"/>
        <v>-</v>
      </c>
      <c r="AK128" s="179" t="str">
        <f t="shared" ca="1" si="551"/>
        <v>-</v>
      </c>
      <c r="AL128" s="179" t="str">
        <f t="shared" ca="1" si="551"/>
        <v>-</v>
      </c>
      <c r="AM128" s="179" t="str">
        <f t="shared" ca="1" si="551"/>
        <v>-</v>
      </c>
      <c r="AO128" s="182" t="str">
        <f t="shared" ca="1" si="819"/>
        <v>-</v>
      </c>
      <c r="AP128" s="182" t="str">
        <f t="shared" ca="1" si="819"/>
        <v>-</v>
      </c>
      <c r="AQ128" s="182" t="str">
        <f t="shared" ca="1" si="819"/>
        <v>-</v>
      </c>
      <c r="AU128" s="185" t="str">
        <f t="shared" ref="AU128" ca="1" si="1024">IF($D128="-","-",IF(LEN(M128)=0,"", INDEX($AT$7:$AT$15,MATCH(IF($V128-INDEX(GridXRange,P128)&lt;0,"Negative",IF($V128-INDEX(GridXRange,P128)&gt;0,"Positive","Zero")) &amp; " - " &amp;IF($W128-INDEX(GridYRange,P128)&lt;0,"Negative",IF($W128-INDEX(GridYRange,P128)&gt;0,"Positive","Zero")),$AS$7:$AS$15,0))))</f>
        <v>-</v>
      </c>
      <c r="AV128" s="186" t="str">
        <f t="shared" ref="AV128" ca="1" si="1025">IF($D128="-","-",IF(LEN(N128)=0,"", INDEX($AT$7:$AT$15,MATCH(IF($V128-INDEX(GridXRange,Q128)&lt;0,"Negative",IF($V128-INDEX(GridXRange,Q128)&gt;0,"Positive","Zero")) &amp; " - " &amp;IF($W128-INDEX(GridYRange,Q128)&lt;0,"Negative",IF($W128-INDEX(GridYRange,Q128)&gt;0,"Positive","Zero")),$AS$7:$AS$15,0))))</f>
        <v>-</v>
      </c>
      <c r="AW128" s="186" t="str">
        <f t="shared" ref="AW128" ca="1" si="1026">IF($D128="-","-",IF(LEN(O128)=0,"", INDEX($AT$7:$AT$15,MATCH(IF($V128-INDEX(GridXRange,R128)&lt;0,"Negative",IF($V128-INDEX(GridXRange,R128)&gt;0,"Positive","Zero")) &amp; " - " &amp;IF($W128-INDEX(GridYRange,R128)&lt;0,"Negative",IF($W128-INDEX(GridYRange,R128)&gt;0,"Positive","Zero")),$AS$7:$AS$15,0))))</f>
        <v>-</v>
      </c>
      <c r="AX128" s="187"/>
      <c r="AY128" s="188"/>
      <c r="AZ128" s="188"/>
      <c r="BA128" s="184"/>
      <c r="BB128" s="187" t="str">
        <f t="shared" ca="1" si="1018"/>
        <v>-</v>
      </c>
      <c r="BC128" s="188" t="str">
        <f t="shared" ca="1" si="1018"/>
        <v>-</v>
      </c>
      <c r="BD128" s="188" t="str">
        <f t="shared" ca="1" si="1018"/>
        <v>-</v>
      </c>
      <c r="BE128" s="189" t="str">
        <f t="shared" ca="1" si="1018"/>
        <v>-</v>
      </c>
      <c r="BK128" s="192" t="str">
        <f t="shared" ref="BK128" ca="1" si="1027">IF($D128="-","-",$BK$5 + (V128-StartGridX) * (GapXDiff + $BW$7))</f>
        <v>-</v>
      </c>
      <c r="BL128" s="192" t="str">
        <f t="shared" ref="BL128" ca="1" si="1028">IF($D128="-","-",$BL$5 + (W128-StartGridY) * (GapYDiff + $BV$7))</f>
        <v>-</v>
      </c>
      <c r="BM128" s="192" t="str">
        <f t="shared" ca="1" si="558"/>
        <v>-</v>
      </c>
      <c r="BN128" s="192" t="str">
        <f t="shared" ca="1" si="559"/>
        <v>-</v>
      </c>
      <c r="BO128" s="192" t="str">
        <f t="shared" ca="1" si="560"/>
        <v>-</v>
      </c>
      <c r="BP128" s="192" t="str">
        <f t="shared" ca="1" si="561"/>
        <v>-</v>
      </c>
      <c r="BQ128" s="192" t="str">
        <f ca="1">IF($D128="-","-",IF(LEN(K128)=0,1,IFERROR(MATCH(K128,Dashboard!$L$25:$L$31,0),1)))</f>
        <v>-</v>
      </c>
      <c r="CC128" s="143" t="str">
        <f t="shared" ref="CC128" ca="1" si="1029">IF($D128="-","-",IF(COUNTIF(IDSourceRange,E128)&gt;1,1,0))</f>
        <v>-</v>
      </c>
      <c r="CD128" s="143" t="str">
        <f t="shared" ref="CD128" ca="1" si="1030">IF($D128="-","-",  IF(LEN(M128)=0,0,IF(ISERROR(MATCH(M128,IDSourceRange,0)),1,0)) + IF(LEN(N128)=0,0,IF(ISERROR(MATCH(N128,IDSourceRange,0)),1,0)) + IF(LEN(O128)=0,0,IF(ISERROR(MATCH(O128,IDSourceRange,0)),1,0)) )</f>
        <v>-</v>
      </c>
      <c r="CE128" s="143" t="str">
        <f t="shared" ca="1" si="589"/>
        <v>-</v>
      </c>
      <c r="CF128" s="143" t="s">
        <v>128</v>
      </c>
      <c r="CG128" s="143" t="str">
        <f t="shared" ref="CG128" ca="1" si="1031">IF($D128="-","-",IF(X128="-",0,IF(COUNTIF(GridCombinedRange,X128)&gt;1,1,0)))</f>
        <v>-</v>
      </c>
      <c r="CH128" s="143"/>
      <c r="CI128" s="143"/>
      <c r="CJ128" s="143"/>
      <c r="CK128" s="143"/>
      <c r="CL128" s="143"/>
    </row>
    <row r="129" spans="3:90" x14ac:dyDescent="0.3">
      <c r="C129" s="170">
        <v>123</v>
      </c>
      <c r="D129" s="111" t="str">
        <f ca="1">IF(COUNTA(OFFSET(Dashboard!$B$6,C129,0,1,COUNTA(Dashboard!$B$6:$H$6)))&gt;0,"Yes","-")</f>
        <v>-</v>
      </c>
      <c r="E129" s="170" t="str">
        <f ca="1">IF(D129="-","-",IF(LEN(INDEX(Dashboard!B$6:B$206,$C129+1))=0,"x"&amp;C129&amp;"x","x"&amp;INDEX(Dashboard!B$6:B$206,$C129+1)&amp;"x"))</f>
        <v>-</v>
      </c>
      <c r="F129" s="171" t="str">
        <f ca="1">IF(D129="-","-",IF(LEN(INDEX(Dashboard!$C$6:$C$206,C129+1))=0," ",INDEX(Dashboard!$C$6:$C$206,C129+1)))</f>
        <v>-</v>
      </c>
      <c r="G129" s="219" t="str">
        <f ca="1">IF(OR(D129="-",D129=""),"-",IF(LEN(INDEX(Dashboard!$D$6:$D$228,C129+1))=0,"", "x"&amp;SUBSTITUTE(SUBSTITUTE(INDEX(Dashboard!$D$6:$D$228,C129+1)," ",""),",","x,x")&amp;"x"))</f>
        <v>-</v>
      </c>
      <c r="H129" s="111" t="str">
        <f ca="1">IF(D129="-","-",TRIM(INDEX(Dashboard!$E$6:$E$206,C129+1)))</f>
        <v>-</v>
      </c>
      <c r="I129" s="111" t="str">
        <f ca="1">IF(D129="-","-",IF(LEN(INDEX(Dashboard!$F$6:$F$206,C129+1))=0,$BS$8,IF(ISERROR(MATCH(INDEX(Dashboard!$F$6:$F$206,C129+1),$BS$7:$BS$35,0)),$BS$8,INDEX(Dashboard!$F$6:$F$206,C129+1))))</f>
        <v>-</v>
      </c>
      <c r="J129" s="111" t="str">
        <f ca="1">IF(D129="-","-",SUBSTITUTE(INDEX(Dashboard!$G$6:$G$206,C129+1)," ",""))</f>
        <v>-</v>
      </c>
      <c r="K129" s="111" t="str">
        <f ca="1">IF(D129="-","-",IF(LEN(INDEX(Dashboard!$H$6:$H$206,C129+1))=0,"",INDEX(Dashboard!$H$6:$H$206,C129+1)))</f>
        <v>-</v>
      </c>
      <c r="M129" s="172" t="str">
        <f t="shared" ca="1" si="1014"/>
        <v>-</v>
      </c>
      <c r="N129" s="172" t="str">
        <f t="shared" ca="1" si="1014"/>
        <v>-</v>
      </c>
      <c r="O129" s="172" t="str">
        <f t="shared" ca="1" si="1014"/>
        <v>-</v>
      </c>
      <c r="P129" s="173" t="str">
        <f t="shared" ca="1" si="817"/>
        <v>-</v>
      </c>
      <c r="Q129" s="172" t="str">
        <f t="shared" ca="1" si="817"/>
        <v>-</v>
      </c>
      <c r="R129" s="172" t="str">
        <f t="shared" ca="1" si="817"/>
        <v>-</v>
      </c>
      <c r="S129" s="174" t="str">
        <f t="array" aca="1" ref="S129" ca="1">IF($D129="-","-",SUM(IF(LEN(M129:O129)&gt;0,1,0)))</f>
        <v>-</v>
      </c>
      <c r="T129" s="175" t="str">
        <f t="array" aca="1" ref="T129" ca="1">IF(D129="-","-",SUM(IF(ISERROR(SEARCH(E129,$G$7:$G$206)),0,1)))</f>
        <v>-</v>
      </c>
      <c r="V129" s="204"/>
      <c r="W129" s="127"/>
      <c r="X129" s="177" t="str">
        <f t="shared" si="565"/>
        <v>-</v>
      </c>
      <c r="Y129" s="178"/>
      <c r="Z129" s="127"/>
      <c r="AB129" s="179" t="str">
        <f t="shared" ca="1" si="818"/>
        <v>-</v>
      </c>
      <c r="AC129" s="179" t="str">
        <f t="shared" ca="1" si="818"/>
        <v>-</v>
      </c>
      <c r="AD129" s="179" t="str">
        <f t="shared" ca="1" si="818"/>
        <v>-</v>
      </c>
      <c r="AJ129" s="181" t="str">
        <f t="shared" ca="1" si="550"/>
        <v>-</v>
      </c>
      <c r="AK129" s="179" t="str">
        <f t="shared" ca="1" si="551"/>
        <v>-</v>
      </c>
      <c r="AL129" s="179" t="str">
        <f t="shared" ca="1" si="551"/>
        <v>-</v>
      </c>
      <c r="AM129" s="179" t="str">
        <f t="shared" ca="1" si="551"/>
        <v>-</v>
      </c>
      <c r="AO129" s="182" t="str">
        <f t="shared" ca="1" si="819"/>
        <v>-</v>
      </c>
      <c r="AP129" s="182" t="str">
        <f t="shared" ca="1" si="819"/>
        <v>-</v>
      </c>
      <c r="AQ129" s="182" t="str">
        <f t="shared" ca="1" si="819"/>
        <v>-</v>
      </c>
      <c r="AU129" s="185" t="str">
        <f t="shared" ref="AU129" ca="1" si="1032">IF($D129="-","-",IF(LEN(M129)=0,"", INDEX($AT$7:$AT$15,MATCH(IF($V129-INDEX(GridXRange,P129)&lt;0,"Negative",IF($V129-INDEX(GridXRange,P129)&gt;0,"Positive","Zero")) &amp; " - " &amp;IF($W129-INDEX(GridYRange,P129)&lt;0,"Negative",IF($W129-INDEX(GridYRange,P129)&gt;0,"Positive","Zero")),$AS$7:$AS$15,0))))</f>
        <v>-</v>
      </c>
      <c r="AV129" s="186" t="str">
        <f t="shared" ref="AV129" ca="1" si="1033">IF($D129="-","-",IF(LEN(N129)=0,"", INDEX($AT$7:$AT$15,MATCH(IF($V129-INDEX(GridXRange,Q129)&lt;0,"Negative",IF($V129-INDEX(GridXRange,Q129)&gt;0,"Positive","Zero")) &amp; " - " &amp;IF($W129-INDEX(GridYRange,Q129)&lt;0,"Negative",IF($W129-INDEX(GridYRange,Q129)&gt;0,"Positive","Zero")),$AS$7:$AS$15,0))))</f>
        <v>-</v>
      </c>
      <c r="AW129" s="186" t="str">
        <f t="shared" ref="AW129" ca="1" si="1034">IF($D129="-","-",IF(LEN(O129)=0,"", INDEX($AT$7:$AT$15,MATCH(IF($V129-INDEX(GridXRange,R129)&lt;0,"Negative",IF($V129-INDEX(GridXRange,R129)&gt;0,"Positive","Zero")) &amp; " - " &amp;IF($W129-INDEX(GridYRange,R129)&lt;0,"Negative",IF($W129-INDEX(GridYRange,R129)&gt;0,"Positive","Zero")),$AS$7:$AS$15,0))))</f>
        <v>-</v>
      </c>
      <c r="AX129" s="187"/>
      <c r="AY129" s="188"/>
      <c r="AZ129" s="188"/>
      <c r="BA129" s="184"/>
      <c r="BB129" s="187" t="str">
        <f t="shared" ca="1" si="1018"/>
        <v>-</v>
      </c>
      <c r="BC129" s="188" t="str">
        <f t="shared" ca="1" si="1018"/>
        <v>-</v>
      </c>
      <c r="BD129" s="188" t="str">
        <f t="shared" ca="1" si="1018"/>
        <v>-</v>
      </c>
      <c r="BE129" s="189" t="str">
        <f t="shared" ca="1" si="1018"/>
        <v>-</v>
      </c>
      <c r="BK129" s="192" t="str">
        <f t="shared" ref="BK129" ca="1" si="1035">IF($D129="-","-",$BK$5 + (V129-StartGridX) * (GapXDiff + $BW$7))</f>
        <v>-</v>
      </c>
      <c r="BL129" s="192" t="str">
        <f t="shared" ref="BL129" ca="1" si="1036">IF($D129="-","-",$BL$5 + (W129-StartGridY) * (GapYDiff + $BV$7))</f>
        <v>-</v>
      </c>
      <c r="BM129" s="192" t="str">
        <f t="shared" ca="1" si="558"/>
        <v>-</v>
      </c>
      <c r="BN129" s="192" t="str">
        <f t="shared" ca="1" si="559"/>
        <v>-</v>
      </c>
      <c r="BO129" s="192" t="str">
        <f t="shared" ca="1" si="560"/>
        <v>-</v>
      </c>
      <c r="BP129" s="192" t="str">
        <f t="shared" ca="1" si="561"/>
        <v>-</v>
      </c>
      <c r="BQ129" s="192" t="str">
        <f ca="1">IF($D129="-","-",IF(LEN(K129)=0,1,IFERROR(MATCH(K129,Dashboard!$L$25:$L$31,0),1)))</f>
        <v>-</v>
      </c>
      <c r="CC129" s="143" t="str">
        <f t="shared" ref="CC129" ca="1" si="1037">IF($D129="-","-",IF(COUNTIF(IDSourceRange,E129)&gt;1,1,0))</f>
        <v>-</v>
      </c>
      <c r="CD129" s="143" t="str">
        <f t="shared" ref="CD129" ca="1" si="1038">IF($D129="-","-",  IF(LEN(M129)=0,0,IF(ISERROR(MATCH(M129,IDSourceRange,0)),1,0)) + IF(LEN(N129)=0,0,IF(ISERROR(MATCH(N129,IDSourceRange,0)),1,0)) + IF(LEN(O129)=0,0,IF(ISERROR(MATCH(O129,IDSourceRange,0)),1,0)) )</f>
        <v>-</v>
      </c>
      <c r="CE129" s="143" t="str">
        <f t="shared" ca="1" si="589"/>
        <v>-</v>
      </c>
      <c r="CF129" s="143" t="s">
        <v>128</v>
      </c>
      <c r="CG129" s="143" t="str">
        <f t="shared" ref="CG129" ca="1" si="1039">IF($D129="-","-",IF(X129="-",0,IF(COUNTIF(GridCombinedRange,X129)&gt;1,1,0)))</f>
        <v>-</v>
      </c>
      <c r="CH129" s="143"/>
      <c r="CI129" s="143"/>
      <c r="CJ129" s="143"/>
      <c r="CK129" s="143"/>
      <c r="CL129" s="143"/>
    </row>
    <row r="130" spans="3:90" x14ac:dyDescent="0.3">
      <c r="C130" s="170">
        <v>124</v>
      </c>
      <c r="D130" s="111" t="str">
        <f ca="1">IF(COUNTA(OFFSET(Dashboard!$B$6,C130,0,1,COUNTA(Dashboard!$B$6:$H$6)))&gt;0,"Yes","-")</f>
        <v>-</v>
      </c>
      <c r="E130" s="170" t="str">
        <f ca="1">IF(D130="-","-",IF(LEN(INDEX(Dashboard!B$6:B$206,$C130+1))=0,"x"&amp;C130&amp;"x","x"&amp;INDEX(Dashboard!B$6:B$206,$C130+1)&amp;"x"))</f>
        <v>-</v>
      </c>
      <c r="F130" s="171" t="str">
        <f ca="1">IF(D130="-","-",IF(LEN(INDEX(Dashboard!$C$6:$C$206,C130+1))=0," ",INDEX(Dashboard!$C$6:$C$206,C130+1)))</f>
        <v>-</v>
      </c>
      <c r="G130" s="219" t="str">
        <f ca="1">IF(OR(D130="-",D130=""),"-",IF(LEN(INDEX(Dashboard!$D$6:$D$228,C130+1))=0,"", "x"&amp;SUBSTITUTE(SUBSTITUTE(INDEX(Dashboard!$D$6:$D$228,C130+1)," ",""),",","x,x")&amp;"x"))</f>
        <v>-</v>
      </c>
      <c r="H130" s="111" t="str">
        <f ca="1">IF(D130="-","-",TRIM(INDEX(Dashboard!$E$6:$E$206,C130+1)))</f>
        <v>-</v>
      </c>
      <c r="I130" s="111" t="str">
        <f ca="1">IF(D130="-","-",IF(LEN(INDEX(Dashboard!$F$6:$F$206,C130+1))=0,$BS$8,IF(ISERROR(MATCH(INDEX(Dashboard!$F$6:$F$206,C130+1),$BS$7:$BS$35,0)),$BS$8,INDEX(Dashboard!$F$6:$F$206,C130+1))))</f>
        <v>-</v>
      </c>
      <c r="J130" s="111" t="str">
        <f ca="1">IF(D130="-","-",SUBSTITUTE(INDEX(Dashboard!$G$6:$G$206,C130+1)," ",""))</f>
        <v>-</v>
      </c>
      <c r="K130" s="111" t="str">
        <f ca="1">IF(D130="-","-",IF(LEN(INDEX(Dashboard!$H$6:$H$206,C130+1))=0,"",INDEX(Dashboard!$H$6:$H$206,C130+1)))</f>
        <v>-</v>
      </c>
      <c r="M130" s="172" t="str">
        <f t="shared" ca="1" si="1014"/>
        <v>-</v>
      </c>
      <c r="N130" s="172" t="str">
        <f t="shared" ca="1" si="1014"/>
        <v>-</v>
      </c>
      <c r="O130" s="172" t="str">
        <f t="shared" ca="1" si="1014"/>
        <v>-</v>
      </c>
      <c r="P130" s="173" t="str">
        <f t="shared" ca="1" si="817"/>
        <v>-</v>
      </c>
      <c r="Q130" s="172" t="str">
        <f t="shared" ca="1" si="817"/>
        <v>-</v>
      </c>
      <c r="R130" s="172" t="str">
        <f t="shared" ca="1" si="817"/>
        <v>-</v>
      </c>
      <c r="S130" s="174" t="str">
        <f t="array" aca="1" ref="S130" ca="1">IF($D130="-","-",SUM(IF(LEN(M130:O130)&gt;0,1,0)))</f>
        <v>-</v>
      </c>
      <c r="T130" s="175" t="str">
        <f t="array" aca="1" ref="T130" ca="1">IF(D130="-","-",SUM(IF(ISERROR(SEARCH(E130,$G$7:$G$206)),0,1)))</f>
        <v>-</v>
      </c>
      <c r="V130" s="204"/>
      <c r="W130" s="127"/>
      <c r="X130" s="177" t="str">
        <f t="shared" si="565"/>
        <v>-</v>
      </c>
      <c r="Y130" s="178"/>
      <c r="Z130" s="127"/>
      <c r="AB130" s="179" t="str">
        <f t="shared" ca="1" si="818"/>
        <v>-</v>
      </c>
      <c r="AC130" s="179" t="str">
        <f t="shared" ca="1" si="818"/>
        <v>-</v>
      </c>
      <c r="AD130" s="179" t="str">
        <f t="shared" ca="1" si="818"/>
        <v>-</v>
      </c>
      <c r="AJ130" s="181" t="str">
        <f t="shared" ca="1" si="550"/>
        <v>-</v>
      </c>
      <c r="AK130" s="179" t="str">
        <f t="shared" ca="1" si="551"/>
        <v>-</v>
      </c>
      <c r="AL130" s="179" t="str">
        <f t="shared" ca="1" si="551"/>
        <v>-</v>
      </c>
      <c r="AM130" s="179" t="str">
        <f t="shared" ca="1" si="551"/>
        <v>-</v>
      </c>
      <c r="AO130" s="182" t="str">
        <f t="shared" ca="1" si="819"/>
        <v>-</v>
      </c>
      <c r="AP130" s="182" t="str">
        <f t="shared" ca="1" si="819"/>
        <v>-</v>
      </c>
      <c r="AQ130" s="182" t="str">
        <f t="shared" ca="1" si="819"/>
        <v>-</v>
      </c>
      <c r="AU130" s="185" t="str">
        <f t="shared" ref="AU130" ca="1" si="1040">IF($D130="-","-",IF(LEN(M130)=0,"", INDEX($AT$7:$AT$15,MATCH(IF($V130-INDEX(GridXRange,P130)&lt;0,"Negative",IF($V130-INDEX(GridXRange,P130)&gt;0,"Positive","Zero")) &amp; " - " &amp;IF($W130-INDEX(GridYRange,P130)&lt;0,"Negative",IF($W130-INDEX(GridYRange,P130)&gt;0,"Positive","Zero")),$AS$7:$AS$15,0))))</f>
        <v>-</v>
      </c>
      <c r="AV130" s="186" t="str">
        <f t="shared" ref="AV130" ca="1" si="1041">IF($D130="-","-",IF(LEN(N130)=0,"", INDEX($AT$7:$AT$15,MATCH(IF($V130-INDEX(GridXRange,Q130)&lt;0,"Negative",IF($V130-INDEX(GridXRange,Q130)&gt;0,"Positive","Zero")) &amp; " - " &amp;IF($W130-INDEX(GridYRange,Q130)&lt;0,"Negative",IF($W130-INDEX(GridYRange,Q130)&gt;0,"Positive","Zero")),$AS$7:$AS$15,0))))</f>
        <v>-</v>
      </c>
      <c r="AW130" s="186" t="str">
        <f t="shared" ref="AW130" ca="1" si="1042">IF($D130="-","-",IF(LEN(O130)=0,"", INDEX($AT$7:$AT$15,MATCH(IF($V130-INDEX(GridXRange,R130)&lt;0,"Negative",IF($V130-INDEX(GridXRange,R130)&gt;0,"Positive","Zero")) &amp; " - " &amp;IF($W130-INDEX(GridYRange,R130)&lt;0,"Negative",IF($W130-INDEX(GridYRange,R130)&gt;0,"Positive","Zero")),$AS$7:$AS$15,0))))</f>
        <v>-</v>
      </c>
      <c r="AX130" s="187"/>
      <c r="AY130" s="188"/>
      <c r="AZ130" s="188"/>
      <c r="BA130" s="184"/>
      <c r="BB130" s="187" t="str">
        <f t="shared" ca="1" si="1018"/>
        <v>-</v>
      </c>
      <c r="BC130" s="188" t="str">
        <f t="shared" ca="1" si="1018"/>
        <v>-</v>
      </c>
      <c r="BD130" s="188" t="str">
        <f t="shared" ca="1" si="1018"/>
        <v>-</v>
      </c>
      <c r="BE130" s="189" t="str">
        <f t="shared" ca="1" si="1018"/>
        <v>-</v>
      </c>
      <c r="BK130" s="192" t="str">
        <f t="shared" ref="BK130" ca="1" si="1043">IF($D130="-","-",$BK$5 + (V130-StartGridX) * (GapXDiff + $BW$7))</f>
        <v>-</v>
      </c>
      <c r="BL130" s="192" t="str">
        <f t="shared" ref="BL130" ca="1" si="1044">IF($D130="-","-",$BL$5 + (W130-StartGridY) * (GapYDiff + $BV$7))</f>
        <v>-</v>
      </c>
      <c r="BM130" s="192" t="str">
        <f t="shared" ca="1" si="558"/>
        <v>-</v>
      </c>
      <c r="BN130" s="192" t="str">
        <f t="shared" ca="1" si="559"/>
        <v>-</v>
      </c>
      <c r="BO130" s="192" t="str">
        <f t="shared" ca="1" si="560"/>
        <v>-</v>
      </c>
      <c r="BP130" s="192" t="str">
        <f t="shared" ca="1" si="561"/>
        <v>-</v>
      </c>
      <c r="BQ130" s="192" t="str">
        <f ca="1">IF($D130="-","-",IF(LEN(K130)=0,1,IFERROR(MATCH(K130,Dashboard!$L$25:$L$31,0),1)))</f>
        <v>-</v>
      </c>
      <c r="CC130" s="143" t="str">
        <f t="shared" ref="CC130" ca="1" si="1045">IF($D130="-","-",IF(COUNTIF(IDSourceRange,E130)&gt;1,1,0))</f>
        <v>-</v>
      </c>
      <c r="CD130" s="143" t="str">
        <f t="shared" ref="CD130" ca="1" si="1046">IF($D130="-","-",  IF(LEN(M130)=0,0,IF(ISERROR(MATCH(M130,IDSourceRange,0)),1,0)) + IF(LEN(N130)=0,0,IF(ISERROR(MATCH(N130,IDSourceRange,0)),1,0)) + IF(LEN(O130)=0,0,IF(ISERROR(MATCH(O130,IDSourceRange,0)),1,0)) )</f>
        <v>-</v>
      </c>
      <c r="CE130" s="143" t="str">
        <f t="shared" ca="1" si="589"/>
        <v>-</v>
      </c>
      <c r="CF130" s="143" t="s">
        <v>128</v>
      </c>
      <c r="CG130" s="143" t="str">
        <f t="shared" ref="CG130" ca="1" si="1047">IF($D130="-","-",IF(X130="-",0,IF(COUNTIF(GridCombinedRange,X130)&gt;1,1,0)))</f>
        <v>-</v>
      </c>
      <c r="CH130" s="143"/>
      <c r="CI130" s="143"/>
      <c r="CJ130" s="143"/>
      <c r="CK130" s="143"/>
      <c r="CL130" s="143"/>
    </row>
    <row r="131" spans="3:90" x14ac:dyDescent="0.3">
      <c r="C131" s="170">
        <v>125</v>
      </c>
      <c r="D131" s="111" t="str">
        <f ca="1">IF(COUNTA(OFFSET(Dashboard!$B$6,C131,0,1,COUNTA(Dashboard!$B$6:$H$6)))&gt;0,"Yes","-")</f>
        <v>-</v>
      </c>
      <c r="E131" s="170" t="str">
        <f ca="1">IF(D131="-","-",IF(LEN(INDEX(Dashboard!B$6:B$206,$C131+1))=0,"x"&amp;C131&amp;"x","x"&amp;INDEX(Dashboard!B$6:B$206,$C131+1)&amp;"x"))</f>
        <v>-</v>
      </c>
      <c r="F131" s="171" t="str">
        <f ca="1">IF(D131="-","-",IF(LEN(INDEX(Dashboard!$C$6:$C$206,C131+1))=0," ",INDEX(Dashboard!$C$6:$C$206,C131+1)))</f>
        <v>-</v>
      </c>
      <c r="G131" s="219" t="str">
        <f ca="1">IF(OR(D131="-",D131=""),"-",IF(LEN(INDEX(Dashboard!$D$6:$D$228,C131+1))=0,"", "x"&amp;SUBSTITUTE(SUBSTITUTE(INDEX(Dashboard!$D$6:$D$228,C131+1)," ",""),",","x,x")&amp;"x"))</f>
        <v>-</v>
      </c>
      <c r="H131" s="111" t="str">
        <f ca="1">IF(D131="-","-",TRIM(INDEX(Dashboard!$E$6:$E$206,C131+1)))</f>
        <v>-</v>
      </c>
      <c r="I131" s="111" t="str">
        <f ca="1">IF(D131="-","-",IF(LEN(INDEX(Dashboard!$F$6:$F$206,C131+1))=0,$BS$8,IF(ISERROR(MATCH(INDEX(Dashboard!$F$6:$F$206,C131+1),$BS$7:$BS$35,0)),$BS$8,INDEX(Dashboard!$F$6:$F$206,C131+1))))</f>
        <v>-</v>
      </c>
      <c r="J131" s="111" t="str">
        <f ca="1">IF(D131="-","-",SUBSTITUTE(INDEX(Dashboard!$G$6:$G$206,C131+1)," ",""))</f>
        <v>-</v>
      </c>
      <c r="K131" s="111" t="str">
        <f ca="1">IF(D131="-","-",IF(LEN(INDEX(Dashboard!$H$6:$H$206,C131+1))=0,"",INDEX(Dashboard!$H$6:$H$206,C131+1)))</f>
        <v>-</v>
      </c>
      <c r="M131" s="172" t="str">
        <f t="shared" ca="1" si="1014"/>
        <v>-</v>
      </c>
      <c r="N131" s="172" t="str">
        <f t="shared" ca="1" si="1014"/>
        <v>-</v>
      </c>
      <c r="O131" s="172" t="str">
        <f t="shared" ca="1" si="1014"/>
        <v>-</v>
      </c>
      <c r="P131" s="173" t="str">
        <f t="shared" ca="1" si="817"/>
        <v>-</v>
      </c>
      <c r="Q131" s="172" t="str">
        <f t="shared" ca="1" si="817"/>
        <v>-</v>
      </c>
      <c r="R131" s="172" t="str">
        <f t="shared" ca="1" si="817"/>
        <v>-</v>
      </c>
      <c r="S131" s="174" t="str">
        <f t="array" aca="1" ref="S131" ca="1">IF($D131="-","-",SUM(IF(LEN(M131:O131)&gt;0,1,0)))</f>
        <v>-</v>
      </c>
      <c r="T131" s="175" t="str">
        <f t="array" aca="1" ref="T131" ca="1">IF(D131="-","-",SUM(IF(ISERROR(SEARCH(E131,$G$7:$G$206)),0,1)))</f>
        <v>-</v>
      </c>
      <c r="V131" s="204"/>
      <c r="W131" s="127"/>
      <c r="X131" s="177" t="str">
        <f t="shared" si="565"/>
        <v>-</v>
      </c>
      <c r="Y131" s="178"/>
      <c r="Z131" s="127"/>
      <c r="AB131" s="179" t="str">
        <f t="shared" ca="1" si="818"/>
        <v>-</v>
      </c>
      <c r="AC131" s="179" t="str">
        <f t="shared" ca="1" si="818"/>
        <v>-</v>
      </c>
      <c r="AD131" s="179" t="str">
        <f t="shared" ca="1" si="818"/>
        <v>-</v>
      </c>
      <c r="AJ131" s="181" t="str">
        <f t="shared" ca="1" si="550"/>
        <v>-</v>
      </c>
      <c r="AK131" s="179" t="str">
        <f t="shared" ca="1" si="551"/>
        <v>-</v>
      </c>
      <c r="AL131" s="179" t="str">
        <f t="shared" ca="1" si="551"/>
        <v>-</v>
      </c>
      <c r="AM131" s="179" t="str">
        <f t="shared" ca="1" si="551"/>
        <v>-</v>
      </c>
      <c r="AO131" s="182" t="str">
        <f t="shared" ca="1" si="819"/>
        <v>-</v>
      </c>
      <c r="AP131" s="182" t="str">
        <f t="shared" ca="1" si="819"/>
        <v>-</v>
      </c>
      <c r="AQ131" s="182" t="str">
        <f t="shared" ca="1" si="819"/>
        <v>-</v>
      </c>
      <c r="AU131" s="185" t="str">
        <f t="shared" ref="AU131" ca="1" si="1048">IF($D131="-","-",IF(LEN(M131)=0,"", INDEX($AT$7:$AT$15,MATCH(IF($V131-INDEX(GridXRange,P131)&lt;0,"Negative",IF($V131-INDEX(GridXRange,P131)&gt;0,"Positive","Zero")) &amp; " - " &amp;IF($W131-INDEX(GridYRange,P131)&lt;0,"Negative",IF($W131-INDEX(GridYRange,P131)&gt;0,"Positive","Zero")),$AS$7:$AS$15,0))))</f>
        <v>-</v>
      </c>
      <c r="AV131" s="186" t="str">
        <f t="shared" ref="AV131" ca="1" si="1049">IF($D131="-","-",IF(LEN(N131)=0,"", INDEX($AT$7:$AT$15,MATCH(IF($V131-INDEX(GridXRange,Q131)&lt;0,"Negative",IF($V131-INDEX(GridXRange,Q131)&gt;0,"Positive","Zero")) &amp; " - " &amp;IF($W131-INDEX(GridYRange,Q131)&lt;0,"Negative",IF($W131-INDEX(GridYRange,Q131)&gt;0,"Positive","Zero")),$AS$7:$AS$15,0))))</f>
        <v>-</v>
      </c>
      <c r="AW131" s="186" t="str">
        <f t="shared" ref="AW131" ca="1" si="1050">IF($D131="-","-",IF(LEN(O131)=0,"", INDEX($AT$7:$AT$15,MATCH(IF($V131-INDEX(GridXRange,R131)&lt;0,"Negative",IF($V131-INDEX(GridXRange,R131)&gt;0,"Positive","Zero")) &amp; " - " &amp;IF($W131-INDEX(GridYRange,R131)&lt;0,"Negative",IF($W131-INDEX(GridYRange,R131)&gt;0,"Positive","Zero")),$AS$7:$AS$15,0))))</f>
        <v>-</v>
      </c>
      <c r="AX131" s="187"/>
      <c r="AY131" s="188"/>
      <c r="AZ131" s="188"/>
      <c r="BA131" s="184"/>
      <c r="BB131" s="187" t="str">
        <f t="shared" ca="1" si="1018"/>
        <v>-</v>
      </c>
      <c r="BC131" s="188" t="str">
        <f t="shared" ca="1" si="1018"/>
        <v>-</v>
      </c>
      <c r="BD131" s="188" t="str">
        <f t="shared" ca="1" si="1018"/>
        <v>-</v>
      </c>
      <c r="BE131" s="189" t="str">
        <f t="shared" ca="1" si="1018"/>
        <v>-</v>
      </c>
      <c r="BK131" s="192" t="str">
        <f t="shared" ref="BK131" ca="1" si="1051">IF($D131="-","-",$BK$5 + (V131-StartGridX) * (GapXDiff + $BW$7))</f>
        <v>-</v>
      </c>
      <c r="BL131" s="192" t="str">
        <f t="shared" ref="BL131" ca="1" si="1052">IF($D131="-","-",$BL$5 + (W131-StartGridY) * (GapYDiff + $BV$7))</f>
        <v>-</v>
      </c>
      <c r="BM131" s="192" t="str">
        <f t="shared" ca="1" si="558"/>
        <v>-</v>
      </c>
      <c r="BN131" s="192" t="str">
        <f t="shared" ca="1" si="559"/>
        <v>-</v>
      </c>
      <c r="BO131" s="192" t="str">
        <f t="shared" ca="1" si="560"/>
        <v>-</v>
      </c>
      <c r="BP131" s="192" t="str">
        <f t="shared" ca="1" si="561"/>
        <v>-</v>
      </c>
      <c r="BQ131" s="192" t="str">
        <f ca="1">IF($D131="-","-",IF(LEN(K131)=0,1,IFERROR(MATCH(K131,Dashboard!$L$25:$L$31,0),1)))</f>
        <v>-</v>
      </c>
      <c r="CC131" s="143" t="str">
        <f t="shared" ref="CC131" ca="1" si="1053">IF($D131="-","-",IF(COUNTIF(IDSourceRange,E131)&gt;1,1,0))</f>
        <v>-</v>
      </c>
      <c r="CD131" s="143" t="str">
        <f t="shared" ref="CD131" ca="1" si="1054">IF($D131="-","-",  IF(LEN(M131)=0,0,IF(ISERROR(MATCH(M131,IDSourceRange,0)),1,0)) + IF(LEN(N131)=0,0,IF(ISERROR(MATCH(N131,IDSourceRange,0)),1,0)) + IF(LEN(O131)=0,0,IF(ISERROR(MATCH(O131,IDSourceRange,0)),1,0)) )</f>
        <v>-</v>
      </c>
      <c r="CE131" s="143" t="str">
        <f t="shared" ca="1" si="589"/>
        <v>-</v>
      </c>
      <c r="CF131" s="143" t="s">
        <v>128</v>
      </c>
      <c r="CG131" s="143" t="str">
        <f t="shared" ref="CG131" ca="1" si="1055">IF($D131="-","-",IF(X131="-",0,IF(COUNTIF(GridCombinedRange,X131)&gt;1,1,0)))</f>
        <v>-</v>
      </c>
      <c r="CH131" s="143"/>
      <c r="CI131" s="143"/>
      <c r="CJ131" s="143"/>
      <c r="CK131" s="143"/>
      <c r="CL131" s="143"/>
    </row>
    <row r="132" spans="3:90" x14ac:dyDescent="0.3">
      <c r="C132" s="170">
        <v>126</v>
      </c>
      <c r="D132" s="111" t="str">
        <f ca="1">IF(COUNTA(OFFSET(Dashboard!$B$6,C132,0,1,COUNTA(Dashboard!$B$6:$H$6)))&gt;0,"Yes","-")</f>
        <v>-</v>
      </c>
      <c r="E132" s="170" t="str">
        <f ca="1">IF(D132="-","-",IF(LEN(INDEX(Dashboard!B$6:B$206,$C132+1))=0,"x"&amp;C132&amp;"x","x"&amp;INDEX(Dashboard!B$6:B$206,$C132+1)&amp;"x"))</f>
        <v>-</v>
      </c>
      <c r="F132" s="171" t="str">
        <f ca="1">IF(D132="-","-",IF(LEN(INDEX(Dashboard!$C$6:$C$206,C132+1))=0," ",INDEX(Dashboard!$C$6:$C$206,C132+1)))</f>
        <v>-</v>
      </c>
      <c r="G132" s="219" t="str">
        <f ca="1">IF(OR(D132="-",D132=""),"-",IF(LEN(INDEX(Dashboard!$D$6:$D$228,C132+1))=0,"", "x"&amp;SUBSTITUTE(SUBSTITUTE(INDEX(Dashboard!$D$6:$D$228,C132+1)," ",""),",","x,x")&amp;"x"))</f>
        <v>-</v>
      </c>
      <c r="H132" s="219" t="str">
        <f ca="1">IF(D132="-","-",TRIM(INDEX(Dashboard!$E$6:$E$228,C132+1)))</f>
        <v>-</v>
      </c>
      <c r="I132" s="111" t="str">
        <f ca="1">IF(D132="-","-",IF(LEN(INDEX(Dashboard!$F$6:$F$206,C132+1))=0,$BS$8,IF(ISERROR(MATCH(INDEX(Dashboard!$F$6:$F$206,C132+1),$BS$7:$BS$35,0)),$BS$8,INDEX(Dashboard!$F$6:$F$206,C132+1))))</f>
        <v>-</v>
      </c>
      <c r="J132" s="111" t="str">
        <f ca="1">IF(D132="-","-",SUBSTITUTE(INDEX(Dashboard!$G$6:$G$206,C132+1)," ",""))</f>
        <v>-</v>
      </c>
      <c r="K132" s="111" t="str">
        <f ca="1">IF(D132="-","-",IF(LEN(INDEX(Dashboard!$H$6:$H$206,C132+1))=0,"",INDEX(Dashboard!$H$6:$H$206,C132+1)))</f>
        <v>-</v>
      </c>
      <c r="M132" s="172" t="str">
        <f t="shared" ca="1" si="1014"/>
        <v>-</v>
      </c>
      <c r="N132" s="172" t="str">
        <f t="shared" ca="1" si="1014"/>
        <v>-</v>
      </c>
      <c r="O132" s="172" t="str">
        <f t="shared" ca="1" si="1014"/>
        <v>-</v>
      </c>
      <c r="P132" s="173" t="str">
        <f t="shared" ca="1" si="817"/>
        <v>-</v>
      </c>
      <c r="Q132" s="172" t="str">
        <f t="shared" ca="1" si="817"/>
        <v>-</v>
      </c>
      <c r="R132" s="172" t="str">
        <f t="shared" ca="1" si="817"/>
        <v>-</v>
      </c>
      <c r="S132" s="174" t="str">
        <f t="array" aca="1" ref="S132" ca="1">IF($D132="-","-",SUM(IF(LEN(M132:O132)&gt;0,1,0)))</f>
        <v>-</v>
      </c>
      <c r="T132" s="175" t="str">
        <f t="array" aca="1" ref="T132" ca="1">IF(D132="-","-",SUM(IF(ISERROR(SEARCH(E132,$G$7:$G$206)),0,1)))</f>
        <v>-</v>
      </c>
      <c r="V132" s="204"/>
      <c r="W132" s="127"/>
      <c r="X132" s="177" t="str">
        <f t="shared" si="565"/>
        <v>-</v>
      </c>
      <c r="Y132" s="178"/>
      <c r="Z132" s="127"/>
      <c r="AB132" s="179" t="str">
        <f t="shared" ca="1" si="818"/>
        <v>-</v>
      </c>
      <c r="AC132" s="179" t="str">
        <f t="shared" ca="1" si="818"/>
        <v>-</v>
      </c>
      <c r="AD132" s="179" t="str">
        <f t="shared" ca="1" si="818"/>
        <v>-</v>
      </c>
      <c r="AJ132" s="181" t="str">
        <f t="shared" ca="1" si="550"/>
        <v>-</v>
      </c>
      <c r="AK132" s="179" t="str">
        <f t="shared" ca="1" si="551"/>
        <v>-</v>
      </c>
      <c r="AL132" s="179" t="str">
        <f t="shared" ca="1" si="551"/>
        <v>-</v>
      </c>
      <c r="AM132" s="179" t="str">
        <f t="shared" ca="1" si="551"/>
        <v>-</v>
      </c>
      <c r="AO132" s="182" t="str">
        <f t="shared" ca="1" si="819"/>
        <v>-</v>
      </c>
      <c r="AP132" s="182" t="str">
        <f t="shared" ca="1" si="819"/>
        <v>-</v>
      </c>
      <c r="AQ132" s="182" t="str">
        <f t="shared" ca="1" si="819"/>
        <v>-</v>
      </c>
      <c r="AU132" s="185" t="str">
        <f t="shared" ref="AU132" ca="1" si="1056">IF($D132="-","-",IF(LEN(M132)=0,"", INDEX($AT$7:$AT$15,MATCH(IF($V132-INDEX(GridXRange,P132)&lt;0,"Negative",IF($V132-INDEX(GridXRange,P132)&gt;0,"Positive","Zero")) &amp; " - " &amp;IF($W132-INDEX(GridYRange,P132)&lt;0,"Negative",IF($W132-INDEX(GridYRange,P132)&gt;0,"Positive","Zero")),$AS$7:$AS$15,0))))</f>
        <v>-</v>
      </c>
      <c r="AV132" s="186" t="str">
        <f t="shared" ref="AV132" ca="1" si="1057">IF($D132="-","-",IF(LEN(N132)=0,"", INDEX($AT$7:$AT$15,MATCH(IF($V132-INDEX(GridXRange,Q132)&lt;0,"Negative",IF($V132-INDEX(GridXRange,Q132)&gt;0,"Positive","Zero")) &amp; " - " &amp;IF($W132-INDEX(GridYRange,Q132)&lt;0,"Negative",IF($W132-INDEX(GridYRange,Q132)&gt;0,"Positive","Zero")),$AS$7:$AS$15,0))))</f>
        <v>-</v>
      </c>
      <c r="AW132" s="186" t="str">
        <f t="shared" ref="AW132" ca="1" si="1058">IF($D132="-","-",IF(LEN(O132)=0,"", INDEX($AT$7:$AT$15,MATCH(IF($V132-INDEX(GridXRange,R132)&lt;0,"Negative",IF($V132-INDEX(GridXRange,R132)&gt;0,"Positive","Zero")) &amp; " - " &amp;IF($W132-INDEX(GridYRange,R132)&lt;0,"Negative",IF($W132-INDEX(GridYRange,R132)&gt;0,"Positive","Zero")),$AS$7:$AS$15,0))))</f>
        <v>-</v>
      </c>
      <c r="AX132" s="187"/>
      <c r="AY132" s="188"/>
      <c r="AZ132" s="188"/>
      <c r="BA132" s="184"/>
      <c r="BB132" s="187" t="str">
        <f t="shared" ca="1" si="1018"/>
        <v>-</v>
      </c>
      <c r="BC132" s="188" t="str">
        <f t="shared" ca="1" si="1018"/>
        <v>-</v>
      </c>
      <c r="BD132" s="188" t="str">
        <f t="shared" ca="1" si="1018"/>
        <v>-</v>
      </c>
      <c r="BE132" s="189" t="str">
        <f t="shared" ca="1" si="1018"/>
        <v>-</v>
      </c>
      <c r="BK132" s="192" t="str">
        <f t="shared" ref="BK132" ca="1" si="1059">IF($D132="-","-",$BK$5 + (V132-StartGridX) * (GapXDiff + $BW$7))</f>
        <v>-</v>
      </c>
      <c r="BL132" s="192" t="str">
        <f t="shared" ref="BL132" ca="1" si="1060">IF($D132="-","-",$BL$5 + (W132-StartGridY) * (GapYDiff + $BV$7))</f>
        <v>-</v>
      </c>
      <c r="BM132" s="192" t="str">
        <f t="shared" ca="1" si="558"/>
        <v>-</v>
      </c>
      <c r="BN132" s="192" t="str">
        <f t="shared" ca="1" si="559"/>
        <v>-</v>
      </c>
      <c r="BO132" s="192" t="str">
        <f t="shared" ca="1" si="560"/>
        <v>-</v>
      </c>
      <c r="BP132" s="192" t="str">
        <f t="shared" ca="1" si="561"/>
        <v>-</v>
      </c>
      <c r="BQ132" s="192" t="str">
        <f ca="1">IF($D132="-","-",IF(LEN(K132)=0,1,IFERROR(MATCH(K132,Dashboard!$L$25:$L$31,0),1)))</f>
        <v>-</v>
      </c>
      <c r="CC132" s="143" t="str">
        <f t="shared" ref="CC132" ca="1" si="1061">IF($D132="-","-",IF(COUNTIF(IDSourceRange,E132)&gt;1,1,0))</f>
        <v>-</v>
      </c>
      <c r="CD132" s="143" t="str">
        <f t="shared" ref="CD132" ca="1" si="1062">IF($D132="-","-",  IF(LEN(M132)=0,0,IF(ISERROR(MATCH(M132,IDSourceRange,0)),1,0)) + IF(LEN(N132)=0,0,IF(ISERROR(MATCH(N132,IDSourceRange,0)),1,0)) + IF(LEN(O132)=0,0,IF(ISERROR(MATCH(O132,IDSourceRange,0)),1,0)) )</f>
        <v>-</v>
      </c>
      <c r="CE132" s="143" t="str">
        <f t="shared" ca="1" si="589"/>
        <v>-</v>
      </c>
      <c r="CF132" s="143" t="s">
        <v>128</v>
      </c>
      <c r="CG132" s="143" t="str">
        <f t="shared" ref="CG132" ca="1" si="1063">IF($D132="-","-",IF(X132="-",0,IF(COUNTIF(GridCombinedRange,X132)&gt;1,1,0)))</f>
        <v>-</v>
      </c>
      <c r="CH132" s="143"/>
      <c r="CI132" s="143"/>
      <c r="CJ132" s="143"/>
      <c r="CK132" s="143"/>
      <c r="CL132" s="143"/>
    </row>
    <row r="133" spans="3:90" x14ac:dyDescent="0.3">
      <c r="C133" s="170">
        <v>127</v>
      </c>
      <c r="D133" s="111" t="str">
        <f ca="1">IF(COUNTA(OFFSET(Dashboard!$B$6,C133,0,1,COUNTA(Dashboard!$B$6:$H$6)))&gt;0,"Yes","-")</f>
        <v>-</v>
      </c>
      <c r="E133" s="170" t="str">
        <f ca="1">IF(D133="-","-",IF(LEN(INDEX(Dashboard!B$6:B$206,$C133+1))=0,"x"&amp;C133&amp;"x","x"&amp;INDEX(Dashboard!B$6:B$206,$C133+1)&amp;"x"))</f>
        <v>-</v>
      </c>
      <c r="F133" s="171" t="str">
        <f ca="1">IF(D133="-","-",IF(LEN(INDEX(Dashboard!$C$6:$C$206,C133+1))=0," ",INDEX(Dashboard!$C$6:$C$206,C133+1)))</f>
        <v>-</v>
      </c>
      <c r="G133" s="219" t="str">
        <f ca="1">IF(OR(D133="-",D133=""),"-",IF(LEN(INDEX(Dashboard!$D$6:$D$228,C133+1))=0,"", "x"&amp;SUBSTITUTE(SUBSTITUTE(INDEX(Dashboard!$D$6:$D$228,C133+1)," ",""),",","x,x")&amp;"x"))</f>
        <v>-</v>
      </c>
      <c r="H133" s="111" t="str">
        <f ca="1">IF(D133="-","-",TRIM(INDEX(Dashboard!$E$6:$E$206,C133+1)))</f>
        <v>-</v>
      </c>
      <c r="I133" s="111" t="str">
        <f ca="1">IF(D133="-","-",IF(LEN(INDEX(Dashboard!$F$6:$F$206,C133+1))=0,$BS$8,IF(ISERROR(MATCH(INDEX(Dashboard!$F$6:$F$206,C133+1),$BS$7:$BS$35,0)),$BS$8,INDEX(Dashboard!$F$6:$F$206,C133+1))))</f>
        <v>-</v>
      </c>
      <c r="J133" s="111" t="str">
        <f ca="1">IF(D133="-","-",SUBSTITUTE(INDEX(Dashboard!$G$6:$G$206,C133+1)," ",""))</f>
        <v>-</v>
      </c>
      <c r="K133" s="111" t="str">
        <f ca="1">IF(D133="-","-",IF(LEN(INDEX(Dashboard!$H$6:$H$206,C133+1))=0,"",INDEX(Dashboard!$H$6:$H$206,C133+1)))</f>
        <v>-</v>
      </c>
      <c r="M133" s="172" t="str">
        <f t="shared" ca="1" si="1014"/>
        <v>-</v>
      </c>
      <c r="N133" s="172" t="str">
        <f t="shared" ca="1" si="1014"/>
        <v>-</v>
      </c>
      <c r="O133" s="172" t="str">
        <f t="shared" ca="1" si="1014"/>
        <v>-</v>
      </c>
      <c r="P133" s="173" t="str">
        <f t="shared" ca="1" si="817"/>
        <v>-</v>
      </c>
      <c r="Q133" s="172" t="str">
        <f t="shared" ca="1" si="817"/>
        <v>-</v>
      </c>
      <c r="R133" s="172" t="str">
        <f t="shared" ca="1" si="817"/>
        <v>-</v>
      </c>
      <c r="S133" s="174" t="str">
        <f t="array" aca="1" ref="S133" ca="1">IF($D133="-","-",SUM(IF(LEN(M133:O133)&gt;0,1,0)))</f>
        <v>-</v>
      </c>
      <c r="T133" s="175" t="str">
        <f t="array" aca="1" ref="T133" ca="1">IF(D133="-","-",SUM(IF(ISERROR(SEARCH(E133,$G$7:$G$206)),0,1)))</f>
        <v>-</v>
      </c>
      <c r="V133" s="204"/>
      <c r="W133" s="127"/>
      <c r="X133" s="177" t="str">
        <f t="shared" si="565"/>
        <v>-</v>
      </c>
      <c r="Y133" s="178"/>
      <c r="Z133" s="127"/>
      <c r="AB133" s="179" t="str">
        <f t="shared" ca="1" si="818"/>
        <v>-</v>
      </c>
      <c r="AC133" s="179" t="str">
        <f t="shared" ca="1" si="818"/>
        <v>-</v>
      </c>
      <c r="AD133" s="179" t="str">
        <f t="shared" ca="1" si="818"/>
        <v>-</v>
      </c>
      <c r="AJ133" s="181" t="str">
        <f t="shared" ca="1" si="550"/>
        <v>-</v>
      </c>
      <c r="AK133" s="179" t="str">
        <f t="shared" ca="1" si="551"/>
        <v>-</v>
      </c>
      <c r="AL133" s="179" t="str">
        <f t="shared" ca="1" si="551"/>
        <v>-</v>
      </c>
      <c r="AM133" s="179" t="str">
        <f t="shared" ca="1" si="551"/>
        <v>-</v>
      </c>
      <c r="AO133" s="182" t="str">
        <f t="shared" ca="1" si="819"/>
        <v>-</v>
      </c>
      <c r="AP133" s="182" t="str">
        <f t="shared" ca="1" si="819"/>
        <v>-</v>
      </c>
      <c r="AQ133" s="182" t="str">
        <f t="shared" ca="1" si="819"/>
        <v>-</v>
      </c>
      <c r="AU133" s="185" t="str">
        <f t="shared" ref="AU133" ca="1" si="1064">IF($D133="-","-",IF(LEN(M133)=0,"", INDEX($AT$7:$AT$15,MATCH(IF($V133-INDEX(GridXRange,P133)&lt;0,"Negative",IF($V133-INDEX(GridXRange,P133)&gt;0,"Positive","Zero")) &amp; " - " &amp;IF($W133-INDEX(GridYRange,P133)&lt;0,"Negative",IF($W133-INDEX(GridYRange,P133)&gt;0,"Positive","Zero")),$AS$7:$AS$15,0))))</f>
        <v>-</v>
      </c>
      <c r="AV133" s="186" t="str">
        <f t="shared" ref="AV133" ca="1" si="1065">IF($D133="-","-",IF(LEN(N133)=0,"", INDEX($AT$7:$AT$15,MATCH(IF($V133-INDEX(GridXRange,Q133)&lt;0,"Negative",IF($V133-INDEX(GridXRange,Q133)&gt;0,"Positive","Zero")) &amp; " - " &amp;IF($W133-INDEX(GridYRange,Q133)&lt;0,"Negative",IF($W133-INDEX(GridYRange,Q133)&gt;0,"Positive","Zero")),$AS$7:$AS$15,0))))</f>
        <v>-</v>
      </c>
      <c r="AW133" s="186" t="str">
        <f t="shared" ref="AW133" ca="1" si="1066">IF($D133="-","-",IF(LEN(O133)=0,"", INDEX($AT$7:$AT$15,MATCH(IF($V133-INDEX(GridXRange,R133)&lt;0,"Negative",IF($V133-INDEX(GridXRange,R133)&gt;0,"Positive","Zero")) &amp; " - " &amp;IF($W133-INDEX(GridYRange,R133)&lt;0,"Negative",IF($W133-INDEX(GridYRange,R133)&gt;0,"Positive","Zero")),$AS$7:$AS$15,0))))</f>
        <v>-</v>
      </c>
      <c r="AX133" s="187"/>
      <c r="AY133" s="188"/>
      <c r="AZ133" s="188"/>
      <c r="BA133" s="184"/>
      <c r="BB133" s="187" t="str">
        <f t="shared" ca="1" si="1018"/>
        <v>-</v>
      </c>
      <c r="BC133" s="188" t="str">
        <f t="shared" ca="1" si="1018"/>
        <v>-</v>
      </c>
      <c r="BD133" s="188" t="str">
        <f t="shared" ca="1" si="1018"/>
        <v>-</v>
      </c>
      <c r="BE133" s="189" t="str">
        <f t="shared" ca="1" si="1018"/>
        <v>-</v>
      </c>
      <c r="BK133" s="192" t="str">
        <f t="shared" ref="BK133" ca="1" si="1067">IF($D133="-","-",$BK$5 + (V133-StartGridX) * (GapXDiff + $BW$7))</f>
        <v>-</v>
      </c>
      <c r="BL133" s="192" t="str">
        <f t="shared" ref="BL133" ca="1" si="1068">IF($D133="-","-",$BL$5 + (W133-StartGridY) * (GapYDiff + $BV$7))</f>
        <v>-</v>
      </c>
      <c r="BM133" s="192" t="str">
        <f t="shared" ca="1" si="558"/>
        <v>-</v>
      </c>
      <c r="BN133" s="192" t="str">
        <f t="shared" ca="1" si="559"/>
        <v>-</v>
      </c>
      <c r="BO133" s="192" t="str">
        <f t="shared" ca="1" si="560"/>
        <v>-</v>
      </c>
      <c r="BP133" s="192" t="str">
        <f t="shared" ca="1" si="561"/>
        <v>-</v>
      </c>
      <c r="BQ133" s="192" t="str">
        <f ca="1">IF($D133="-","-",IF(LEN(K133)=0,1,IFERROR(MATCH(K133,Dashboard!$L$25:$L$31,0),1)))</f>
        <v>-</v>
      </c>
      <c r="CC133" s="143" t="str">
        <f t="shared" ref="CC133" ca="1" si="1069">IF($D133="-","-",IF(COUNTIF(IDSourceRange,E133)&gt;1,1,0))</f>
        <v>-</v>
      </c>
      <c r="CD133" s="143" t="str">
        <f t="shared" ref="CD133" ca="1" si="1070">IF($D133="-","-",  IF(LEN(M133)=0,0,IF(ISERROR(MATCH(M133,IDSourceRange,0)),1,0)) + IF(LEN(N133)=0,0,IF(ISERROR(MATCH(N133,IDSourceRange,0)),1,0)) + IF(LEN(O133)=0,0,IF(ISERROR(MATCH(O133,IDSourceRange,0)),1,0)) )</f>
        <v>-</v>
      </c>
      <c r="CE133" s="143" t="str">
        <f t="shared" ca="1" si="589"/>
        <v>-</v>
      </c>
      <c r="CF133" s="143" t="s">
        <v>128</v>
      </c>
      <c r="CG133" s="143" t="str">
        <f t="shared" ref="CG133" ca="1" si="1071">IF($D133="-","-",IF(X133="-",0,IF(COUNTIF(GridCombinedRange,X133)&gt;1,1,0)))</f>
        <v>-</v>
      </c>
      <c r="CH133" s="143"/>
      <c r="CI133" s="143"/>
      <c r="CJ133" s="143"/>
      <c r="CK133" s="143"/>
      <c r="CL133" s="143"/>
    </row>
    <row r="134" spans="3:90" x14ac:dyDescent="0.3">
      <c r="C134" s="170">
        <v>128</v>
      </c>
      <c r="D134" s="111" t="str">
        <f ca="1">IF(COUNTA(OFFSET(Dashboard!$B$6,C134,0,1,COUNTA(Dashboard!$B$6:$H$6)))&gt;0,"Yes","-")</f>
        <v>-</v>
      </c>
      <c r="E134" s="170" t="str">
        <f ca="1">IF(D134="-","-",IF(LEN(INDEX(Dashboard!B$6:B$206,$C134+1))=0,"x"&amp;C134&amp;"x","x"&amp;INDEX(Dashboard!B$6:B$206,$C134+1)&amp;"x"))</f>
        <v>-</v>
      </c>
      <c r="F134" s="171" t="str">
        <f ca="1">IF(D134="-","-",IF(LEN(INDEX(Dashboard!$C$6:$C$206,C134+1))=0," ",INDEX(Dashboard!$C$6:$C$206,C134+1)))</f>
        <v>-</v>
      </c>
      <c r="G134" s="219" t="str">
        <f ca="1">IF(OR(D134="-",D134=""),"-",IF(LEN(INDEX(Dashboard!$D$6:$D$228,C134+1))=0,"", "x"&amp;SUBSTITUTE(SUBSTITUTE(INDEX(Dashboard!$D$6:$D$228,C134+1)," ",""),",","x,x")&amp;"x"))</f>
        <v>-</v>
      </c>
      <c r="H134" s="111" t="str">
        <f ca="1">IF(D134="-","-",TRIM(INDEX(Dashboard!$E$6:$E$206,C134+1)))</f>
        <v>-</v>
      </c>
      <c r="I134" s="111" t="str">
        <f ca="1">IF(D134="-","-",IF(LEN(INDEX(Dashboard!$F$6:$F$206,C134+1))=0,$BS$8,IF(ISERROR(MATCH(INDEX(Dashboard!$F$6:$F$206,C134+1),$BS$7:$BS$35,0)),$BS$8,INDEX(Dashboard!$F$6:$F$206,C134+1))))</f>
        <v>-</v>
      </c>
      <c r="J134" s="111" t="str">
        <f ca="1">IF(D134="-","-",SUBSTITUTE(INDEX(Dashboard!$G$6:$G$206,C134+1)," ",""))</f>
        <v>-</v>
      </c>
      <c r="K134" s="111" t="str">
        <f ca="1">IF(D134="-","-",IF(LEN(INDEX(Dashboard!$H$6:$H$206,C134+1))=0,"",INDEX(Dashboard!$H$6:$H$206,C134+1)))</f>
        <v>-</v>
      </c>
      <c r="M134" s="172" t="str">
        <f t="shared" ca="1" si="1014"/>
        <v>-</v>
      </c>
      <c r="N134" s="172" t="str">
        <f t="shared" ca="1" si="1014"/>
        <v>-</v>
      </c>
      <c r="O134" s="172" t="str">
        <f t="shared" ca="1" si="1014"/>
        <v>-</v>
      </c>
      <c r="P134" s="173" t="str">
        <f t="shared" ca="1" si="817"/>
        <v>-</v>
      </c>
      <c r="Q134" s="172" t="str">
        <f t="shared" ca="1" si="817"/>
        <v>-</v>
      </c>
      <c r="R134" s="172" t="str">
        <f t="shared" ca="1" si="817"/>
        <v>-</v>
      </c>
      <c r="S134" s="174" t="str">
        <f t="array" aca="1" ref="S134" ca="1">IF($D134="-","-",SUM(IF(LEN(M134:O134)&gt;0,1,0)))</f>
        <v>-</v>
      </c>
      <c r="T134" s="175" t="str">
        <f t="array" aca="1" ref="T134" ca="1">IF(D134="-","-",SUM(IF(ISERROR(SEARCH(E134,$G$7:$G$206)),0,1)))</f>
        <v>-</v>
      </c>
      <c r="V134" s="204"/>
      <c r="W134" s="127"/>
      <c r="X134" s="177" t="str">
        <f t="shared" si="565"/>
        <v>-</v>
      </c>
      <c r="Y134" s="178"/>
      <c r="Z134" s="127"/>
      <c r="AB134" s="179" t="str">
        <f t="shared" ca="1" si="818"/>
        <v>-</v>
      </c>
      <c r="AC134" s="179" t="str">
        <f t="shared" ca="1" si="818"/>
        <v>-</v>
      </c>
      <c r="AD134" s="179" t="str">
        <f t="shared" ca="1" si="818"/>
        <v>-</v>
      </c>
      <c r="AJ134" s="181" t="str">
        <f t="shared" ca="1" si="550"/>
        <v>-</v>
      </c>
      <c r="AK134" s="179" t="str">
        <f t="shared" ca="1" si="551"/>
        <v>-</v>
      </c>
      <c r="AL134" s="179" t="str">
        <f t="shared" ca="1" si="551"/>
        <v>-</v>
      </c>
      <c r="AM134" s="179" t="str">
        <f t="shared" ca="1" si="551"/>
        <v>-</v>
      </c>
      <c r="AO134" s="182" t="str">
        <f t="shared" ca="1" si="819"/>
        <v>-</v>
      </c>
      <c r="AP134" s="182" t="str">
        <f t="shared" ca="1" si="819"/>
        <v>-</v>
      </c>
      <c r="AQ134" s="182" t="str">
        <f t="shared" ca="1" si="819"/>
        <v>-</v>
      </c>
      <c r="AU134" s="185" t="str">
        <f t="shared" ref="AU134" ca="1" si="1072">IF($D134="-","-",IF(LEN(M134)=0,"", INDEX($AT$7:$AT$15,MATCH(IF($V134-INDEX(GridXRange,P134)&lt;0,"Negative",IF($V134-INDEX(GridXRange,P134)&gt;0,"Positive","Zero")) &amp; " - " &amp;IF($W134-INDEX(GridYRange,P134)&lt;0,"Negative",IF($W134-INDEX(GridYRange,P134)&gt;0,"Positive","Zero")),$AS$7:$AS$15,0))))</f>
        <v>-</v>
      </c>
      <c r="AV134" s="186" t="str">
        <f t="shared" ref="AV134" ca="1" si="1073">IF($D134="-","-",IF(LEN(N134)=0,"", INDEX($AT$7:$AT$15,MATCH(IF($V134-INDEX(GridXRange,Q134)&lt;0,"Negative",IF($V134-INDEX(GridXRange,Q134)&gt;0,"Positive","Zero")) &amp; " - " &amp;IF($W134-INDEX(GridYRange,Q134)&lt;0,"Negative",IF($W134-INDEX(GridYRange,Q134)&gt;0,"Positive","Zero")),$AS$7:$AS$15,0))))</f>
        <v>-</v>
      </c>
      <c r="AW134" s="186" t="str">
        <f t="shared" ref="AW134" ca="1" si="1074">IF($D134="-","-",IF(LEN(O134)=0,"", INDEX($AT$7:$AT$15,MATCH(IF($V134-INDEX(GridXRange,R134)&lt;0,"Negative",IF($V134-INDEX(GridXRange,R134)&gt;0,"Positive","Zero")) &amp; " - " &amp;IF($W134-INDEX(GridYRange,R134)&lt;0,"Negative",IF($W134-INDEX(GridYRange,R134)&gt;0,"Positive","Zero")),$AS$7:$AS$15,0))))</f>
        <v>-</v>
      </c>
      <c r="AX134" s="187"/>
      <c r="AY134" s="188"/>
      <c r="AZ134" s="188"/>
      <c r="BA134" s="184"/>
      <c r="BB134" s="187" t="str">
        <f t="shared" ca="1" si="1018"/>
        <v>-</v>
      </c>
      <c r="BC134" s="188" t="str">
        <f t="shared" ca="1" si="1018"/>
        <v>-</v>
      </c>
      <c r="BD134" s="188" t="str">
        <f t="shared" ca="1" si="1018"/>
        <v>-</v>
      </c>
      <c r="BE134" s="189" t="str">
        <f t="shared" ca="1" si="1018"/>
        <v>-</v>
      </c>
      <c r="BK134" s="192" t="str">
        <f t="shared" ref="BK134" ca="1" si="1075">IF($D134="-","-",$BK$5 + (V134-StartGridX) * (GapXDiff + $BW$7))</f>
        <v>-</v>
      </c>
      <c r="BL134" s="192" t="str">
        <f t="shared" ref="BL134" ca="1" si="1076">IF($D134="-","-",$BL$5 + (W134-StartGridY) * (GapYDiff + $BV$7))</f>
        <v>-</v>
      </c>
      <c r="BM134" s="192" t="str">
        <f t="shared" ca="1" si="558"/>
        <v>-</v>
      </c>
      <c r="BN134" s="192" t="str">
        <f t="shared" ca="1" si="559"/>
        <v>-</v>
      </c>
      <c r="BO134" s="192" t="str">
        <f t="shared" ca="1" si="560"/>
        <v>-</v>
      </c>
      <c r="BP134" s="192" t="str">
        <f t="shared" ca="1" si="561"/>
        <v>-</v>
      </c>
      <c r="BQ134" s="192" t="str">
        <f ca="1">IF($D134="-","-",IF(LEN(K134)=0,1,IFERROR(MATCH(K134,Dashboard!$L$25:$L$31,0),1)))</f>
        <v>-</v>
      </c>
      <c r="CC134" s="143" t="str">
        <f t="shared" ref="CC134" ca="1" si="1077">IF($D134="-","-",IF(COUNTIF(IDSourceRange,E134)&gt;1,1,0))</f>
        <v>-</v>
      </c>
      <c r="CD134" s="143" t="str">
        <f t="shared" ref="CD134" ca="1" si="1078">IF($D134="-","-",  IF(LEN(M134)=0,0,IF(ISERROR(MATCH(M134,IDSourceRange,0)),1,0)) + IF(LEN(N134)=0,0,IF(ISERROR(MATCH(N134,IDSourceRange,0)),1,0)) + IF(LEN(O134)=0,0,IF(ISERROR(MATCH(O134,IDSourceRange,0)),1,0)) )</f>
        <v>-</v>
      </c>
      <c r="CE134" s="143" t="str">
        <f t="shared" ca="1" si="589"/>
        <v>-</v>
      </c>
      <c r="CF134" s="143" t="s">
        <v>128</v>
      </c>
      <c r="CG134" s="143" t="str">
        <f t="shared" ref="CG134" ca="1" si="1079">IF($D134="-","-",IF(X134="-",0,IF(COUNTIF(GridCombinedRange,X134)&gt;1,1,0)))</f>
        <v>-</v>
      </c>
      <c r="CH134" s="143"/>
      <c r="CI134" s="143"/>
      <c r="CJ134" s="143"/>
      <c r="CK134" s="143"/>
      <c r="CL134" s="143"/>
    </row>
    <row r="135" spans="3:90" x14ac:dyDescent="0.3">
      <c r="C135" s="170">
        <v>129</v>
      </c>
      <c r="D135" s="111" t="str">
        <f ca="1">IF(COUNTA(OFFSET(Dashboard!$B$6,C135,0,1,COUNTA(Dashboard!$B$6:$H$6)))&gt;0,"Yes","-")</f>
        <v>-</v>
      </c>
      <c r="E135" s="170" t="str">
        <f ca="1">IF(D135="-","-",IF(LEN(INDEX(Dashboard!B$6:B$206,$C135+1))=0,"x"&amp;C135&amp;"x","x"&amp;INDEX(Dashboard!B$6:B$206,$C135+1)&amp;"x"))</f>
        <v>-</v>
      </c>
      <c r="F135" s="171" t="str">
        <f ca="1">IF(D135="-","-",IF(LEN(INDEX(Dashboard!$C$6:$C$206,C135+1))=0," ",INDEX(Dashboard!$C$6:$C$206,C135+1)))</f>
        <v>-</v>
      </c>
      <c r="G135" s="219" t="str">
        <f ca="1">IF(OR(D135="-",D135=""),"-",IF(LEN(INDEX(Dashboard!$D$6:$D$228,C135+1))=0,"", "x"&amp;SUBSTITUTE(SUBSTITUTE(INDEX(Dashboard!$D$6:$D$228,C135+1)," ",""),",","x,x")&amp;"x"))</f>
        <v>-</v>
      </c>
      <c r="H135" s="111" t="str">
        <f ca="1">IF(D135="-","-",TRIM(INDEX(Dashboard!$E$6:$E$206,C135+1)))</f>
        <v>-</v>
      </c>
      <c r="I135" s="111" t="str">
        <f ca="1">IF(D135="-","-",IF(LEN(INDEX(Dashboard!$F$6:$F$206,C135+1))=0,$BS$8,IF(ISERROR(MATCH(INDEX(Dashboard!$F$6:$F$206,C135+1),$BS$7:$BS$35,0)),$BS$8,INDEX(Dashboard!$F$6:$F$206,C135+1))))</f>
        <v>-</v>
      </c>
      <c r="J135" s="111" t="str">
        <f ca="1">IF(D135="-","-",SUBSTITUTE(INDEX(Dashboard!$G$6:$G$206,C135+1)," ",""))</f>
        <v>-</v>
      </c>
      <c r="K135" s="111" t="str">
        <f ca="1">IF(D135="-","-",IF(LEN(INDEX(Dashboard!$H$6:$H$206,C135+1))=0,"",INDEX(Dashboard!$H$6:$H$206,C135+1)))</f>
        <v>-</v>
      </c>
      <c r="M135" s="172" t="str">
        <f t="shared" ca="1" si="1014"/>
        <v>-</v>
      </c>
      <c r="N135" s="172" t="str">
        <f t="shared" ca="1" si="1014"/>
        <v>-</v>
      </c>
      <c r="O135" s="172" t="str">
        <f t="shared" ca="1" si="1014"/>
        <v>-</v>
      </c>
      <c r="P135" s="173" t="str">
        <f t="shared" ref="P135:R166" ca="1" si="1080">IF($D135="-","-",IF(LEN(M135)=0,"",MATCH(M135,$E$7:$E$206,0)))</f>
        <v>-</v>
      </c>
      <c r="Q135" s="172" t="str">
        <f t="shared" ca="1" si="1080"/>
        <v>-</v>
      </c>
      <c r="R135" s="172" t="str">
        <f t="shared" ca="1" si="1080"/>
        <v>-</v>
      </c>
      <c r="S135" s="174" t="str">
        <f t="array" aca="1" ref="S135" ca="1">IF($D135="-","-",SUM(IF(LEN(M135:O135)&gt;0,1,0)))</f>
        <v>-</v>
      </c>
      <c r="T135" s="175" t="str">
        <f t="array" aca="1" ref="T135" ca="1">IF(D135="-","-",SUM(IF(ISERROR(SEARCH(E135,$G$7:$G$206)),0,1)))</f>
        <v>-</v>
      </c>
      <c r="V135" s="204"/>
      <c r="W135" s="127"/>
      <c r="X135" s="177" t="str">
        <f t="shared" si="565"/>
        <v>-</v>
      </c>
      <c r="Y135" s="178"/>
      <c r="Z135" s="127"/>
      <c r="AB135" s="179" t="str">
        <f t="shared" ref="AB135:AD166" ca="1" si="1081">IF($D135="-","-",IF(LEN(M135)=0,"",TRIM(MID(SUBSTITUTE($J135,",",REPT(" ",LEN($J135))),(AB$6-1)*LEN($J135)+1,LEN($J135)))))</f>
        <v>-</v>
      </c>
      <c r="AC135" s="179" t="str">
        <f t="shared" ca="1" si="1081"/>
        <v>-</v>
      </c>
      <c r="AD135" s="179" t="str">
        <f t="shared" ca="1" si="1081"/>
        <v>-</v>
      </c>
      <c r="AJ135" s="181" t="str">
        <f t="shared" ref="AJ135:AJ198" ca="1" si="1082">IF(D135="-","-",IF(LEN(Y135)=0,"Right",INDEX($AK$7:$AM$206,$Y135,MATCH($C135,OFFSET($P$6,$Y135,0,1,COUNTA($P$6:$R$6)),0))))</f>
        <v>-</v>
      </c>
      <c r="AK135" s="179" t="str">
        <f t="shared" ref="AK135:AM198" ca="1" si="1083">IF($D135="-","-",IF(LEN(M135)=0,"",IF(AND(LEN(AB135)&lt;&gt;0,ISNUMBER(MATCH(AB135,$AF$7:$AF$17,0))),AB135,IF(AK$6=1,INDEX($AG$7:$AG$17,MATCH($AJ135,$AF$7:$AF$17,0)),IF(AK$6=2,INDEX($AH$7:$AH$17,MATCH($AJ135,$AF$7:$AF$17,0)),IF(AK$6=3,INDEX($AI$7:$AI$17,MATCH($AJ135,$AF$7:$AF$17,0)),INDEX($AG$7:$AG$17,MATCH($AJ135,$AF$7:$AF$17,0))))))))</f>
        <v>-</v>
      </c>
      <c r="AL135" s="179" t="str">
        <f t="shared" ca="1" si="1083"/>
        <v>-</v>
      </c>
      <c r="AM135" s="179" t="str">
        <f t="shared" ca="1" si="1083"/>
        <v>-</v>
      </c>
      <c r="AO135" s="182" t="str">
        <f t="shared" ref="AO135:AQ166" ca="1" si="1084">IF($D135="-","-",IF(LEN(M135)=0,"",TRIM(MID(SUBSTITUTE($H135,",",REPT(" ",LEN($H135))),(M$6-1)*LEN($H135)+1,LEN($H135)))))</f>
        <v>-</v>
      </c>
      <c r="AP135" s="182" t="str">
        <f t="shared" ca="1" si="1084"/>
        <v>-</v>
      </c>
      <c r="AQ135" s="182" t="str">
        <f t="shared" ca="1" si="1084"/>
        <v>-</v>
      </c>
      <c r="AU135" s="185" t="str">
        <f t="shared" ref="AU135" ca="1" si="1085">IF($D135="-","-",IF(LEN(M135)=0,"", INDEX($AT$7:$AT$15,MATCH(IF($V135-INDEX(GridXRange,P135)&lt;0,"Negative",IF($V135-INDEX(GridXRange,P135)&gt;0,"Positive","Zero")) &amp; " - " &amp;IF($W135-INDEX(GridYRange,P135)&lt;0,"Negative",IF($W135-INDEX(GridYRange,P135)&gt;0,"Positive","Zero")),$AS$7:$AS$15,0))))</f>
        <v>-</v>
      </c>
      <c r="AV135" s="186" t="str">
        <f t="shared" ref="AV135" ca="1" si="1086">IF($D135="-","-",IF(LEN(N135)=0,"", INDEX($AT$7:$AT$15,MATCH(IF($V135-INDEX(GridXRange,Q135)&lt;0,"Negative",IF($V135-INDEX(GridXRange,Q135)&gt;0,"Positive","Zero")) &amp; " - " &amp;IF($W135-INDEX(GridYRange,Q135)&lt;0,"Negative",IF($W135-INDEX(GridYRange,Q135)&gt;0,"Positive","Zero")),$AS$7:$AS$15,0))))</f>
        <v>-</v>
      </c>
      <c r="AW135" s="186" t="str">
        <f t="shared" ref="AW135" ca="1" si="1087">IF($D135="-","-",IF(LEN(O135)=0,"", INDEX($AT$7:$AT$15,MATCH(IF($V135-INDEX(GridXRange,R135)&lt;0,"Negative",IF($V135-INDEX(GridXRange,R135)&gt;0,"Positive","Zero")) &amp; " - " &amp;IF($W135-INDEX(GridYRange,R135)&lt;0,"Negative",IF($W135-INDEX(GridYRange,R135)&gt;0,"Positive","Zero")),$AS$7:$AS$15,0))))</f>
        <v>-</v>
      </c>
      <c r="AX135" s="187"/>
      <c r="AY135" s="188"/>
      <c r="AZ135" s="188"/>
      <c r="BA135" s="184"/>
      <c r="BB135" s="187" t="str">
        <f t="shared" ca="1" si="1018"/>
        <v>-</v>
      </c>
      <c r="BC135" s="188" t="str">
        <f t="shared" ca="1" si="1018"/>
        <v>-</v>
      </c>
      <c r="BD135" s="188" t="str">
        <f t="shared" ca="1" si="1018"/>
        <v>-</v>
      </c>
      <c r="BE135" s="189" t="str">
        <f t="shared" ca="1" si="1018"/>
        <v>-</v>
      </c>
      <c r="BK135" s="192" t="str">
        <f t="shared" ref="BK135" ca="1" si="1088">IF($D135="-","-",$BK$5 + (V135-StartGridX) * (GapXDiff + $BW$7))</f>
        <v>-</v>
      </c>
      <c r="BL135" s="192" t="str">
        <f t="shared" ref="BL135" ca="1" si="1089">IF($D135="-","-",$BL$5 + (W135-StartGridY) * (GapYDiff + $BV$7))</f>
        <v>-</v>
      </c>
      <c r="BM135" s="192" t="str">
        <f t="shared" ref="BM135:BM198" ca="1" si="1090">IF(D135="-","-",IFERROR(INDEX($BW$7:$BW$35,MATCH(I135,$BS$7:$BS$35,0)),$BW$7))</f>
        <v>-</v>
      </c>
      <c r="BN135" s="192" t="str">
        <f t="shared" ref="BN135:BN198" ca="1" si="1091">IF(D135="-","-",IFERROR(INDEX($BV$7:$BV$35,MATCH(I135,$BS$7:$BS$35,0)),$BV$7))</f>
        <v>-</v>
      </c>
      <c r="BO135" s="192" t="str">
        <f t="shared" ref="BO135:BO198" ca="1" si="1092">IF($D135="-","-",INDEX($BU$7:$BU$35,MATCH(I135,$BS$7:$BS$35,0)))</f>
        <v>-</v>
      </c>
      <c r="BP135" s="192" t="str">
        <f t="shared" ref="BP135:BP198" ca="1" si="1093">F135</f>
        <v>-</v>
      </c>
      <c r="BQ135" s="192" t="str">
        <f ca="1">IF($D135="-","-",IF(LEN(K135)=0,1,IFERROR(MATCH(K135,Dashboard!$L$25:$L$31,0),1)))</f>
        <v>-</v>
      </c>
      <c r="CC135" s="143" t="str">
        <f t="shared" ref="CC135" ca="1" si="1094">IF($D135="-","-",IF(COUNTIF(IDSourceRange,E135)&gt;1,1,0))</f>
        <v>-</v>
      </c>
      <c r="CD135" s="143" t="str">
        <f t="shared" ref="CD135" ca="1" si="1095">IF($D135="-","-",  IF(LEN(M135)=0,0,IF(ISERROR(MATCH(M135,IDSourceRange,0)),1,0)) + IF(LEN(N135)=0,0,IF(ISERROR(MATCH(N135,IDSourceRange,0)),1,0)) + IF(LEN(O135)=0,0,IF(ISERROR(MATCH(O135,IDSourceRange,0)),1,0)) )</f>
        <v>-</v>
      </c>
      <c r="CE135" s="143" t="str">
        <f t="shared" ca="1" si="589"/>
        <v>-</v>
      </c>
      <c r="CF135" s="143" t="s">
        <v>128</v>
      </c>
      <c r="CG135" s="143" t="str">
        <f t="shared" ref="CG135" ca="1" si="1096">IF($D135="-","-",IF(X135="-",0,IF(COUNTIF(GridCombinedRange,X135)&gt;1,1,0)))</f>
        <v>-</v>
      </c>
      <c r="CH135" s="143"/>
      <c r="CI135" s="143"/>
      <c r="CJ135" s="143"/>
      <c r="CK135" s="143"/>
      <c r="CL135" s="143"/>
    </row>
    <row r="136" spans="3:90" x14ac:dyDescent="0.3">
      <c r="C136" s="170">
        <v>130</v>
      </c>
      <c r="D136" s="111" t="str">
        <f ca="1">IF(COUNTA(OFFSET(Dashboard!$B$6,C136,0,1,COUNTA(Dashboard!$B$6:$H$6)))&gt;0,"Yes","-")</f>
        <v>-</v>
      </c>
      <c r="E136" s="170" t="str">
        <f ca="1">IF(D136="-","-",IF(LEN(INDEX(Dashboard!B$6:B$206,$C136+1))=0,"x"&amp;C136&amp;"x","x"&amp;INDEX(Dashboard!B$6:B$206,$C136+1)&amp;"x"))</f>
        <v>-</v>
      </c>
      <c r="F136" s="171" t="str">
        <f ca="1">IF(D136="-","-",IF(LEN(INDEX(Dashboard!$C$6:$C$206,C136+1))=0," ",INDEX(Dashboard!$C$6:$C$206,C136+1)))</f>
        <v>-</v>
      </c>
      <c r="G136" s="219" t="str">
        <f ca="1">IF(OR(D136="-",D136=""),"-",IF(LEN(INDEX(Dashboard!$D$6:$D$228,C136+1))=0,"", "x"&amp;SUBSTITUTE(SUBSTITUTE(INDEX(Dashboard!$D$6:$D$228,C136+1)," ",""),",","x,x")&amp;"x"))</f>
        <v>-</v>
      </c>
      <c r="H136" s="219" t="str">
        <f ca="1">IF(D136="-","-",TRIM(INDEX(Dashboard!$E$6:$E$228,C136+1)))</f>
        <v>-</v>
      </c>
      <c r="I136" s="111" t="str">
        <f ca="1">IF(D136="-","-",IF(LEN(INDEX(Dashboard!$F$6:$F$206,C136+1))=0,$BS$8,IF(ISERROR(MATCH(INDEX(Dashboard!$F$6:$F$206,C136+1),$BS$7:$BS$35,0)),$BS$8,INDEX(Dashboard!$F$6:$F$206,C136+1))))</f>
        <v>-</v>
      </c>
      <c r="J136" s="111" t="str">
        <f ca="1">IF(D136="-","-",SUBSTITUTE(INDEX(Dashboard!$G$6:$G$206,C136+1)," ",""))</f>
        <v>-</v>
      </c>
      <c r="K136" s="111" t="str">
        <f ca="1">IF(D136="-","-",IF(LEN(INDEX(Dashboard!$H$6:$H$206,C136+1))=0,"",INDEX(Dashboard!$H$6:$H$206,C136+1)))</f>
        <v>-</v>
      </c>
      <c r="M136" s="172" t="str">
        <f t="shared" ca="1" si="1014"/>
        <v>-</v>
      </c>
      <c r="N136" s="172" t="str">
        <f t="shared" ca="1" si="1014"/>
        <v>-</v>
      </c>
      <c r="O136" s="172" t="str">
        <f t="shared" ca="1" si="1014"/>
        <v>-</v>
      </c>
      <c r="P136" s="173" t="str">
        <f t="shared" ca="1" si="1080"/>
        <v>-</v>
      </c>
      <c r="Q136" s="172" t="str">
        <f t="shared" ca="1" si="1080"/>
        <v>-</v>
      </c>
      <c r="R136" s="172" t="str">
        <f t="shared" ca="1" si="1080"/>
        <v>-</v>
      </c>
      <c r="S136" s="174" t="str">
        <f t="array" aca="1" ref="S136" ca="1">IF($D136="-","-",SUM(IF(LEN(M136:O136)&gt;0,1,0)))</f>
        <v>-</v>
      </c>
      <c r="T136" s="175" t="str">
        <f t="array" aca="1" ref="T136" ca="1">IF(D136="-","-",SUM(IF(ISERROR(SEARCH(E136,$G$7:$G$206)),0,1)))</f>
        <v>-</v>
      </c>
      <c r="V136" s="204"/>
      <c r="W136" s="127"/>
      <c r="X136" s="177" t="str">
        <f t="shared" ref="X136:X199" si="1097">IF(AND(LEN(V136)&gt;0,LEN(W136)&gt;0),V136&amp;"-"&amp;W136,"-")</f>
        <v>-</v>
      </c>
      <c r="Y136" s="178"/>
      <c r="Z136" s="127"/>
      <c r="AB136" s="179" t="str">
        <f t="shared" ca="1" si="1081"/>
        <v>-</v>
      </c>
      <c r="AC136" s="179" t="str">
        <f t="shared" ca="1" si="1081"/>
        <v>-</v>
      </c>
      <c r="AD136" s="179" t="str">
        <f t="shared" ca="1" si="1081"/>
        <v>-</v>
      </c>
      <c r="AJ136" s="181" t="str">
        <f t="shared" ca="1" si="1082"/>
        <v>-</v>
      </c>
      <c r="AK136" s="179" t="str">
        <f t="shared" ca="1" si="1083"/>
        <v>-</v>
      </c>
      <c r="AL136" s="179" t="str">
        <f t="shared" ca="1" si="1083"/>
        <v>-</v>
      </c>
      <c r="AM136" s="179" t="str">
        <f t="shared" ca="1" si="1083"/>
        <v>-</v>
      </c>
      <c r="AO136" s="182" t="str">
        <f t="shared" ca="1" si="1084"/>
        <v>-</v>
      </c>
      <c r="AP136" s="182" t="str">
        <f t="shared" ca="1" si="1084"/>
        <v>-</v>
      </c>
      <c r="AQ136" s="182" t="str">
        <f t="shared" ca="1" si="1084"/>
        <v>-</v>
      </c>
      <c r="AU136" s="185" t="str">
        <f t="shared" ref="AU136" ca="1" si="1098">IF($D136="-","-",IF(LEN(M136)=0,"", INDEX($AT$7:$AT$15,MATCH(IF($V136-INDEX(GridXRange,P136)&lt;0,"Negative",IF($V136-INDEX(GridXRange,P136)&gt;0,"Positive","Zero")) &amp; " - " &amp;IF($W136-INDEX(GridYRange,P136)&lt;0,"Negative",IF($W136-INDEX(GridYRange,P136)&gt;0,"Positive","Zero")),$AS$7:$AS$15,0))))</f>
        <v>-</v>
      </c>
      <c r="AV136" s="186" t="str">
        <f t="shared" ref="AV136" ca="1" si="1099">IF($D136="-","-",IF(LEN(N136)=0,"", INDEX($AT$7:$AT$15,MATCH(IF($V136-INDEX(GridXRange,Q136)&lt;0,"Negative",IF($V136-INDEX(GridXRange,Q136)&gt;0,"Positive","Zero")) &amp; " - " &amp;IF($W136-INDEX(GridYRange,Q136)&lt;0,"Negative",IF($W136-INDEX(GridYRange,Q136)&gt;0,"Positive","Zero")),$AS$7:$AS$15,0))))</f>
        <v>-</v>
      </c>
      <c r="AW136" s="186" t="str">
        <f t="shared" ref="AW136" ca="1" si="1100">IF($D136="-","-",IF(LEN(O136)=0,"", INDEX($AT$7:$AT$15,MATCH(IF($V136-INDEX(GridXRange,R136)&lt;0,"Negative",IF($V136-INDEX(GridXRange,R136)&gt;0,"Positive","Zero")) &amp; " - " &amp;IF($W136-INDEX(GridYRange,R136)&lt;0,"Negative",IF($W136-INDEX(GridYRange,R136)&gt;0,"Positive","Zero")),$AS$7:$AS$15,0))))</f>
        <v>-</v>
      </c>
      <c r="AX136" s="187"/>
      <c r="AY136" s="188"/>
      <c r="AZ136" s="188"/>
      <c r="BA136" s="184"/>
      <c r="BB136" s="187" t="str">
        <f t="shared" ca="1" si="1018"/>
        <v>-</v>
      </c>
      <c r="BC136" s="188" t="str">
        <f t="shared" ca="1" si="1018"/>
        <v>-</v>
      </c>
      <c r="BD136" s="188" t="str">
        <f t="shared" ca="1" si="1018"/>
        <v>-</v>
      </c>
      <c r="BE136" s="189" t="str">
        <f t="shared" ca="1" si="1018"/>
        <v>-</v>
      </c>
      <c r="BK136" s="192" t="str">
        <f t="shared" ref="BK136" ca="1" si="1101">IF($D136="-","-",$BK$5 + (V136-StartGridX) * (GapXDiff + $BW$7))</f>
        <v>-</v>
      </c>
      <c r="BL136" s="192" t="str">
        <f t="shared" ref="BL136" ca="1" si="1102">IF($D136="-","-",$BL$5 + (W136-StartGridY) * (GapYDiff + $BV$7))</f>
        <v>-</v>
      </c>
      <c r="BM136" s="192" t="str">
        <f t="shared" ca="1" si="1090"/>
        <v>-</v>
      </c>
      <c r="BN136" s="192" t="str">
        <f t="shared" ca="1" si="1091"/>
        <v>-</v>
      </c>
      <c r="BO136" s="192" t="str">
        <f t="shared" ca="1" si="1092"/>
        <v>-</v>
      </c>
      <c r="BP136" s="192" t="str">
        <f t="shared" ca="1" si="1093"/>
        <v>-</v>
      </c>
      <c r="BQ136" s="192" t="str">
        <f ca="1">IF($D136="-","-",IF(LEN(K136)=0,1,IFERROR(MATCH(K136,Dashboard!$L$25:$L$31,0),1)))</f>
        <v>-</v>
      </c>
      <c r="CC136" s="143" t="str">
        <f t="shared" ref="CC136" ca="1" si="1103">IF($D136="-","-",IF(COUNTIF(IDSourceRange,E136)&gt;1,1,0))</f>
        <v>-</v>
      </c>
      <c r="CD136" s="143" t="str">
        <f t="shared" ref="CD136" ca="1" si="1104">IF($D136="-","-",  IF(LEN(M136)=0,0,IF(ISERROR(MATCH(M136,IDSourceRange,0)),1,0)) + IF(LEN(N136)=0,0,IF(ISERROR(MATCH(N136,IDSourceRange,0)),1,0)) + IF(LEN(O136)=0,0,IF(ISERROR(MATCH(O136,IDSourceRange,0)),1,0)) )</f>
        <v>-</v>
      </c>
      <c r="CE136" s="143" t="str">
        <f t="shared" ca="1" si="589"/>
        <v>-</v>
      </c>
      <c r="CF136" s="143" t="s">
        <v>128</v>
      </c>
      <c r="CG136" s="143" t="str">
        <f t="shared" ref="CG136" ca="1" si="1105">IF($D136="-","-",IF(X136="-",0,IF(COUNTIF(GridCombinedRange,X136)&gt;1,1,0)))</f>
        <v>-</v>
      </c>
      <c r="CH136" s="143"/>
      <c r="CI136" s="143"/>
      <c r="CJ136" s="143"/>
      <c r="CK136" s="143"/>
      <c r="CL136" s="143"/>
    </row>
    <row r="137" spans="3:90" x14ac:dyDescent="0.3">
      <c r="C137" s="170">
        <v>131</v>
      </c>
      <c r="D137" s="111" t="str">
        <f ca="1">IF(COUNTA(OFFSET(Dashboard!$B$6,C137,0,1,COUNTA(Dashboard!$B$6:$H$6)))&gt;0,"Yes","-")</f>
        <v>-</v>
      </c>
      <c r="E137" s="170" t="str">
        <f ca="1">IF(D137="-","-",IF(LEN(INDEX(Dashboard!B$6:B$206,$C137+1))=0,"x"&amp;C137&amp;"x","x"&amp;INDEX(Dashboard!B$6:B$206,$C137+1)&amp;"x"))</f>
        <v>-</v>
      </c>
      <c r="F137" s="171" t="str">
        <f ca="1">IF(D137="-","-",IF(LEN(INDEX(Dashboard!$C$6:$C$206,C137+1))=0," ",INDEX(Dashboard!$C$6:$C$206,C137+1)))</f>
        <v>-</v>
      </c>
      <c r="G137" s="219" t="str">
        <f ca="1">IF(OR(D137="-",D137=""),"-",IF(LEN(INDEX(Dashboard!$D$6:$D$228,C137+1))=0,"", "x"&amp;SUBSTITUTE(SUBSTITUTE(INDEX(Dashboard!$D$6:$D$228,C137+1)," ",""),",","x,x")&amp;"x"))</f>
        <v>-</v>
      </c>
      <c r="H137" s="111" t="str">
        <f ca="1">IF(D137="-","-",TRIM(INDEX(Dashboard!$E$6:$E$206,C137+1)))</f>
        <v>-</v>
      </c>
      <c r="I137" s="111" t="str">
        <f ca="1">IF(D137="-","-",IF(LEN(INDEX(Dashboard!$F$6:$F$206,C137+1))=0,$BS$8,IF(ISERROR(MATCH(INDEX(Dashboard!$F$6:$F$206,C137+1),$BS$7:$BS$35,0)),$BS$8,INDEX(Dashboard!$F$6:$F$206,C137+1))))</f>
        <v>-</v>
      </c>
      <c r="J137" s="111" t="str">
        <f ca="1">IF(D137="-","-",SUBSTITUTE(INDEX(Dashboard!$G$6:$G$206,C137+1)," ",""))</f>
        <v>-</v>
      </c>
      <c r="K137" s="111" t="str">
        <f ca="1">IF(D137="-","-",IF(LEN(INDEX(Dashboard!$H$6:$H$206,C137+1))=0,"",INDEX(Dashboard!$H$6:$H$206,C137+1)))</f>
        <v>-</v>
      </c>
      <c r="M137" s="172" t="str">
        <f t="shared" ca="1" si="1014"/>
        <v>-</v>
      </c>
      <c r="N137" s="172" t="str">
        <f t="shared" ca="1" si="1014"/>
        <v>-</v>
      </c>
      <c r="O137" s="172" t="str">
        <f t="shared" ca="1" si="1014"/>
        <v>-</v>
      </c>
      <c r="P137" s="173" t="str">
        <f t="shared" ca="1" si="1080"/>
        <v>-</v>
      </c>
      <c r="Q137" s="172" t="str">
        <f t="shared" ca="1" si="1080"/>
        <v>-</v>
      </c>
      <c r="R137" s="172" t="str">
        <f t="shared" ca="1" si="1080"/>
        <v>-</v>
      </c>
      <c r="S137" s="174" t="str">
        <f t="array" aca="1" ref="S137" ca="1">IF($D137="-","-",SUM(IF(LEN(M137:O137)&gt;0,1,0)))</f>
        <v>-</v>
      </c>
      <c r="T137" s="175" t="str">
        <f t="array" aca="1" ref="T137" ca="1">IF(D137="-","-",SUM(IF(ISERROR(SEARCH(E137,$G$7:$G$206)),0,1)))</f>
        <v>-</v>
      </c>
      <c r="V137" s="204"/>
      <c r="W137" s="127"/>
      <c r="X137" s="177" t="str">
        <f t="shared" si="1097"/>
        <v>-</v>
      </c>
      <c r="Y137" s="178"/>
      <c r="Z137" s="127"/>
      <c r="AB137" s="179" t="str">
        <f t="shared" ca="1" si="1081"/>
        <v>-</v>
      </c>
      <c r="AC137" s="179" t="str">
        <f t="shared" ca="1" si="1081"/>
        <v>-</v>
      </c>
      <c r="AD137" s="179" t="str">
        <f t="shared" ca="1" si="1081"/>
        <v>-</v>
      </c>
      <c r="AJ137" s="181" t="str">
        <f t="shared" ca="1" si="1082"/>
        <v>-</v>
      </c>
      <c r="AK137" s="179" t="str">
        <f t="shared" ca="1" si="1083"/>
        <v>-</v>
      </c>
      <c r="AL137" s="179" t="str">
        <f t="shared" ca="1" si="1083"/>
        <v>-</v>
      </c>
      <c r="AM137" s="179" t="str">
        <f t="shared" ca="1" si="1083"/>
        <v>-</v>
      </c>
      <c r="AO137" s="182" t="str">
        <f t="shared" ca="1" si="1084"/>
        <v>-</v>
      </c>
      <c r="AP137" s="182" t="str">
        <f t="shared" ca="1" si="1084"/>
        <v>-</v>
      </c>
      <c r="AQ137" s="182" t="str">
        <f t="shared" ca="1" si="1084"/>
        <v>-</v>
      </c>
      <c r="AU137" s="185" t="str">
        <f t="shared" ref="AU137" ca="1" si="1106">IF($D137="-","-",IF(LEN(M137)=0,"", INDEX($AT$7:$AT$15,MATCH(IF($V137-INDEX(GridXRange,P137)&lt;0,"Negative",IF($V137-INDEX(GridXRange,P137)&gt;0,"Positive","Zero")) &amp; " - " &amp;IF($W137-INDEX(GridYRange,P137)&lt;0,"Negative",IF($W137-INDEX(GridYRange,P137)&gt;0,"Positive","Zero")),$AS$7:$AS$15,0))))</f>
        <v>-</v>
      </c>
      <c r="AV137" s="186" t="str">
        <f t="shared" ref="AV137" ca="1" si="1107">IF($D137="-","-",IF(LEN(N137)=0,"", INDEX($AT$7:$AT$15,MATCH(IF($V137-INDEX(GridXRange,Q137)&lt;0,"Negative",IF($V137-INDEX(GridXRange,Q137)&gt;0,"Positive","Zero")) &amp; " - " &amp;IF($W137-INDEX(GridYRange,Q137)&lt;0,"Negative",IF($W137-INDEX(GridYRange,Q137)&gt;0,"Positive","Zero")),$AS$7:$AS$15,0))))</f>
        <v>-</v>
      </c>
      <c r="AW137" s="186" t="str">
        <f t="shared" ref="AW137" ca="1" si="1108">IF($D137="-","-",IF(LEN(O137)=0,"", INDEX($AT$7:$AT$15,MATCH(IF($V137-INDEX(GridXRange,R137)&lt;0,"Negative",IF($V137-INDEX(GridXRange,R137)&gt;0,"Positive","Zero")) &amp; " - " &amp;IF($W137-INDEX(GridYRange,R137)&lt;0,"Negative",IF($W137-INDEX(GridYRange,R137)&gt;0,"Positive","Zero")),$AS$7:$AS$15,0))))</f>
        <v>-</v>
      </c>
      <c r="AX137" s="187"/>
      <c r="AY137" s="188"/>
      <c r="AZ137" s="188"/>
      <c r="BA137" s="184"/>
      <c r="BB137" s="187" t="str">
        <f t="shared" ca="1" si="1018"/>
        <v>-</v>
      </c>
      <c r="BC137" s="188" t="str">
        <f t="shared" ca="1" si="1018"/>
        <v>-</v>
      </c>
      <c r="BD137" s="188" t="str">
        <f t="shared" ca="1" si="1018"/>
        <v>-</v>
      </c>
      <c r="BE137" s="189" t="str">
        <f t="shared" ca="1" si="1018"/>
        <v>-</v>
      </c>
      <c r="BK137" s="192" t="str">
        <f t="shared" ref="BK137" ca="1" si="1109">IF($D137="-","-",$BK$5 + (V137-StartGridX) * (GapXDiff + $BW$7))</f>
        <v>-</v>
      </c>
      <c r="BL137" s="192" t="str">
        <f t="shared" ref="BL137" ca="1" si="1110">IF($D137="-","-",$BL$5 + (W137-StartGridY) * (GapYDiff + $BV$7))</f>
        <v>-</v>
      </c>
      <c r="BM137" s="192" t="str">
        <f t="shared" ca="1" si="1090"/>
        <v>-</v>
      </c>
      <c r="BN137" s="192" t="str">
        <f t="shared" ca="1" si="1091"/>
        <v>-</v>
      </c>
      <c r="BO137" s="192" t="str">
        <f t="shared" ca="1" si="1092"/>
        <v>-</v>
      </c>
      <c r="BP137" s="192" t="str">
        <f t="shared" ca="1" si="1093"/>
        <v>-</v>
      </c>
      <c r="BQ137" s="192" t="str">
        <f ca="1">IF($D137="-","-",IF(LEN(K137)=0,1,IFERROR(MATCH(K137,Dashboard!$L$25:$L$31,0),1)))</f>
        <v>-</v>
      </c>
      <c r="CC137" s="143" t="str">
        <f t="shared" ref="CC137" ca="1" si="1111">IF($D137="-","-",IF(COUNTIF(IDSourceRange,E137)&gt;1,1,0))</f>
        <v>-</v>
      </c>
      <c r="CD137" s="143" t="str">
        <f t="shared" ref="CD137" ca="1" si="1112">IF($D137="-","-",  IF(LEN(M137)=0,0,IF(ISERROR(MATCH(M137,IDSourceRange,0)),1,0)) + IF(LEN(N137)=0,0,IF(ISERROR(MATCH(N137,IDSourceRange,0)),1,0)) + IF(LEN(O137)=0,0,IF(ISERROR(MATCH(O137,IDSourceRange,0)),1,0)) )</f>
        <v>-</v>
      </c>
      <c r="CE137" s="143" t="str">
        <f t="shared" ca="1" si="589"/>
        <v>-</v>
      </c>
      <c r="CF137" s="143" t="s">
        <v>128</v>
      </c>
      <c r="CG137" s="143" t="str">
        <f t="shared" ref="CG137" ca="1" si="1113">IF($D137="-","-",IF(X137="-",0,IF(COUNTIF(GridCombinedRange,X137)&gt;1,1,0)))</f>
        <v>-</v>
      </c>
      <c r="CH137" s="143"/>
      <c r="CI137" s="143"/>
      <c r="CJ137" s="143"/>
      <c r="CK137" s="143"/>
      <c r="CL137" s="143"/>
    </row>
    <row r="138" spans="3:90" x14ac:dyDescent="0.3">
      <c r="C138" s="170">
        <v>132</v>
      </c>
      <c r="D138" s="111" t="str">
        <f ca="1">IF(COUNTA(OFFSET(Dashboard!$B$6,C138,0,1,COUNTA(Dashboard!$B$6:$H$6)))&gt;0,"Yes","-")</f>
        <v>-</v>
      </c>
      <c r="E138" s="170" t="str">
        <f ca="1">IF(D138="-","-",IF(LEN(INDEX(Dashboard!B$6:B$206,$C138+1))=0,"x"&amp;C138&amp;"x","x"&amp;INDEX(Dashboard!B$6:B$206,$C138+1)&amp;"x"))</f>
        <v>-</v>
      </c>
      <c r="F138" s="171" t="str">
        <f ca="1">IF(D138="-","-",IF(LEN(INDEX(Dashboard!$C$6:$C$206,C138+1))=0," ",INDEX(Dashboard!$C$6:$C$206,C138+1)))</f>
        <v>-</v>
      </c>
      <c r="G138" s="219" t="str">
        <f ca="1">IF(OR(D138="-",D138=""),"-",IF(LEN(INDEX(Dashboard!$D$6:$D$228,C138+1))=0,"", "x"&amp;SUBSTITUTE(SUBSTITUTE(INDEX(Dashboard!$D$6:$D$228,C138+1)," ",""),",","x,x")&amp;"x"))</f>
        <v>-</v>
      </c>
      <c r="H138" s="111" t="str">
        <f ca="1">IF(D138="-","-",TRIM(INDEX(Dashboard!$E$6:$E$206,C138+1)))</f>
        <v>-</v>
      </c>
      <c r="I138" s="111" t="str">
        <f ca="1">IF(D138="-","-",IF(LEN(INDEX(Dashboard!$F$6:$F$206,C138+1))=0,$BS$8,IF(ISERROR(MATCH(INDEX(Dashboard!$F$6:$F$206,C138+1),$BS$7:$BS$35,0)),$BS$8,INDEX(Dashboard!$F$6:$F$206,C138+1))))</f>
        <v>-</v>
      </c>
      <c r="J138" s="111" t="str">
        <f ca="1">IF(D138="-","-",SUBSTITUTE(INDEX(Dashboard!$G$6:$G$206,C138+1)," ",""))</f>
        <v>-</v>
      </c>
      <c r="K138" s="111" t="str">
        <f ca="1">IF(D138="-","-",IF(LEN(INDEX(Dashboard!$H$6:$H$206,C138+1))=0,"",INDEX(Dashboard!$H$6:$H$206,C138+1)))</f>
        <v>-</v>
      </c>
      <c r="M138" s="172" t="str">
        <f t="shared" ca="1" si="1014"/>
        <v>-</v>
      </c>
      <c r="N138" s="172" t="str">
        <f t="shared" ca="1" si="1014"/>
        <v>-</v>
      </c>
      <c r="O138" s="172" t="str">
        <f t="shared" ca="1" si="1014"/>
        <v>-</v>
      </c>
      <c r="P138" s="173" t="str">
        <f t="shared" ca="1" si="1080"/>
        <v>-</v>
      </c>
      <c r="Q138" s="172" t="str">
        <f t="shared" ca="1" si="1080"/>
        <v>-</v>
      </c>
      <c r="R138" s="172" t="str">
        <f t="shared" ca="1" si="1080"/>
        <v>-</v>
      </c>
      <c r="S138" s="174" t="str">
        <f t="array" aca="1" ref="S138" ca="1">IF($D138="-","-",SUM(IF(LEN(M138:O138)&gt;0,1,0)))</f>
        <v>-</v>
      </c>
      <c r="T138" s="175" t="str">
        <f t="array" aca="1" ref="T138" ca="1">IF(D138="-","-",SUM(IF(ISERROR(SEARCH(E138,$G$7:$G$206)),0,1)))</f>
        <v>-</v>
      </c>
      <c r="V138" s="204"/>
      <c r="W138" s="127"/>
      <c r="X138" s="177" t="str">
        <f t="shared" si="1097"/>
        <v>-</v>
      </c>
      <c r="Y138" s="178"/>
      <c r="Z138" s="127"/>
      <c r="AB138" s="179" t="str">
        <f t="shared" ca="1" si="1081"/>
        <v>-</v>
      </c>
      <c r="AC138" s="179" t="str">
        <f t="shared" ca="1" si="1081"/>
        <v>-</v>
      </c>
      <c r="AD138" s="179" t="str">
        <f t="shared" ca="1" si="1081"/>
        <v>-</v>
      </c>
      <c r="AJ138" s="181" t="str">
        <f t="shared" ca="1" si="1082"/>
        <v>-</v>
      </c>
      <c r="AK138" s="179" t="str">
        <f t="shared" ca="1" si="1083"/>
        <v>-</v>
      </c>
      <c r="AL138" s="179" t="str">
        <f t="shared" ca="1" si="1083"/>
        <v>-</v>
      </c>
      <c r="AM138" s="179" t="str">
        <f t="shared" ca="1" si="1083"/>
        <v>-</v>
      </c>
      <c r="AO138" s="182" t="str">
        <f t="shared" ca="1" si="1084"/>
        <v>-</v>
      </c>
      <c r="AP138" s="182" t="str">
        <f t="shared" ca="1" si="1084"/>
        <v>-</v>
      </c>
      <c r="AQ138" s="182" t="str">
        <f t="shared" ca="1" si="1084"/>
        <v>-</v>
      </c>
      <c r="AU138" s="185" t="str">
        <f t="shared" ref="AU138" ca="1" si="1114">IF($D138="-","-",IF(LEN(M138)=0,"", INDEX($AT$7:$AT$15,MATCH(IF($V138-INDEX(GridXRange,P138)&lt;0,"Negative",IF($V138-INDEX(GridXRange,P138)&gt;0,"Positive","Zero")) &amp; " - " &amp;IF($W138-INDEX(GridYRange,P138)&lt;0,"Negative",IF($W138-INDEX(GridYRange,P138)&gt;0,"Positive","Zero")),$AS$7:$AS$15,0))))</f>
        <v>-</v>
      </c>
      <c r="AV138" s="186" t="str">
        <f t="shared" ref="AV138" ca="1" si="1115">IF($D138="-","-",IF(LEN(N138)=0,"", INDEX($AT$7:$AT$15,MATCH(IF($V138-INDEX(GridXRange,Q138)&lt;0,"Negative",IF($V138-INDEX(GridXRange,Q138)&gt;0,"Positive","Zero")) &amp; " - " &amp;IF($W138-INDEX(GridYRange,Q138)&lt;0,"Negative",IF($W138-INDEX(GridYRange,Q138)&gt;0,"Positive","Zero")),$AS$7:$AS$15,0))))</f>
        <v>-</v>
      </c>
      <c r="AW138" s="186" t="str">
        <f t="shared" ref="AW138" ca="1" si="1116">IF($D138="-","-",IF(LEN(O138)=0,"", INDEX($AT$7:$AT$15,MATCH(IF($V138-INDEX(GridXRange,R138)&lt;0,"Negative",IF($V138-INDEX(GridXRange,R138)&gt;0,"Positive","Zero")) &amp; " - " &amp;IF($W138-INDEX(GridYRange,R138)&lt;0,"Negative",IF($W138-INDEX(GridYRange,R138)&gt;0,"Positive","Zero")),$AS$7:$AS$15,0))))</f>
        <v>-</v>
      </c>
      <c r="AX138" s="187"/>
      <c r="AY138" s="188"/>
      <c r="AZ138" s="188"/>
      <c r="BA138" s="184"/>
      <c r="BB138" s="187" t="str">
        <f t="shared" ca="1" si="1018"/>
        <v>-</v>
      </c>
      <c r="BC138" s="188" t="str">
        <f t="shared" ca="1" si="1018"/>
        <v>-</v>
      </c>
      <c r="BD138" s="188" t="str">
        <f t="shared" ca="1" si="1018"/>
        <v>-</v>
      </c>
      <c r="BE138" s="189" t="str">
        <f t="shared" ca="1" si="1018"/>
        <v>-</v>
      </c>
      <c r="BK138" s="192" t="str">
        <f t="shared" ref="BK138" ca="1" si="1117">IF($D138="-","-",$BK$5 + (V138-StartGridX) * (GapXDiff + $BW$7))</f>
        <v>-</v>
      </c>
      <c r="BL138" s="192" t="str">
        <f t="shared" ref="BL138" ca="1" si="1118">IF($D138="-","-",$BL$5 + (W138-StartGridY) * (GapYDiff + $BV$7))</f>
        <v>-</v>
      </c>
      <c r="BM138" s="192" t="str">
        <f t="shared" ca="1" si="1090"/>
        <v>-</v>
      </c>
      <c r="BN138" s="192" t="str">
        <f t="shared" ca="1" si="1091"/>
        <v>-</v>
      </c>
      <c r="BO138" s="192" t="str">
        <f t="shared" ca="1" si="1092"/>
        <v>-</v>
      </c>
      <c r="BP138" s="192" t="str">
        <f t="shared" ca="1" si="1093"/>
        <v>-</v>
      </c>
      <c r="BQ138" s="192" t="str">
        <f ca="1">IF($D138="-","-",IF(LEN(K138)=0,1,IFERROR(MATCH(K138,Dashboard!$L$25:$L$31,0),1)))</f>
        <v>-</v>
      </c>
      <c r="CC138" s="143" t="str">
        <f t="shared" ref="CC138" ca="1" si="1119">IF($D138="-","-",IF(COUNTIF(IDSourceRange,E138)&gt;1,1,0))</f>
        <v>-</v>
      </c>
      <c r="CD138" s="143" t="str">
        <f t="shared" ref="CD138" ca="1" si="1120">IF($D138="-","-",  IF(LEN(M138)=0,0,IF(ISERROR(MATCH(M138,IDSourceRange,0)),1,0)) + IF(LEN(N138)=0,0,IF(ISERROR(MATCH(N138,IDSourceRange,0)),1,0)) + IF(LEN(O138)=0,0,IF(ISERROR(MATCH(O138,IDSourceRange,0)),1,0)) )</f>
        <v>-</v>
      </c>
      <c r="CE138" s="143" t="str">
        <f t="shared" ref="CE138:CE201" ca="1" si="1121">IF($D138="-","-",IF(LEN(AB138)=0,0,IF(ISERROR(MATCH(AB138,$AF$7:$AF$17,0)),1,0)) + IF(LEN(AC138)=0,0,IF(ISERROR(MATCH(AC138,$AF$7:$AF$17,0)),1,0)) + IF(LEN(AD138)=0,0,IF(ISERROR(MATCH(AD138,$AF$7:$AF$17,0)),1,0)))</f>
        <v>-</v>
      </c>
      <c r="CF138" s="143" t="s">
        <v>128</v>
      </c>
      <c r="CG138" s="143" t="str">
        <f t="shared" ref="CG138" ca="1" si="1122">IF($D138="-","-",IF(X138="-",0,IF(COUNTIF(GridCombinedRange,X138)&gt;1,1,0)))</f>
        <v>-</v>
      </c>
      <c r="CH138" s="143"/>
      <c r="CI138" s="143"/>
      <c r="CJ138" s="143"/>
      <c r="CK138" s="143"/>
      <c r="CL138" s="143"/>
    </row>
    <row r="139" spans="3:90" x14ac:dyDescent="0.3">
      <c r="C139" s="170">
        <v>133</v>
      </c>
      <c r="D139" s="111" t="str">
        <f ca="1">IF(COUNTA(OFFSET(Dashboard!$B$6,C139,0,1,COUNTA(Dashboard!$B$6:$H$6)))&gt;0,"Yes","-")</f>
        <v>-</v>
      </c>
      <c r="E139" s="170" t="str">
        <f ca="1">IF(D139="-","-",IF(LEN(INDEX(Dashboard!B$6:B$206,$C139+1))=0,"x"&amp;C139&amp;"x","x"&amp;INDEX(Dashboard!B$6:B$206,$C139+1)&amp;"x"))</f>
        <v>-</v>
      </c>
      <c r="F139" s="171" t="str">
        <f ca="1">IF(D139="-","-",IF(LEN(INDEX(Dashboard!$C$6:$C$206,C139+1))=0," ",INDEX(Dashboard!$C$6:$C$206,C139+1)))</f>
        <v>-</v>
      </c>
      <c r="G139" s="219" t="str">
        <f ca="1">IF(OR(D139="-",D139=""),"-",IF(LEN(INDEX(Dashboard!$D$6:$D$228,C139+1))=0,"", "x"&amp;SUBSTITUTE(SUBSTITUTE(INDEX(Dashboard!$D$6:$D$228,C139+1)," ",""),",","x,x")&amp;"x"))</f>
        <v>-</v>
      </c>
      <c r="H139" s="111" t="str">
        <f ca="1">IF(D139="-","-",TRIM(INDEX(Dashboard!$E$6:$E$206,C139+1)))</f>
        <v>-</v>
      </c>
      <c r="I139" s="111" t="str">
        <f ca="1">IF(D139="-","-",IF(LEN(INDEX(Dashboard!$F$6:$F$206,C139+1))=0,$BS$8,IF(ISERROR(MATCH(INDEX(Dashboard!$F$6:$F$206,C139+1),$BS$7:$BS$35,0)),$BS$8,INDEX(Dashboard!$F$6:$F$206,C139+1))))</f>
        <v>-</v>
      </c>
      <c r="J139" s="111" t="str">
        <f ca="1">IF(D139="-","-",SUBSTITUTE(INDEX(Dashboard!$G$6:$G$206,C139+1)," ",""))</f>
        <v>-</v>
      </c>
      <c r="K139" s="111" t="str">
        <f ca="1">IF(D139="-","-",IF(LEN(INDEX(Dashboard!$H$6:$H$206,C139+1))=0,"",INDEX(Dashboard!$H$6:$H$206,C139+1)))</f>
        <v>-</v>
      </c>
      <c r="M139" s="172" t="str">
        <f t="shared" ca="1" si="1014"/>
        <v>-</v>
      </c>
      <c r="N139" s="172" t="str">
        <f t="shared" ca="1" si="1014"/>
        <v>-</v>
      </c>
      <c r="O139" s="172" t="str">
        <f t="shared" ca="1" si="1014"/>
        <v>-</v>
      </c>
      <c r="P139" s="173" t="str">
        <f t="shared" ca="1" si="1080"/>
        <v>-</v>
      </c>
      <c r="Q139" s="172" t="str">
        <f t="shared" ca="1" si="1080"/>
        <v>-</v>
      </c>
      <c r="R139" s="172" t="str">
        <f t="shared" ca="1" si="1080"/>
        <v>-</v>
      </c>
      <c r="S139" s="174" t="str">
        <f t="array" aca="1" ref="S139" ca="1">IF($D139="-","-",SUM(IF(LEN(M139:O139)&gt;0,1,0)))</f>
        <v>-</v>
      </c>
      <c r="T139" s="175" t="str">
        <f t="array" aca="1" ref="T139" ca="1">IF(D139="-","-",SUM(IF(ISERROR(SEARCH(E139,$G$7:$G$206)),0,1)))</f>
        <v>-</v>
      </c>
      <c r="V139" s="204"/>
      <c r="W139" s="127"/>
      <c r="X139" s="177" t="str">
        <f t="shared" si="1097"/>
        <v>-</v>
      </c>
      <c r="Y139" s="178"/>
      <c r="Z139" s="127"/>
      <c r="AB139" s="179" t="str">
        <f t="shared" ca="1" si="1081"/>
        <v>-</v>
      </c>
      <c r="AC139" s="179" t="str">
        <f t="shared" ca="1" si="1081"/>
        <v>-</v>
      </c>
      <c r="AD139" s="179" t="str">
        <f t="shared" ca="1" si="1081"/>
        <v>-</v>
      </c>
      <c r="AJ139" s="181" t="str">
        <f t="shared" ca="1" si="1082"/>
        <v>-</v>
      </c>
      <c r="AK139" s="179" t="str">
        <f t="shared" ca="1" si="1083"/>
        <v>-</v>
      </c>
      <c r="AL139" s="179" t="str">
        <f t="shared" ca="1" si="1083"/>
        <v>-</v>
      </c>
      <c r="AM139" s="179" t="str">
        <f t="shared" ca="1" si="1083"/>
        <v>-</v>
      </c>
      <c r="AO139" s="182" t="str">
        <f t="shared" ca="1" si="1084"/>
        <v>-</v>
      </c>
      <c r="AP139" s="182" t="str">
        <f t="shared" ca="1" si="1084"/>
        <v>-</v>
      </c>
      <c r="AQ139" s="182" t="str">
        <f t="shared" ca="1" si="1084"/>
        <v>-</v>
      </c>
      <c r="AU139" s="185" t="str">
        <f t="shared" ref="AU139" ca="1" si="1123">IF($D139="-","-",IF(LEN(M139)=0,"", INDEX($AT$7:$AT$15,MATCH(IF($V139-INDEX(GridXRange,P139)&lt;0,"Negative",IF($V139-INDEX(GridXRange,P139)&gt;0,"Positive","Zero")) &amp; " - " &amp;IF($W139-INDEX(GridYRange,P139)&lt;0,"Negative",IF($W139-INDEX(GridYRange,P139)&gt;0,"Positive","Zero")),$AS$7:$AS$15,0))))</f>
        <v>-</v>
      </c>
      <c r="AV139" s="186" t="str">
        <f t="shared" ref="AV139" ca="1" si="1124">IF($D139="-","-",IF(LEN(N139)=0,"", INDEX($AT$7:$AT$15,MATCH(IF($V139-INDEX(GridXRange,Q139)&lt;0,"Negative",IF($V139-INDEX(GridXRange,Q139)&gt;0,"Positive","Zero")) &amp; " - " &amp;IF($W139-INDEX(GridYRange,Q139)&lt;0,"Negative",IF($W139-INDEX(GridYRange,Q139)&gt;0,"Positive","Zero")),$AS$7:$AS$15,0))))</f>
        <v>-</v>
      </c>
      <c r="AW139" s="186" t="str">
        <f t="shared" ref="AW139" ca="1" si="1125">IF($D139="-","-",IF(LEN(O139)=0,"", INDEX($AT$7:$AT$15,MATCH(IF($V139-INDEX(GridXRange,R139)&lt;0,"Negative",IF($V139-INDEX(GridXRange,R139)&gt;0,"Positive","Zero")) &amp; " - " &amp;IF($W139-INDEX(GridYRange,R139)&lt;0,"Negative",IF($W139-INDEX(GridYRange,R139)&gt;0,"Positive","Zero")),$AS$7:$AS$15,0))))</f>
        <v>-</v>
      </c>
      <c r="AX139" s="187"/>
      <c r="AY139" s="188"/>
      <c r="AZ139" s="188"/>
      <c r="BA139" s="184"/>
      <c r="BB139" s="187" t="str">
        <f t="shared" ca="1" si="1018"/>
        <v>-</v>
      </c>
      <c r="BC139" s="188" t="str">
        <f t="shared" ca="1" si="1018"/>
        <v>-</v>
      </c>
      <c r="BD139" s="188" t="str">
        <f t="shared" ca="1" si="1018"/>
        <v>-</v>
      </c>
      <c r="BE139" s="189" t="str">
        <f t="shared" ca="1" si="1018"/>
        <v>-</v>
      </c>
      <c r="BK139" s="192" t="str">
        <f t="shared" ref="BK139" ca="1" si="1126">IF($D139="-","-",$BK$5 + (V139-StartGridX) * (GapXDiff + $BW$7))</f>
        <v>-</v>
      </c>
      <c r="BL139" s="192" t="str">
        <f t="shared" ref="BL139" ca="1" si="1127">IF($D139="-","-",$BL$5 + (W139-StartGridY) * (GapYDiff + $BV$7))</f>
        <v>-</v>
      </c>
      <c r="BM139" s="192" t="str">
        <f t="shared" ca="1" si="1090"/>
        <v>-</v>
      </c>
      <c r="BN139" s="192" t="str">
        <f t="shared" ca="1" si="1091"/>
        <v>-</v>
      </c>
      <c r="BO139" s="192" t="str">
        <f t="shared" ca="1" si="1092"/>
        <v>-</v>
      </c>
      <c r="BP139" s="192" t="str">
        <f t="shared" ca="1" si="1093"/>
        <v>-</v>
      </c>
      <c r="BQ139" s="192" t="str">
        <f ca="1">IF($D139="-","-",IF(LEN(K139)=0,1,IFERROR(MATCH(K139,Dashboard!$L$25:$L$31,0),1)))</f>
        <v>-</v>
      </c>
      <c r="CC139" s="143" t="str">
        <f t="shared" ref="CC139" ca="1" si="1128">IF($D139="-","-",IF(COUNTIF(IDSourceRange,E139)&gt;1,1,0))</f>
        <v>-</v>
      </c>
      <c r="CD139" s="143" t="str">
        <f t="shared" ref="CD139" ca="1" si="1129">IF($D139="-","-",  IF(LEN(M139)=0,0,IF(ISERROR(MATCH(M139,IDSourceRange,0)),1,0)) + IF(LEN(N139)=0,0,IF(ISERROR(MATCH(N139,IDSourceRange,0)),1,0)) + IF(LEN(O139)=0,0,IF(ISERROR(MATCH(O139,IDSourceRange,0)),1,0)) )</f>
        <v>-</v>
      </c>
      <c r="CE139" s="143" t="str">
        <f t="shared" ca="1" si="1121"/>
        <v>-</v>
      </c>
      <c r="CF139" s="143" t="s">
        <v>128</v>
      </c>
      <c r="CG139" s="143" t="str">
        <f t="shared" ref="CG139" ca="1" si="1130">IF($D139="-","-",IF(X139="-",0,IF(COUNTIF(GridCombinedRange,X139)&gt;1,1,0)))</f>
        <v>-</v>
      </c>
      <c r="CH139" s="143"/>
      <c r="CI139" s="143"/>
      <c r="CJ139" s="143"/>
      <c r="CK139" s="143"/>
      <c r="CL139" s="143"/>
    </row>
    <row r="140" spans="3:90" x14ac:dyDescent="0.3">
      <c r="C140" s="170">
        <v>134</v>
      </c>
      <c r="D140" s="111" t="str">
        <f ca="1">IF(COUNTA(OFFSET(Dashboard!$B$6,C140,0,1,COUNTA(Dashboard!$B$6:$H$6)))&gt;0,"Yes","-")</f>
        <v>-</v>
      </c>
      <c r="E140" s="170" t="str">
        <f ca="1">IF(D140="-","-",IF(LEN(INDEX(Dashboard!B$6:B$206,$C140+1))=0,"x"&amp;C140&amp;"x","x"&amp;INDEX(Dashboard!B$6:B$206,$C140+1)&amp;"x"))</f>
        <v>-</v>
      </c>
      <c r="F140" s="220" t="str">
        <f ca="1">IF(D140="-","-",IF(LEN(INDEX(Dashboard!$C$6:$C$228,C140+1))=0," ",INDEX(Dashboard!$C$6:$C$228,C140+1)))</f>
        <v>-</v>
      </c>
      <c r="G140" s="219" t="str">
        <f ca="1">IF(OR(D140="-",D140=""),"-",IF(LEN(INDEX(Dashboard!$D$6:$D$228,C140+1))=0,"", "x"&amp;SUBSTITUTE(SUBSTITUTE(INDEX(Dashboard!$D$6:$D$228,C140+1)," ",""),",","x,x")&amp;"x"))</f>
        <v>-</v>
      </c>
      <c r="H140" s="111" t="str">
        <f ca="1">IF(D140="-","-",TRIM(INDEX(Dashboard!$E$6:$E$206,C140+1)))</f>
        <v>-</v>
      </c>
      <c r="I140" s="111" t="str">
        <f ca="1">IF(D140="-","-",IF(LEN(INDEX(Dashboard!$F$6:$F$206,C140+1))=0,$BS$8,IF(ISERROR(MATCH(INDEX(Dashboard!$F$6:$F$206,C140+1),$BS$7:$BS$35,0)),$BS$8,INDEX(Dashboard!$F$6:$F$206,C140+1))))</f>
        <v>-</v>
      </c>
      <c r="J140" s="111" t="str">
        <f ca="1">IF(D140="-","-",SUBSTITUTE(INDEX(Dashboard!$G$6:$G$206,C140+1)," ",""))</f>
        <v>-</v>
      </c>
      <c r="K140" s="111" t="str">
        <f ca="1">IF(D140="-","-",IF(LEN(INDEX(Dashboard!$H$6:$H$206,C140+1))=0,"",INDEX(Dashboard!$H$6:$H$206,C140+1)))</f>
        <v>-</v>
      </c>
      <c r="M140" s="172" t="str">
        <f t="shared" ca="1" si="1014"/>
        <v>-</v>
      </c>
      <c r="N140" s="172" t="str">
        <f t="shared" ca="1" si="1014"/>
        <v>-</v>
      </c>
      <c r="O140" s="172" t="str">
        <f t="shared" ca="1" si="1014"/>
        <v>-</v>
      </c>
      <c r="P140" s="173" t="str">
        <f t="shared" ca="1" si="1080"/>
        <v>-</v>
      </c>
      <c r="Q140" s="172" t="str">
        <f t="shared" ca="1" si="1080"/>
        <v>-</v>
      </c>
      <c r="R140" s="172" t="str">
        <f t="shared" ca="1" si="1080"/>
        <v>-</v>
      </c>
      <c r="S140" s="174" t="str">
        <f t="array" aca="1" ref="S140" ca="1">IF($D140="-","-",SUM(IF(LEN(M140:O140)&gt;0,1,0)))</f>
        <v>-</v>
      </c>
      <c r="T140" s="175" t="str">
        <f t="array" aca="1" ref="T140" ca="1">IF(D140="-","-",SUM(IF(ISERROR(SEARCH(E140,$G$7:$G$206)),0,1)))</f>
        <v>-</v>
      </c>
      <c r="V140" s="204"/>
      <c r="W140" s="127"/>
      <c r="X140" s="177" t="str">
        <f t="shared" si="1097"/>
        <v>-</v>
      </c>
      <c r="Y140" s="178"/>
      <c r="Z140" s="127"/>
      <c r="AB140" s="179" t="str">
        <f t="shared" ca="1" si="1081"/>
        <v>-</v>
      </c>
      <c r="AC140" s="179" t="str">
        <f t="shared" ca="1" si="1081"/>
        <v>-</v>
      </c>
      <c r="AD140" s="179" t="str">
        <f t="shared" ca="1" si="1081"/>
        <v>-</v>
      </c>
      <c r="AJ140" s="181" t="str">
        <f t="shared" ca="1" si="1082"/>
        <v>-</v>
      </c>
      <c r="AK140" s="179" t="str">
        <f t="shared" ca="1" si="1083"/>
        <v>-</v>
      </c>
      <c r="AL140" s="179" t="str">
        <f t="shared" ca="1" si="1083"/>
        <v>-</v>
      </c>
      <c r="AM140" s="179" t="str">
        <f t="shared" ca="1" si="1083"/>
        <v>-</v>
      </c>
      <c r="AO140" s="182" t="str">
        <f t="shared" ca="1" si="1084"/>
        <v>-</v>
      </c>
      <c r="AP140" s="182" t="str">
        <f t="shared" ca="1" si="1084"/>
        <v>-</v>
      </c>
      <c r="AQ140" s="182" t="str">
        <f t="shared" ca="1" si="1084"/>
        <v>-</v>
      </c>
      <c r="AU140" s="185" t="str">
        <f t="shared" ref="AU140" ca="1" si="1131">IF($D140="-","-",IF(LEN(M140)=0,"", INDEX($AT$7:$AT$15,MATCH(IF($V140-INDEX(GridXRange,P140)&lt;0,"Negative",IF($V140-INDEX(GridXRange,P140)&gt;0,"Positive","Zero")) &amp; " - " &amp;IF($W140-INDEX(GridYRange,P140)&lt;0,"Negative",IF($W140-INDEX(GridYRange,P140)&gt;0,"Positive","Zero")),$AS$7:$AS$15,0))))</f>
        <v>-</v>
      </c>
      <c r="AV140" s="186" t="str">
        <f t="shared" ref="AV140" ca="1" si="1132">IF($D140="-","-",IF(LEN(N140)=0,"", INDEX($AT$7:$AT$15,MATCH(IF($V140-INDEX(GridXRange,Q140)&lt;0,"Negative",IF($V140-INDEX(GridXRange,Q140)&gt;0,"Positive","Zero")) &amp; " - " &amp;IF($W140-INDEX(GridYRange,Q140)&lt;0,"Negative",IF($W140-INDEX(GridYRange,Q140)&gt;0,"Positive","Zero")),$AS$7:$AS$15,0))))</f>
        <v>-</v>
      </c>
      <c r="AW140" s="186" t="str">
        <f t="shared" ref="AW140" ca="1" si="1133">IF($D140="-","-",IF(LEN(O140)=0,"", INDEX($AT$7:$AT$15,MATCH(IF($V140-INDEX(GridXRange,R140)&lt;0,"Negative",IF($V140-INDEX(GridXRange,R140)&gt;0,"Positive","Zero")) &amp; " - " &amp;IF($W140-INDEX(GridYRange,R140)&lt;0,"Negative",IF($W140-INDEX(GridYRange,R140)&gt;0,"Positive","Zero")),$AS$7:$AS$15,0))))</f>
        <v>-</v>
      </c>
      <c r="AX140" s="187"/>
      <c r="AY140" s="188"/>
      <c r="AZ140" s="188"/>
      <c r="BA140" s="184"/>
      <c r="BB140" s="187" t="str">
        <f t="shared" ca="1" si="1018"/>
        <v>-</v>
      </c>
      <c r="BC140" s="188" t="str">
        <f t="shared" ca="1" si="1018"/>
        <v>-</v>
      </c>
      <c r="BD140" s="188" t="str">
        <f t="shared" ca="1" si="1018"/>
        <v>-</v>
      </c>
      <c r="BE140" s="189" t="str">
        <f t="shared" ca="1" si="1018"/>
        <v>-</v>
      </c>
      <c r="BK140" s="192" t="str">
        <f t="shared" ref="BK140" ca="1" si="1134">IF($D140="-","-",$BK$5 + (V140-StartGridX) * (GapXDiff + $BW$7))</f>
        <v>-</v>
      </c>
      <c r="BL140" s="192" t="str">
        <f t="shared" ref="BL140" ca="1" si="1135">IF($D140="-","-",$BL$5 + (W140-StartGridY) * (GapYDiff + $BV$7))</f>
        <v>-</v>
      </c>
      <c r="BM140" s="192" t="str">
        <f t="shared" ca="1" si="1090"/>
        <v>-</v>
      </c>
      <c r="BN140" s="192" t="str">
        <f t="shared" ca="1" si="1091"/>
        <v>-</v>
      </c>
      <c r="BO140" s="192" t="str">
        <f t="shared" ca="1" si="1092"/>
        <v>-</v>
      </c>
      <c r="BP140" s="192" t="str">
        <f t="shared" ca="1" si="1093"/>
        <v>-</v>
      </c>
      <c r="BQ140" s="192" t="str">
        <f ca="1">IF($D140="-","-",IF(LEN(K140)=0,1,IFERROR(MATCH(K140,Dashboard!$L$25:$L$31,0),1)))</f>
        <v>-</v>
      </c>
      <c r="CC140" s="143" t="str">
        <f t="shared" ref="CC140" ca="1" si="1136">IF($D140="-","-",IF(COUNTIF(IDSourceRange,E140)&gt;1,1,0))</f>
        <v>-</v>
      </c>
      <c r="CD140" s="143" t="str">
        <f t="shared" ref="CD140" ca="1" si="1137">IF($D140="-","-",  IF(LEN(M140)=0,0,IF(ISERROR(MATCH(M140,IDSourceRange,0)),1,0)) + IF(LEN(N140)=0,0,IF(ISERROR(MATCH(N140,IDSourceRange,0)),1,0)) + IF(LEN(O140)=0,0,IF(ISERROR(MATCH(O140,IDSourceRange,0)),1,0)) )</f>
        <v>-</v>
      </c>
      <c r="CE140" s="143" t="str">
        <f t="shared" ca="1" si="1121"/>
        <v>-</v>
      </c>
      <c r="CF140" s="143" t="s">
        <v>128</v>
      </c>
      <c r="CG140" s="143" t="str">
        <f t="shared" ref="CG140" ca="1" si="1138">IF($D140="-","-",IF(X140="-",0,IF(COUNTIF(GridCombinedRange,X140)&gt;1,1,0)))</f>
        <v>-</v>
      </c>
      <c r="CH140" s="143"/>
      <c r="CI140" s="143"/>
      <c r="CJ140" s="143"/>
      <c r="CK140" s="143"/>
      <c r="CL140" s="143"/>
    </row>
    <row r="141" spans="3:90" x14ac:dyDescent="0.3">
      <c r="C141" s="170">
        <v>135</v>
      </c>
      <c r="D141" s="111" t="str">
        <f ca="1">IF(COUNTA(OFFSET(Dashboard!$B$6,C141,0,1,COUNTA(Dashboard!$B$6:$H$6)))&gt;0,"Yes","-")</f>
        <v>-</v>
      </c>
      <c r="E141" s="170" t="str">
        <f ca="1">IF(D141="-","-",IF(LEN(INDEX(Dashboard!B$6:B$206,$C141+1))=0,"x"&amp;C141&amp;"x","x"&amp;INDEX(Dashboard!B$6:B$206,$C141+1)&amp;"x"))</f>
        <v>-</v>
      </c>
      <c r="F141" s="171" t="str">
        <f ca="1">IF(D141="-","-",IF(LEN(INDEX(Dashboard!$C$6:$C$206,C141+1))=0," ",INDEX(Dashboard!$C$6:$C$206,C141+1)))</f>
        <v>-</v>
      </c>
      <c r="G141" s="219" t="str">
        <f ca="1">IF(OR(D141="-",D141=""),"-",IF(LEN(INDEX(Dashboard!$D$6:$D$228,C141+1))=0,"", "x"&amp;SUBSTITUTE(SUBSTITUTE(INDEX(Dashboard!$D$6:$D$228,C141+1)," ",""),",","x,x")&amp;"x"))</f>
        <v>-</v>
      </c>
      <c r="H141" s="111" t="str">
        <f ca="1">IF(D141="-","-",TRIM(INDEX(Dashboard!$E$6:$E$206,C141+1)))</f>
        <v>-</v>
      </c>
      <c r="I141" s="111" t="str">
        <f ca="1">IF(D141="-","-",IF(LEN(INDEX(Dashboard!$F$6:$F$206,C141+1))=0,$BS$8,IF(ISERROR(MATCH(INDEX(Dashboard!$F$6:$F$206,C141+1),$BS$7:$BS$35,0)),$BS$8,INDEX(Dashboard!$F$6:$F$206,C141+1))))</f>
        <v>-</v>
      </c>
      <c r="J141" s="111" t="str">
        <f ca="1">IF(D141="-","-",SUBSTITUTE(INDEX(Dashboard!$G$6:$G$206,C141+1)," ",""))</f>
        <v>-</v>
      </c>
      <c r="K141" s="111" t="str">
        <f ca="1">IF(D141="-","-",IF(LEN(INDEX(Dashboard!$H$6:$H$206,C141+1))=0,"",INDEX(Dashboard!$H$6:$H$206,C141+1)))</f>
        <v>-</v>
      </c>
      <c r="M141" s="172" t="str">
        <f t="shared" ca="1" si="1014"/>
        <v>-</v>
      </c>
      <c r="N141" s="172" t="str">
        <f t="shared" ca="1" si="1014"/>
        <v>-</v>
      </c>
      <c r="O141" s="172" t="str">
        <f t="shared" ca="1" si="1014"/>
        <v>-</v>
      </c>
      <c r="P141" s="173" t="str">
        <f t="shared" ca="1" si="1080"/>
        <v>-</v>
      </c>
      <c r="Q141" s="172" t="str">
        <f t="shared" ca="1" si="1080"/>
        <v>-</v>
      </c>
      <c r="R141" s="172" t="str">
        <f t="shared" ca="1" si="1080"/>
        <v>-</v>
      </c>
      <c r="S141" s="174" t="str">
        <f t="array" aca="1" ref="S141" ca="1">IF($D141="-","-",SUM(IF(LEN(M141:O141)&gt;0,1,0)))</f>
        <v>-</v>
      </c>
      <c r="T141" s="175" t="str">
        <f t="array" aca="1" ref="T141" ca="1">IF(D141="-","-",SUM(IF(ISERROR(SEARCH(E141,$G$7:$G$206)),0,1)))</f>
        <v>-</v>
      </c>
      <c r="V141" s="204"/>
      <c r="W141" s="127"/>
      <c r="X141" s="177" t="str">
        <f t="shared" si="1097"/>
        <v>-</v>
      </c>
      <c r="Y141" s="178"/>
      <c r="Z141" s="127"/>
      <c r="AB141" s="179" t="str">
        <f t="shared" ca="1" si="1081"/>
        <v>-</v>
      </c>
      <c r="AC141" s="179" t="str">
        <f t="shared" ca="1" si="1081"/>
        <v>-</v>
      </c>
      <c r="AD141" s="179" t="str">
        <f t="shared" ca="1" si="1081"/>
        <v>-</v>
      </c>
      <c r="AJ141" s="181" t="str">
        <f t="shared" ca="1" si="1082"/>
        <v>-</v>
      </c>
      <c r="AK141" s="179" t="str">
        <f t="shared" ca="1" si="1083"/>
        <v>-</v>
      </c>
      <c r="AL141" s="179" t="str">
        <f t="shared" ca="1" si="1083"/>
        <v>-</v>
      </c>
      <c r="AM141" s="179" t="str">
        <f t="shared" ca="1" si="1083"/>
        <v>-</v>
      </c>
      <c r="AO141" s="182" t="str">
        <f t="shared" ca="1" si="1084"/>
        <v>-</v>
      </c>
      <c r="AP141" s="182" t="str">
        <f t="shared" ca="1" si="1084"/>
        <v>-</v>
      </c>
      <c r="AQ141" s="182" t="str">
        <f t="shared" ca="1" si="1084"/>
        <v>-</v>
      </c>
      <c r="AU141" s="185" t="str">
        <f t="shared" ref="AU141" ca="1" si="1139">IF($D141="-","-",IF(LEN(M141)=0,"", INDEX($AT$7:$AT$15,MATCH(IF($V141-INDEX(GridXRange,P141)&lt;0,"Negative",IF($V141-INDEX(GridXRange,P141)&gt;0,"Positive","Zero")) &amp; " - " &amp;IF($W141-INDEX(GridYRange,P141)&lt;0,"Negative",IF($W141-INDEX(GridYRange,P141)&gt;0,"Positive","Zero")),$AS$7:$AS$15,0))))</f>
        <v>-</v>
      </c>
      <c r="AV141" s="186" t="str">
        <f t="shared" ref="AV141" ca="1" si="1140">IF($D141="-","-",IF(LEN(N141)=0,"", INDEX($AT$7:$AT$15,MATCH(IF($V141-INDEX(GridXRange,Q141)&lt;0,"Negative",IF($V141-INDEX(GridXRange,Q141)&gt;0,"Positive","Zero")) &amp; " - " &amp;IF($W141-INDEX(GridYRange,Q141)&lt;0,"Negative",IF($W141-INDEX(GridYRange,Q141)&gt;0,"Positive","Zero")),$AS$7:$AS$15,0))))</f>
        <v>-</v>
      </c>
      <c r="AW141" s="186" t="str">
        <f t="shared" ref="AW141" ca="1" si="1141">IF($D141="-","-",IF(LEN(O141)=0,"", INDEX($AT$7:$AT$15,MATCH(IF($V141-INDEX(GridXRange,R141)&lt;0,"Negative",IF($V141-INDEX(GridXRange,R141)&gt;0,"Positive","Zero")) &amp; " - " &amp;IF($W141-INDEX(GridYRange,R141)&lt;0,"Negative",IF($W141-INDEX(GridYRange,R141)&gt;0,"Positive","Zero")),$AS$7:$AS$15,0))))</f>
        <v>-</v>
      </c>
      <c r="AX141" s="187"/>
      <c r="AY141" s="188"/>
      <c r="AZ141" s="188"/>
      <c r="BA141" s="184"/>
      <c r="BB141" s="187" t="str">
        <f t="shared" ca="1" si="1018"/>
        <v>-</v>
      </c>
      <c r="BC141" s="188" t="str">
        <f t="shared" ca="1" si="1018"/>
        <v>-</v>
      </c>
      <c r="BD141" s="188" t="str">
        <f t="shared" ca="1" si="1018"/>
        <v>-</v>
      </c>
      <c r="BE141" s="189" t="str">
        <f t="shared" ca="1" si="1018"/>
        <v>-</v>
      </c>
      <c r="BK141" s="192" t="str">
        <f t="shared" ref="BK141" ca="1" si="1142">IF($D141="-","-",$BK$5 + (V141-StartGridX) * (GapXDiff + $BW$7))</f>
        <v>-</v>
      </c>
      <c r="BL141" s="192" t="str">
        <f t="shared" ref="BL141" ca="1" si="1143">IF($D141="-","-",$BL$5 + (W141-StartGridY) * (GapYDiff + $BV$7))</f>
        <v>-</v>
      </c>
      <c r="BM141" s="192" t="str">
        <f t="shared" ca="1" si="1090"/>
        <v>-</v>
      </c>
      <c r="BN141" s="192" t="str">
        <f t="shared" ca="1" si="1091"/>
        <v>-</v>
      </c>
      <c r="BO141" s="192" t="str">
        <f t="shared" ca="1" si="1092"/>
        <v>-</v>
      </c>
      <c r="BP141" s="192" t="str">
        <f t="shared" ca="1" si="1093"/>
        <v>-</v>
      </c>
      <c r="BQ141" s="192" t="str">
        <f ca="1">IF($D141="-","-",IF(LEN(K141)=0,1,IFERROR(MATCH(K141,Dashboard!$L$25:$L$31,0),1)))</f>
        <v>-</v>
      </c>
      <c r="CC141" s="143" t="str">
        <f t="shared" ref="CC141" ca="1" si="1144">IF($D141="-","-",IF(COUNTIF(IDSourceRange,E141)&gt;1,1,0))</f>
        <v>-</v>
      </c>
      <c r="CD141" s="143" t="str">
        <f t="shared" ref="CD141" ca="1" si="1145">IF($D141="-","-",  IF(LEN(M141)=0,0,IF(ISERROR(MATCH(M141,IDSourceRange,0)),1,0)) + IF(LEN(N141)=0,0,IF(ISERROR(MATCH(N141,IDSourceRange,0)),1,0)) + IF(LEN(O141)=0,0,IF(ISERROR(MATCH(O141,IDSourceRange,0)),1,0)) )</f>
        <v>-</v>
      </c>
      <c r="CE141" s="143" t="str">
        <f t="shared" ca="1" si="1121"/>
        <v>-</v>
      </c>
      <c r="CF141" s="143" t="s">
        <v>128</v>
      </c>
      <c r="CG141" s="143" t="str">
        <f t="shared" ref="CG141" ca="1" si="1146">IF($D141="-","-",IF(X141="-",0,IF(COUNTIF(GridCombinedRange,X141)&gt;1,1,0)))</f>
        <v>-</v>
      </c>
      <c r="CH141" s="143"/>
      <c r="CI141" s="143"/>
      <c r="CJ141" s="143"/>
      <c r="CK141" s="143"/>
      <c r="CL141" s="143"/>
    </row>
    <row r="142" spans="3:90" x14ac:dyDescent="0.3">
      <c r="C142" s="170">
        <v>136</v>
      </c>
      <c r="D142" s="111" t="str">
        <f ca="1">IF(COUNTA(OFFSET(Dashboard!$B$6,C142,0,1,COUNTA(Dashboard!$B$6:$H$6)))&gt;0,"Yes","-")</f>
        <v>-</v>
      </c>
      <c r="E142" s="170" t="str">
        <f ca="1">IF(D142="-","-",IF(LEN(INDEX(Dashboard!B$6:B$206,$C142+1))=0,"x"&amp;C142&amp;"x","x"&amp;INDEX(Dashboard!B$6:B$206,$C142+1)&amp;"x"))</f>
        <v>-</v>
      </c>
      <c r="F142" s="171" t="str">
        <f ca="1">IF(D142="-","-",IF(LEN(INDEX(Dashboard!$C$6:$C$206,C142+1))=0," ",INDEX(Dashboard!$C$6:$C$206,C142+1)))</f>
        <v>-</v>
      </c>
      <c r="G142" s="219" t="str">
        <f ca="1">IF(OR(D142="-",D142=""),"-",IF(LEN(INDEX(Dashboard!$D$6:$D$228,C142+1))=0,"", "x"&amp;SUBSTITUTE(SUBSTITUTE(INDEX(Dashboard!$D$6:$D$228,C142+1)," ",""),",","x,x")&amp;"x"))</f>
        <v>-</v>
      </c>
      <c r="H142" s="111" t="str">
        <f ca="1">IF(D142="-","-",TRIM(INDEX(Dashboard!$E$6:$E$206,C142+1)))</f>
        <v>-</v>
      </c>
      <c r="I142" s="111" t="str">
        <f ca="1">IF(D142="-","-",IF(LEN(INDEX(Dashboard!$F$6:$F$206,C142+1))=0,$BS$8,IF(ISERROR(MATCH(INDEX(Dashboard!$F$6:$F$206,C142+1),$BS$7:$BS$35,0)),$BS$8,INDEX(Dashboard!$F$6:$F$206,C142+1))))</f>
        <v>-</v>
      </c>
      <c r="J142" s="111" t="str">
        <f ca="1">IF(D142="-","-",SUBSTITUTE(INDEX(Dashboard!$G$6:$G$206,C142+1)," ",""))</f>
        <v>-</v>
      </c>
      <c r="K142" s="111" t="str">
        <f ca="1">IF(D142="-","-",IF(LEN(INDEX(Dashboard!$H$6:$H$206,C142+1))=0,"",INDEX(Dashboard!$H$6:$H$206,C142+1)))</f>
        <v>-</v>
      </c>
      <c r="M142" s="172" t="str">
        <f t="shared" ca="1" si="1014"/>
        <v>-</v>
      </c>
      <c r="N142" s="172" t="str">
        <f t="shared" ca="1" si="1014"/>
        <v>-</v>
      </c>
      <c r="O142" s="172" t="str">
        <f t="shared" ca="1" si="1014"/>
        <v>-</v>
      </c>
      <c r="P142" s="173" t="str">
        <f t="shared" ca="1" si="1080"/>
        <v>-</v>
      </c>
      <c r="Q142" s="172" t="str">
        <f t="shared" ca="1" si="1080"/>
        <v>-</v>
      </c>
      <c r="R142" s="172" t="str">
        <f t="shared" ca="1" si="1080"/>
        <v>-</v>
      </c>
      <c r="S142" s="174" t="str">
        <f t="array" aca="1" ref="S142" ca="1">IF($D142="-","-",SUM(IF(LEN(M142:O142)&gt;0,1,0)))</f>
        <v>-</v>
      </c>
      <c r="T142" s="175" t="str">
        <f t="array" aca="1" ref="T142" ca="1">IF(D142="-","-",SUM(IF(ISERROR(SEARCH(E142,$G$7:$G$206)),0,1)))</f>
        <v>-</v>
      </c>
      <c r="V142" s="204"/>
      <c r="W142" s="127"/>
      <c r="X142" s="177" t="str">
        <f t="shared" si="1097"/>
        <v>-</v>
      </c>
      <c r="Y142" s="178"/>
      <c r="Z142" s="127"/>
      <c r="AB142" s="179" t="str">
        <f t="shared" ca="1" si="1081"/>
        <v>-</v>
      </c>
      <c r="AC142" s="179" t="str">
        <f t="shared" ca="1" si="1081"/>
        <v>-</v>
      </c>
      <c r="AD142" s="179" t="str">
        <f t="shared" ca="1" si="1081"/>
        <v>-</v>
      </c>
      <c r="AJ142" s="181" t="str">
        <f t="shared" ca="1" si="1082"/>
        <v>-</v>
      </c>
      <c r="AK142" s="179" t="str">
        <f t="shared" ca="1" si="1083"/>
        <v>-</v>
      </c>
      <c r="AL142" s="179" t="str">
        <f t="shared" ca="1" si="1083"/>
        <v>-</v>
      </c>
      <c r="AM142" s="179" t="str">
        <f t="shared" ca="1" si="1083"/>
        <v>-</v>
      </c>
      <c r="AO142" s="182" t="str">
        <f t="shared" ca="1" si="1084"/>
        <v>-</v>
      </c>
      <c r="AP142" s="182" t="str">
        <f t="shared" ca="1" si="1084"/>
        <v>-</v>
      </c>
      <c r="AQ142" s="182" t="str">
        <f t="shared" ca="1" si="1084"/>
        <v>-</v>
      </c>
      <c r="AU142" s="185" t="str">
        <f t="shared" ref="AU142" ca="1" si="1147">IF($D142="-","-",IF(LEN(M142)=0,"", INDEX($AT$7:$AT$15,MATCH(IF($V142-INDEX(GridXRange,P142)&lt;0,"Negative",IF($V142-INDEX(GridXRange,P142)&gt;0,"Positive","Zero")) &amp; " - " &amp;IF($W142-INDEX(GridYRange,P142)&lt;0,"Negative",IF($W142-INDEX(GridYRange,P142)&gt;0,"Positive","Zero")),$AS$7:$AS$15,0))))</f>
        <v>-</v>
      </c>
      <c r="AV142" s="186" t="str">
        <f t="shared" ref="AV142" ca="1" si="1148">IF($D142="-","-",IF(LEN(N142)=0,"", INDEX($AT$7:$AT$15,MATCH(IF($V142-INDEX(GridXRange,Q142)&lt;0,"Negative",IF($V142-INDEX(GridXRange,Q142)&gt;0,"Positive","Zero")) &amp; " - " &amp;IF($W142-INDEX(GridYRange,Q142)&lt;0,"Negative",IF($W142-INDEX(GridYRange,Q142)&gt;0,"Positive","Zero")),$AS$7:$AS$15,0))))</f>
        <v>-</v>
      </c>
      <c r="AW142" s="186" t="str">
        <f t="shared" ref="AW142" ca="1" si="1149">IF($D142="-","-",IF(LEN(O142)=0,"", INDEX($AT$7:$AT$15,MATCH(IF($V142-INDEX(GridXRange,R142)&lt;0,"Negative",IF($V142-INDEX(GridXRange,R142)&gt;0,"Positive","Zero")) &amp; " - " &amp;IF($W142-INDEX(GridYRange,R142)&lt;0,"Negative",IF($W142-INDEX(GridYRange,R142)&gt;0,"Positive","Zero")),$AS$7:$AS$15,0))))</f>
        <v>-</v>
      </c>
      <c r="AX142" s="187"/>
      <c r="AY142" s="188"/>
      <c r="AZ142" s="188"/>
      <c r="BA142" s="184"/>
      <c r="BB142" s="187" t="str">
        <f t="shared" ca="1" si="1018"/>
        <v>-</v>
      </c>
      <c r="BC142" s="188" t="str">
        <f t="shared" ca="1" si="1018"/>
        <v>-</v>
      </c>
      <c r="BD142" s="188" t="str">
        <f t="shared" ca="1" si="1018"/>
        <v>-</v>
      </c>
      <c r="BE142" s="189" t="str">
        <f t="shared" ca="1" si="1018"/>
        <v>-</v>
      </c>
      <c r="BK142" s="192" t="str">
        <f t="shared" ref="BK142" ca="1" si="1150">IF($D142="-","-",$BK$5 + (V142-StartGridX) * (GapXDiff + $BW$7))</f>
        <v>-</v>
      </c>
      <c r="BL142" s="192" t="str">
        <f t="shared" ref="BL142" ca="1" si="1151">IF($D142="-","-",$BL$5 + (W142-StartGridY) * (GapYDiff + $BV$7))</f>
        <v>-</v>
      </c>
      <c r="BM142" s="192" t="str">
        <f t="shared" ca="1" si="1090"/>
        <v>-</v>
      </c>
      <c r="BN142" s="192" t="str">
        <f t="shared" ca="1" si="1091"/>
        <v>-</v>
      </c>
      <c r="BO142" s="192" t="str">
        <f t="shared" ca="1" si="1092"/>
        <v>-</v>
      </c>
      <c r="BP142" s="192" t="str">
        <f t="shared" ca="1" si="1093"/>
        <v>-</v>
      </c>
      <c r="BQ142" s="192" t="str">
        <f ca="1">IF($D142="-","-",IF(LEN(K142)=0,1,IFERROR(MATCH(K142,Dashboard!$L$25:$L$31,0),1)))</f>
        <v>-</v>
      </c>
      <c r="CC142" s="143" t="str">
        <f t="shared" ref="CC142" ca="1" si="1152">IF($D142="-","-",IF(COUNTIF(IDSourceRange,E142)&gt;1,1,0))</f>
        <v>-</v>
      </c>
      <c r="CD142" s="143" t="str">
        <f t="shared" ref="CD142" ca="1" si="1153">IF($D142="-","-",  IF(LEN(M142)=0,0,IF(ISERROR(MATCH(M142,IDSourceRange,0)),1,0)) + IF(LEN(N142)=0,0,IF(ISERROR(MATCH(N142,IDSourceRange,0)),1,0)) + IF(LEN(O142)=0,0,IF(ISERROR(MATCH(O142,IDSourceRange,0)),1,0)) )</f>
        <v>-</v>
      </c>
      <c r="CE142" s="143" t="str">
        <f t="shared" ca="1" si="1121"/>
        <v>-</v>
      </c>
      <c r="CF142" s="143" t="s">
        <v>128</v>
      </c>
      <c r="CG142" s="143" t="str">
        <f t="shared" ref="CG142" ca="1" si="1154">IF($D142="-","-",IF(X142="-",0,IF(COUNTIF(GridCombinedRange,X142)&gt;1,1,0)))</f>
        <v>-</v>
      </c>
      <c r="CH142" s="143"/>
      <c r="CI142" s="143"/>
      <c r="CJ142" s="143"/>
      <c r="CK142" s="143"/>
      <c r="CL142" s="143"/>
    </row>
    <row r="143" spans="3:90" x14ac:dyDescent="0.3">
      <c r="C143" s="170">
        <v>137</v>
      </c>
      <c r="D143" s="111" t="str">
        <f ca="1">IF(COUNTA(OFFSET(Dashboard!$B$6,C143,0,1,COUNTA(Dashboard!$B$6:$H$6)))&gt;0,"Yes","-")</f>
        <v>-</v>
      </c>
      <c r="E143" s="170" t="str">
        <f ca="1">IF(D143="-","-",IF(LEN(INDEX(Dashboard!B$6:B$206,$C143+1))=0,"x"&amp;C143&amp;"x","x"&amp;INDEX(Dashboard!B$6:B$206,$C143+1)&amp;"x"))</f>
        <v>-</v>
      </c>
      <c r="F143" s="171" t="str">
        <f ca="1">IF(D143="-","-",IF(LEN(INDEX(Dashboard!$C$6:$C$206,C143+1))=0," ",INDEX(Dashboard!$C$6:$C$206,C143+1)))</f>
        <v>-</v>
      </c>
      <c r="G143" s="219" t="str">
        <f ca="1">IF(OR(D143="-",D143=""),"-",IF(LEN(INDEX(Dashboard!$D$6:$D$228,C143+1))=0,"", "x"&amp;SUBSTITUTE(SUBSTITUTE(INDEX(Dashboard!$D$6:$D$228,C143+1)," ",""),",","x,x")&amp;"x"))</f>
        <v>-</v>
      </c>
      <c r="H143" s="111" t="str">
        <f ca="1">IF(D143="-","-",TRIM(INDEX(Dashboard!$E$6:$E$206,C143+1)))</f>
        <v>-</v>
      </c>
      <c r="I143" s="111" t="str">
        <f ca="1">IF(D143="-","-",IF(LEN(INDEX(Dashboard!$F$6:$F$206,C143+1))=0,$BS$8,IF(ISERROR(MATCH(INDEX(Dashboard!$F$6:$F$206,C143+1),$BS$7:$BS$35,0)),$BS$8,INDEX(Dashboard!$F$6:$F$206,C143+1))))</f>
        <v>-</v>
      </c>
      <c r="J143" s="111" t="str">
        <f ca="1">IF(D143="-","-",SUBSTITUTE(INDEX(Dashboard!$G$6:$G$206,C143+1)," ",""))</f>
        <v>-</v>
      </c>
      <c r="K143" s="111" t="str">
        <f ca="1">IF(D143="-","-",IF(LEN(INDEX(Dashboard!$H$6:$H$206,C143+1))=0,"",INDEX(Dashboard!$H$6:$H$206,C143+1)))</f>
        <v>-</v>
      </c>
      <c r="M143" s="172" t="str">
        <f t="shared" ca="1" si="1014"/>
        <v>-</v>
      </c>
      <c r="N143" s="172" t="str">
        <f t="shared" ca="1" si="1014"/>
        <v>-</v>
      </c>
      <c r="O143" s="172" t="str">
        <f t="shared" ca="1" si="1014"/>
        <v>-</v>
      </c>
      <c r="P143" s="173" t="str">
        <f t="shared" ca="1" si="1080"/>
        <v>-</v>
      </c>
      <c r="Q143" s="172" t="str">
        <f t="shared" ca="1" si="1080"/>
        <v>-</v>
      </c>
      <c r="R143" s="172" t="str">
        <f t="shared" ca="1" si="1080"/>
        <v>-</v>
      </c>
      <c r="S143" s="174" t="str">
        <f t="array" aca="1" ref="S143" ca="1">IF($D143="-","-",SUM(IF(LEN(M143:O143)&gt;0,1,0)))</f>
        <v>-</v>
      </c>
      <c r="T143" s="175" t="str">
        <f t="array" aca="1" ref="T143" ca="1">IF(D143="-","-",SUM(IF(ISERROR(SEARCH(E143,$G$7:$G$206)),0,1)))</f>
        <v>-</v>
      </c>
      <c r="V143" s="204"/>
      <c r="W143" s="127"/>
      <c r="X143" s="177" t="str">
        <f t="shared" si="1097"/>
        <v>-</v>
      </c>
      <c r="Y143" s="178"/>
      <c r="Z143" s="127"/>
      <c r="AB143" s="179" t="str">
        <f t="shared" ca="1" si="1081"/>
        <v>-</v>
      </c>
      <c r="AC143" s="179" t="str">
        <f t="shared" ca="1" si="1081"/>
        <v>-</v>
      </c>
      <c r="AD143" s="179" t="str">
        <f t="shared" ca="1" si="1081"/>
        <v>-</v>
      </c>
      <c r="AJ143" s="181" t="str">
        <f t="shared" ca="1" si="1082"/>
        <v>-</v>
      </c>
      <c r="AK143" s="179" t="str">
        <f t="shared" ca="1" si="1083"/>
        <v>-</v>
      </c>
      <c r="AL143" s="179" t="str">
        <f t="shared" ca="1" si="1083"/>
        <v>-</v>
      </c>
      <c r="AM143" s="179" t="str">
        <f t="shared" ca="1" si="1083"/>
        <v>-</v>
      </c>
      <c r="AO143" s="182" t="str">
        <f t="shared" ca="1" si="1084"/>
        <v>-</v>
      </c>
      <c r="AP143" s="182" t="str">
        <f t="shared" ca="1" si="1084"/>
        <v>-</v>
      </c>
      <c r="AQ143" s="182" t="str">
        <f t="shared" ca="1" si="1084"/>
        <v>-</v>
      </c>
      <c r="AU143" s="185" t="str">
        <f t="shared" ref="AU143" ca="1" si="1155">IF($D143="-","-",IF(LEN(M143)=0,"", INDEX($AT$7:$AT$15,MATCH(IF($V143-INDEX(GridXRange,P143)&lt;0,"Negative",IF($V143-INDEX(GridXRange,P143)&gt;0,"Positive","Zero")) &amp; " - " &amp;IF($W143-INDEX(GridYRange,P143)&lt;0,"Negative",IF($W143-INDEX(GridYRange,P143)&gt;0,"Positive","Zero")),$AS$7:$AS$15,0))))</f>
        <v>-</v>
      </c>
      <c r="AV143" s="186" t="str">
        <f t="shared" ref="AV143" ca="1" si="1156">IF($D143="-","-",IF(LEN(N143)=0,"", INDEX($AT$7:$AT$15,MATCH(IF($V143-INDEX(GridXRange,Q143)&lt;0,"Negative",IF($V143-INDEX(GridXRange,Q143)&gt;0,"Positive","Zero")) &amp; " - " &amp;IF($W143-INDEX(GridYRange,Q143)&lt;0,"Negative",IF($W143-INDEX(GridYRange,Q143)&gt;0,"Positive","Zero")),$AS$7:$AS$15,0))))</f>
        <v>-</v>
      </c>
      <c r="AW143" s="186" t="str">
        <f t="shared" ref="AW143" ca="1" si="1157">IF($D143="-","-",IF(LEN(O143)=0,"", INDEX($AT$7:$AT$15,MATCH(IF($V143-INDEX(GridXRange,R143)&lt;0,"Negative",IF($V143-INDEX(GridXRange,R143)&gt;0,"Positive","Zero")) &amp; " - " &amp;IF($W143-INDEX(GridYRange,R143)&lt;0,"Negative",IF($W143-INDEX(GridYRange,R143)&gt;0,"Positive","Zero")),$AS$7:$AS$15,0))))</f>
        <v>-</v>
      </c>
      <c r="AX143" s="187"/>
      <c r="AY143" s="188"/>
      <c r="AZ143" s="188"/>
      <c r="BA143" s="184"/>
      <c r="BB143" s="187" t="str">
        <f t="shared" ca="1" si="1018"/>
        <v>-</v>
      </c>
      <c r="BC143" s="188" t="str">
        <f t="shared" ca="1" si="1018"/>
        <v>-</v>
      </c>
      <c r="BD143" s="188" t="str">
        <f t="shared" ca="1" si="1018"/>
        <v>-</v>
      </c>
      <c r="BE143" s="189" t="str">
        <f t="shared" ca="1" si="1018"/>
        <v>-</v>
      </c>
      <c r="BK143" s="192" t="str">
        <f t="shared" ref="BK143" ca="1" si="1158">IF($D143="-","-",$BK$5 + (V143-StartGridX) * (GapXDiff + $BW$7))</f>
        <v>-</v>
      </c>
      <c r="BL143" s="192" t="str">
        <f t="shared" ref="BL143" ca="1" si="1159">IF($D143="-","-",$BL$5 + (W143-StartGridY) * (GapYDiff + $BV$7))</f>
        <v>-</v>
      </c>
      <c r="BM143" s="192" t="str">
        <f t="shared" ca="1" si="1090"/>
        <v>-</v>
      </c>
      <c r="BN143" s="192" t="str">
        <f t="shared" ca="1" si="1091"/>
        <v>-</v>
      </c>
      <c r="BO143" s="192" t="str">
        <f t="shared" ca="1" si="1092"/>
        <v>-</v>
      </c>
      <c r="BP143" s="192" t="str">
        <f t="shared" ca="1" si="1093"/>
        <v>-</v>
      </c>
      <c r="BQ143" s="192" t="str">
        <f ca="1">IF($D143="-","-",IF(LEN(K143)=0,1,IFERROR(MATCH(K143,Dashboard!$L$25:$L$31,0),1)))</f>
        <v>-</v>
      </c>
      <c r="CC143" s="143" t="str">
        <f t="shared" ref="CC143" ca="1" si="1160">IF($D143="-","-",IF(COUNTIF(IDSourceRange,E143)&gt;1,1,0))</f>
        <v>-</v>
      </c>
      <c r="CD143" s="143" t="str">
        <f t="shared" ref="CD143" ca="1" si="1161">IF($D143="-","-",  IF(LEN(M143)=0,0,IF(ISERROR(MATCH(M143,IDSourceRange,0)),1,0)) + IF(LEN(N143)=0,0,IF(ISERROR(MATCH(N143,IDSourceRange,0)),1,0)) + IF(LEN(O143)=0,0,IF(ISERROR(MATCH(O143,IDSourceRange,0)),1,0)) )</f>
        <v>-</v>
      </c>
      <c r="CE143" s="143" t="str">
        <f t="shared" ca="1" si="1121"/>
        <v>-</v>
      </c>
      <c r="CF143" s="143" t="s">
        <v>128</v>
      </c>
      <c r="CG143" s="143" t="str">
        <f t="shared" ref="CG143" ca="1" si="1162">IF($D143="-","-",IF(X143="-",0,IF(COUNTIF(GridCombinedRange,X143)&gt;1,1,0)))</f>
        <v>-</v>
      </c>
      <c r="CH143" s="143"/>
      <c r="CI143" s="143"/>
      <c r="CJ143" s="143"/>
      <c r="CK143" s="143"/>
      <c r="CL143" s="143"/>
    </row>
    <row r="144" spans="3:90" x14ac:dyDescent="0.3">
      <c r="C144" s="170">
        <v>138</v>
      </c>
      <c r="D144" s="111" t="str">
        <f ca="1">IF(COUNTA(OFFSET(Dashboard!$B$6,C144,0,1,COUNTA(Dashboard!$B$6:$H$6)))&gt;0,"Yes","-")</f>
        <v>-</v>
      </c>
      <c r="E144" s="170" t="str">
        <f ca="1">IF(D144="-","-",IF(LEN(INDEX(Dashboard!B$6:B$206,$C144+1))=0,"x"&amp;C144&amp;"x","x"&amp;INDEX(Dashboard!B$6:B$206,$C144+1)&amp;"x"))</f>
        <v>-</v>
      </c>
      <c r="F144" s="171" t="str">
        <f ca="1">IF(D144="-","-",IF(LEN(INDEX(Dashboard!$C$6:$C$206,C144+1))=0," ",INDEX(Dashboard!$C$6:$C$206,C144+1)))</f>
        <v>-</v>
      </c>
      <c r="G144" s="219" t="str">
        <f ca="1">IF(OR(D144="-",D144=""),"-",IF(LEN(INDEX(Dashboard!$D$6:$D$228,C144+1))=0,"", "x"&amp;SUBSTITUTE(SUBSTITUTE(INDEX(Dashboard!$D$6:$D$228,C144+1)," ",""),",","x,x")&amp;"x"))</f>
        <v>-</v>
      </c>
      <c r="H144" s="111" t="str">
        <f ca="1">IF(D144="-","-",TRIM(INDEX(Dashboard!$E$6:$E$206,C144+1)))</f>
        <v>-</v>
      </c>
      <c r="I144" s="111" t="str">
        <f ca="1">IF(D144="-","-",IF(LEN(INDEX(Dashboard!$F$6:$F$206,C144+1))=0,$BS$8,IF(ISERROR(MATCH(INDEX(Dashboard!$F$6:$F$206,C144+1),$BS$7:$BS$35,0)),$BS$8,INDEX(Dashboard!$F$6:$F$206,C144+1))))</f>
        <v>-</v>
      </c>
      <c r="J144" s="111" t="str">
        <f ca="1">IF(D144="-","-",SUBSTITUTE(INDEX(Dashboard!$G$6:$G$206,C144+1)," ",""))</f>
        <v>-</v>
      </c>
      <c r="K144" s="111" t="str">
        <f ca="1">IF(D144="-","-",IF(LEN(INDEX(Dashboard!$H$6:$H$206,C144+1))=0,"",INDEX(Dashboard!$H$6:$H$206,C144+1)))</f>
        <v>-</v>
      </c>
      <c r="M144" s="172" t="str">
        <f t="shared" ca="1" si="1014"/>
        <v>-</v>
      </c>
      <c r="N144" s="172" t="str">
        <f t="shared" ca="1" si="1014"/>
        <v>-</v>
      </c>
      <c r="O144" s="172" t="str">
        <f t="shared" ca="1" si="1014"/>
        <v>-</v>
      </c>
      <c r="P144" s="173" t="str">
        <f t="shared" ca="1" si="1080"/>
        <v>-</v>
      </c>
      <c r="Q144" s="172" t="str">
        <f t="shared" ca="1" si="1080"/>
        <v>-</v>
      </c>
      <c r="R144" s="172" t="str">
        <f t="shared" ca="1" si="1080"/>
        <v>-</v>
      </c>
      <c r="S144" s="174" t="str">
        <f t="array" aca="1" ref="S144" ca="1">IF($D144="-","-",SUM(IF(LEN(M144:O144)&gt;0,1,0)))</f>
        <v>-</v>
      </c>
      <c r="T144" s="175" t="str">
        <f t="array" aca="1" ref="T144" ca="1">IF(D144="-","-",SUM(IF(ISERROR(SEARCH(E144,$G$7:$G$206)),0,1)))</f>
        <v>-</v>
      </c>
      <c r="V144" s="204"/>
      <c r="W144" s="127"/>
      <c r="X144" s="177" t="str">
        <f t="shared" si="1097"/>
        <v>-</v>
      </c>
      <c r="Y144" s="178"/>
      <c r="Z144" s="127"/>
      <c r="AB144" s="179" t="str">
        <f t="shared" ca="1" si="1081"/>
        <v>-</v>
      </c>
      <c r="AC144" s="179" t="str">
        <f t="shared" ca="1" si="1081"/>
        <v>-</v>
      </c>
      <c r="AD144" s="179" t="str">
        <f t="shared" ca="1" si="1081"/>
        <v>-</v>
      </c>
      <c r="AJ144" s="181" t="str">
        <f t="shared" ca="1" si="1082"/>
        <v>-</v>
      </c>
      <c r="AK144" s="179" t="str">
        <f t="shared" ca="1" si="1083"/>
        <v>-</v>
      </c>
      <c r="AL144" s="179" t="str">
        <f t="shared" ca="1" si="1083"/>
        <v>-</v>
      </c>
      <c r="AM144" s="179" t="str">
        <f t="shared" ca="1" si="1083"/>
        <v>-</v>
      </c>
      <c r="AO144" s="182" t="str">
        <f t="shared" ca="1" si="1084"/>
        <v>-</v>
      </c>
      <c r="AP144" s="182" t="str">
        <f t="shared" ca="1" si="1084"/>
        <v>-</v>
      </c>
      <c r="AQ144" s="182" t="str">
        <f t="shared" ca="1" si="1084"/>
        <v>-</v>
      </c>
      <c r="AU144" s="185" t="str">
        <f t="shared" ref="AU144" ca="1" si="1163">IF($D144="-","-",IF(LEN(M144)=0,"", INDEX($AT$7:$AT$15,MATCH(IF($V144-INDEX(GridXRange,P144)&lt;0,"Negative",IF($V144-INDEX(GridXRange,P144)&gt;0,"Positive","Zero")) &amp; " - " &amp;IF($W144-INDEX(GridYRange,P144)&lt;0,"Negative",IF($W144-INDEX(GridYRange,P144)&gt;0,"Positive","Zero")),$AS$7:$AS$15,0))))</f>
        <v>-</v>
      </c>
      <c r="AV144" s="186" t="str">
        <f t="shared" ref="AV144" ca="1" si="1164">IF($D144="-","-",IF(LEN(N144)=0,"", INDEX($AT$7:$AT$15,MATCH(IF($V144-INDEX(GridXRange,Q144)&lt;0,"Negative",IF($V144-INDEX(GridXRange,Q144)&gt;0,"Positive","Zero")) &amp; " - " &amp;IF($W144-INDEX(GridYRange,Q144)&lt;0,"Negative",IF($W144-INDEX(GridYRange,Q144)&gt;0,"Positive","Zero")),$AS$7:$AS$15,0))))</f>
        <v>-</v>
      </c>
      <c r="AW144" s="186" t="str">
        <f t="shared" ref="AW144" ca="1" si="1165">IF($D144="-","-",IF(LEN(O144)=0,"", INDEX($AT$7:$AT$15,MATCH(IF($V144-INDEX(GridXRange,R144)&lt;0,"Negative",IF($V144-INDEX(GridXRange,R144)&gt;0,"Positive","Zero")) &amp; " - " &amp;IF($W144-INDEX(GridYRange,R144)&lt;0,"Negative",IF($W144-INDEX(GridYRange,R144)&gt;0,"Positive","Zero")),$AS$7:$AS$15,0))))</f>
        <v>-</v>
      </c>
      <c r="AX144" s="187"/>
      <c r="AY144" s="188"/>
      <c r="AZ144" s="188"/>
      <c r="BA144" s="184"/>
      <c r="BB144" s="187" t="str">
        <f t="shared" ca="1" si="1018"/>
        <v>-</v>
      </c>
      <c r="BC144" s="188" t="str">
        <f t="shared" ca="1" si="1018"/>
        <v>-</v>
      </c>
      <c r="BD144" s="188" t="str">
        <f t="shared" ca="1" si="1018"/>
        <v>-</v>
      </c>
      <c r="BE144" s="189" t="str">
        <f t="shared" ca="1" si="1018"/>
        <v>-</v>
      </c>
      <c r="BK144" s="192" t="str">
        <f t="shared" ref="BK144" ca="1" si="1166">IF($D144="-","-",$BK$5 + (V144-StartGridX) * (GapXDiff + $BW$7))</f>
        <v>-</v>
      </c>
      <c r="BL144" s="192" t="str">
        <f t="shared" ref="BL144" ca="1" si="1167">IF($D144="-","-",$BL$5 + (W144-StartGridY) * (GapYDiff + $BV$7))</f>
        <v>-</v>
      </c>
      <c r="BM144" s="192" t="str">
        <f t="shared" ca="1" si="1090"/>
        <v>-</v>
      </c>
      <c r="BN144" s="192" t="str">
        <f t="shared" ca="1" si="1091"/>
        <v>-</v>
      </c>
      <c r="BO144" s="192" t="str">
        <f t="shared" ca="1" si="1092"/>
        <v>-</v>
      </c>
      <c r="BP144" s="192" t="str">
        <f t="shared" ca="1" si="1093"/>
        <v>-</v>
      </c>
      <c r="BQ144" s="192" t="str">
        <f ca="1">IF($D144="-","-",IF(LEN(K144)=0,1,IFERROR(MATCH(K144,Dashboard!$L$25:$L$31,0),1)))</f>
        <v>-</v>
      </c>
      <c r="CC144" s="143" t="str">
        <f t="shared" ref="CC144" ca="1" si="1168">IF($D144="-","-",IF(COUNTIF(IDSourceRange,E144)&gt;1,1,0))</f>
        <v>-</v>
      </c>
      <c r="CD144" s="143" t="str">
        <f t="shared" ref="CD144" ca="1" si="1169">IF($D144="-","-",  IF(LEN(M144)=0,0,IF(ISERROR(MATCH(M144,IDSourceRange,0)),1,0)) + IF(LEN(N144)=0,0,IF(ISERROR(MATCH(N144,IDSourceRange,0)),1,0)) + IF(LEN(O144)=0,0,IF(ISERROR(MATCH(O144,IDSourceRange,0)),1,0)) )</f>
        <v>-</v>
      </c>
      <c r="CE144" s="143" t="str">
        <f t="shared" ca="1" si="1121"/>
        <v>-</v>
      </c>
      <c r="CF144" s="143" t="s">
        <v>128</v>
      </c>
      <c r="CG144" s="143" t="str">
        <f t="shared" ref="CG144" ca="1" si="1170">IF($D144="-","-",IF(X144="-",0,IF(COUNTIF(GridCombinedRange,X144)&gt;1,1,0)))</f>
        <v>-</v>
      </c>
      <c r="CH144" s="143"/>
      <c r="CI144" s="143"/>
      <c r="CJ144" s="143"/>
      <c r="CK144" s="143"/>
      <c r="CL144" s="143"/>
    </row>
    <row r="145" spans="3:90" x14ac:dyDescent="0.3">
      <c r="C145" s="170">
        <v>139</v>
      </c>
      <c r="D145" s="111" t="str">
        <f ca="1">IF(COUNTA(OFFSET(Dashboard!$B$6,C145,0,1,COUNTA(Dashboard!$B$6:$H$6)))&gt;0,"Yes","-")</f>
        <v>-</v>
      </c>
      <c r="E145" s="170" t="str">
        <f ca="1">IF(D145="-","-",IF(LEN(INDEX(Dashboard!B$6:B$206,$C145+1))=0,"x"&amp;C145&amp;"x","x"&amp;INDEX(Dashboard!B$6:B$206,$C145+1)&amp;"x"))</f>
        <v>-</v>
      </c>
      <c r="F145" s="171" t="str">
        <f ca="1">IF(D145="-","-",IF(LEN(INDEX(Dashboard!$C$6:$C$206,C145+1))=0," ",INDEX(Dashboard!$C$6:$C$206,C145+1)))</f>
        <v>-</v>
      </c>
      <c r="G145" s="219" t="str">
        <f ca="1">IF(OR(D145="-",D145=""),"-",IF(LEN(INDEX(Dashboard!$D$6:$D$228,C145+1))=0,"", "x"&amp;SUBSTITUTE(SUBSTITUTE(INDEX(Dashboard!$D$6:$D$228,C145+1)," ",""),",","x,x")&amp;"x"))</f>
        <v>-</v>
      </c>
      <c r="H145" s="111" t="str">
        <f ca="1">IF(D145="-","-",TRIM(INDEX(Dashboard!$E$6:$E$206,C145+1)))</f>
        <v>-</v>
      </c>
      <c r="I145" s="111" t="str">
        <f ca="1">IF(D145="-","-",IF(LEN(INDEX(Dashboard!$F$6:$F$206,C145+1))=0,$BS$8,IF(ISERROR(MATCH(INDEX(Dashboard!$F$6:$F$206,C145+1),$BS$7:$BS$35,0)),$BS$8,INDEX(Dashboard!$F$6:$F$206,C145+1))))</f>
        <v>-</v>
      </c>
      <c r="J145" s="111" t="str">
        <f ca="1">IF(D145="-","-",SUBSTITUTE(INDEX(Dashboard!$G$6:$G$206,C145+1)," ",""))</f>
        <v>-</v>
      </c>
      <c r="K145" s="111" t="str">
        <f ca="1">IF(D145="-","-",IF(LEN(INDEX(Dashboard!$H$6:$H$206,C145+1))=0,"",INDEX(Dashboard!$H$6:$H$206,C145+1)))</f>
        <v>-</v>
      </c>
      <c r="M145" s="172" t="str">
        <f t="shared" ca="1" si="1014"/>
        <v>-</v>
      </c>
      <c r="N145" s="172" t="str">
        <f t="shared" ca="1" si="1014"/>
        <v>-</v>
      </c>
      <c r="O145" s="172" t="str">
        <f t="shared" ca="1" si="1014"/>
        <v>-</v>
      </c>
      <c r="P145" s="173" t="str">
        <f t="shared" ca="1" si="1080"/>
        <v>-</v>
      </c>
      <c r="Q145" s="172" t="str">
        <f t="shared" ca="1" si="1080"/>
        <v>-</v>
      </c>
      <c r="R145" s="172" t="str">
        <f t="shared" ca="1" si="1080"/>
        <v>-</v>
      </c>
      <c r="S145" s="174" t="str">
        <f t="array" aca="1" ref="S145" ca="1">IF($D145="-","-",SUM(IF(LEN(M145:O145)&gt;0,1,0)))</f>
        <v>-</v>
      </c>
      <c r="T145" s="175" t="str">
        <f t="array" aca="1" ref="T145" ca="1">IF(D145="-","-",SUM(IF(ISERROR(SEARCH(E145,$G$7:$G$206)),0,1)))</f>
        <v>-</v>
      </c>
      <c r="V145" s="204"/>
      <c r="W145" s="127"/>
      <c r="X145" s="177" t="str">
        <f t="shared" si="1097"/>
        <v>-</v>
      </c>
      <c r="Y145" s="178"/>
      <c r="Z145" s="127"/>
      <c r="AB145" s="179" t="str">
        <f t="shared" ca="1" si="1081"/>
        <v>-</v>
      </c>
      <c r="AC145" s="179" t="str">
        <f t="shared" ca="1" si="1081"/>
        <v>-</v>
      </c>
      <c r="AD145" s="179" t="str">
        <f t="shared" ca="1" si="1081"/>
        <v>-</v>
      </c>
      <c r="AJ145" s="181" t="str">
        <f t="shared" ca="1" si="1082"/>
        <v>-</v>
      </c>
      <c r="AK145" s="179" t="str">
        <f t="shared" ca="1" si="1083"/>
        <v>-</v>
      </c>
      <c r="AL145" s="179" t="str">
        <f t="shared" ca="1" si="1083"/>
        <v>-</v>
      </c>
      <c r="AM145" s="179" t="str">
        <f t="shared" ca="1" si="1083"/>
        <v>-</v>
      </c>
      <c r="AO145" s="182" t="str">
        <f t="shared" ca="1" si="1084"/>
        <v>-</v>
      </c>
      <c r="AP145" s="182" t="str">
        <f t="shared" ca="1" si="1084"/>
        <v>-</v>
      </c>
      <c r="AQ145" s="182" t="str">
        <f t="shared" ca="1" si="1084"/>
        <v>-</v>
      </c>
      <c r="AU145" s="185" t="str">
        <f t="shared" ref="AU145" ca="1" si="1171">IF($D145="-","-",IF(LEN(M145)=0,"", INDEX($AT$7:$AT$15,MATCH(IF($V145-INDEX(GridXRange,P145)&lt;0,"Negative",IF($V145-INDEX(GridXRange,P145)&gt;0,"Positive","Zero")) &amp; " - " &amp;IF($W145-INDEX(GridYRange,P145)&lt;0,"Negative",IF($W145-INDEX(GridYRange,P145)&gt;0,"Positive","Zero")),$AS$7:$AS$15,0))))</f>
        <v>-</v>
      </c>
      <c r="AV145" s="186" t="str">
        <f t="shared" ref="AV145" ca="1" si="1172">IF($D145="-","-",IF(LEN(N145)=0,"", INDEX($AT$7:$AT$15,MATCH(IF($V145-INDEX(GridXRange,Q145)&lt;0,"Negative",IF($V145-INDEX(GridXRange,Q145)&gt;0,"Positive","Zero")) &amp; " - " &amp;IF($W145-INDEX(GridYRange,Q145)&lt;0,"Negative",IF($W145-INDEX(GridYRange,Q145)&gt;0,"Positive","Zero")),$AS$7:$AS$15,0))))</f>
        <v>-</v>
      </c>
      <c r="AW145" s="186" t="str">
        <f t="shared" ref="AW145" ca="1" si="1173">IF($D145="-","-",IF(LEN(O145)=0,"", INDEX($AT$7:$AT$15,MATCH(IF($V145-INDEX(GridXRange,R145)&lt;0,"Negative",IF($V145-INDEX(GridXRange,R145)&gt;0,"Positive","Zero")) &amp; " - " &amp;IF($W145-INDEX(GridYRange,R145)&lt;0,"Negative",IF($W145-INDEX(GridYRange,R145)&gt;0,"Positive","Zero")),$AS$7:$AS$15,0))))</f>
        <v>-</v>
      </c>
      <c r="AX145" s="187"/>
      <c r="AY145" s="188"/>
      <c r="AZ145" s="188"/>
      <c r="BA145" s="184"/>
      <c r="BB145" s="187" t="str">
        <f t="shared" ca="1" si="1018"/>
        <v>-</v>
      </c>
      <c r="BC145" s="188" t="str">
        <f t="shared" ca="1" si="1018"/>
        <v>-</v>
      </c>
      <c r="BD145" s="188" t="str">
        <f t="shared" ca="1" si="1018"/>
        <v>-</v>
      </c>
      <c r="BE145" s="189" t="str">
        <f t="shared" ca="1" si="1018"/>
        <v>-</v>
      </c>
      <c r="BK145" s="192" t="str">
        <f t="shared" ref="BK145" ca="1" si="1174">IF($D145="-","-",$BK$5 + (V145-StartGridX) * (GapXDiff + $BW$7))</f>
        <v>-</v>
      </c>
      <c r="BL145" s="192" t="str">
        <f t="shared" ref="BL145" ca="1" si="1175">IF($D145="-","-",$BL$5 + (W145-StartGridY) * (GapYDiff + $BV$7))</f>
        <v>-</v>
      </c>
      <c r="BM145" s="192" t="str">
        <f t="shared" ca="1" si="1090"/>
        <v>-</v>
      </c>
      <c r="BN145" s="192" t="str">
        <f t="shared" ca="1" si="1091"/>
        <v>-</v>
      </c>
      <c r="BO145" s="192" t="str">
        <f t="shared" ca="1" si="1092"/>
        <v>-</v>
      </c>
      <c r="BP145" s="192" t="str">
        <f t="shared" ca="1" si="1093"/>
        <v>-</v>
      </c>
      <c r="BQ145" s="192" t="str">
        <f ca="1">IF($D145="-","-",IF(LEN(K145)=0,1,IFERROR(MATCH(K145,Dashboard!$L$25:$L$31,0),1)))</f>
        <v>-</v>
      </c>
      <c r="CC145" s="143" t="str">
        <f t="shared" ref="CC145" ca="1" si="1176">IF($D145="-","-",IF(COUNTIF(IDSourceRange,E145)&gt;1,1,0))</f>
        <v>-</v>
      </c>
      <c r="CD145" s="143" t="str">
        <f t="shared" ref="CD145" ca="1" si="1177">IF($D145="-","-",  IF(LEN(M145)=0,0,IF(ISERROR(MATCH(M145,IDSourceRange,0)),1,0)) + IF(LEN(N145)=0,0,IF(ISERROR(MATCH(N145,IDSourceRange,0)),1,0)) + IF(LEN(O145)=0,0,IF(ISERROR(MATCH(O145,IDSourceRange,0)),1,0)) )</f>
        <v>-</v>
      </c>
      <c r="CE145" s="143" t="str">
        <f t="shared" ca="1" si="1121"/>
        <v>-</v>
      </c>
      <c r="CF145" s="143" t="s">
        <v>128</v>
      </c>
      <c r="CG145" s="143" t="str">
        <f t="shared" ref="CG145" ca="1" si="1178">IF($D145="-","-",IF(X145="-",0,IF(COUNTIF(GridCombinedRange,X145)&gt;1,1,0)))</f>
        <v>-</v>
      </c>
      <c r="CH145" s="143"/>
      <c r="CI145" s="143"/>
      <c r="CJ145" s="143"/>
      <c r="CK145" s="143"/>
      <c r="CL145" s="143"/>
    </row>
    <row r="146" spans="3:90" x14ac:dyDescent="0.3">
      <c r="C146" s="170">
        <v>140</v>
      </c>
      <c r="D146" s="111" t="str">
        <f ca="1">IF(COUNTA(OFFSET(Dashboard!$B$6,C146,0,1,COUNTA(Dashboard!$B$6:$H$6)))&gt;0,"Yes","-")</f>
        <v>-</v>
      </c>
      <c r="E146" s="170" t="str">
        <f ca="1">IF(D146="-","-",IF(LEN(INDEX(Dashboard!B$6:B$206,$C146+1))=0,"x"&amp;C146&amp;"x","x"&amp;INDEX(Dashboard!B$6:B$206,$C146+1)&amp;"x"))</f>
        <v>-</v>
      </c>
      <c r="F146" s="171" t="str">
        <f ca="1">IF(D146="-","-",IF(LEN(INDEX(Dashboard!$C$6:$C$206,C146+1))=0," ",INDEX(Dashboard!$C$6:$C$206,C146+1)))</f>
        <v>-</v>
      </c>
      <c r="G146" s="219" t="str">
        <f ca="1">IF(OR(D146="-",D146=""),"-",IF(LEN(INDEX(Dashboard!$D$6:$D$228,C146+1))=0,"", "x"&amp;SUBSTITUTE(SUBSTITUTE(INDEX(Dashboard!$D$6:$D$228,C146+1)," ",""),",","x,x")&amp;"x"))</f>
        <v>-</v>
      </c>
      <c r="H146" s="111" t="str">
        <f ca="1">IF(D146="-","-",TRIM(INDEX(Dashboard!$E$6:$E$206,C146+1)))</f>
        <v>-</v>
      </c>
      <c r="I146" s="111" t="str">
        <f ca="1">IF(D146="-","-",IF(LEN(INDEX(Dashboard!$F$6:$F$206,C146+1))=0,$BS$8,IF(ISERROR(MATCH(INDEX(Dashboard!$F$6:$F$206,C146+1),$BS$7:$BS$35,0)),$BS$8,INDEX(Dashboard!$F$6:$F$206,C146+1))))</f>
        <v>-</v>
      </c>
      <c r="J146" s="111" t="str">
        <f ca="1">IF(D146="-","-",SUBSTITUTE(INDEX(Dashboard!$G$6:$G$206,C146+1)," ",""))</f>
        <v>-</v>
      </c>
      <c r="K146" s="111" t="str">
        <f ca="1">IF(D146="-","-",IF(LEN(INDEX(Dashboard!$H$6:$H$206,C146+1))=0,"",INDEX(Dashboard!$H$6:$H$206,C146+1)))</f>
        <v>-</v>
      </c>
      <c r="M146" s="172" t="str">
        <f t="shared" ca="1" si="1014"/>
        <v>-</v>
      </c>
      <c r="N146" s="172" t="str">
        <f t="shared" ca="1" si="1014"/>
        <v>-</v>
      </c>
      <c r="O146" s="172" t="str">
        <f t="shared" ca="1" si="1014"/>
        <v>-</v>
      </c>
      <c r="P146" s="173" t="str">
        <f t="shared" ca="1" si="1080"/>
        <v>-</v>
      </c>
      <c r="Q146" s="172" t="str">
        <f t="shared" ca="1" si="1080"/>
        <v>-</v>
      </c>
      <c r="R146" s="172" t="str">
        <f t="shared" ca="1" si="1080"/>
        <v>-</v>
      </c>
      <c r="S146" s="174" t="str">
        <f t="array" aca="1" ref="S146" ca="1">IF($D146="-","-",SUM(IF(LEN(M146:O146)&gt;0,1,0)))</f>
        <v>-</v>
      </c>
      <c r="T146" s="175" t="str">
        <f t="array" aca="1" ref="T146" ca="1">IF(D146="-","-",SUM(IF(ISERROR(SEARCH(E146,$G$7:$G$206)),0,1)))</f>
        <v>-</v>
      </c>
      <c r="V146" s="204"/>
      <c r="W146" s="127"/>
      <c r="X146" s="177" t="str">
        <f t="shared" si="1097"/>
        <v>-</v>
      </c>
      <c r="Y146" s="178"/>
      <c r="Z146" s="127"/>
      <c r="AB146" s="179" t="str">
        <f t="shared" ca="1" si="1081"/>
        <v>-</v>
      </c>
      <c r="AC146" s="179" t="str">
        <f t="shared" ca="1" si="1081"/>
        <v>-</v>
      </c>
      <c r="AD146" s="179" t="str">
        <f t="shared" ca="1" si="1081"/>
        <v>-</v>
      </c>
      <c r="AJ146" s="181" t="str">
        <f t="shared" ca="1" si="1082"/>
        <v>-</v>
      </c>
      <c r="AK146" s="179" t="str">
        <f t="shared" ca="1" si="1083"/>
        <v>-</v>
      </c>
      <c r="AL146" s="179" t="str">
        <f t="shared" ca="1" si="1083"/>
        <v>-</v>
      </c>
      <c r="AM146" s="179" t="str">
        <f t="shared" ca="1" si="1083"/>
        <v>-</v>
      </c>
      <c r="AO146" s="182" t="str">
        <f t="shared" ca="1" si="1084"/>
        <v>-</v>
      </c>
      <c r="AP146" s="182" t="str">
        <f t="shared" ca="1" si="1084"/>
        <v>-</v>
      </c>
      <c r="AQ146" s="182" t="str">
        <f t="shared" ca="1" si="1084"/>
        <v>-</v>
      </c>
      <c r="AU146" s="185" t="str">
        <f t="shared" ref="AU146" ca="1" si="1179">IF($D146="-","-",IF(LEN(M146)=0,"", INDEX($AT$7:$AT$15,MATCH(IF($V146-INDEX(GridXRange,P146)&lt;0,"Negative",IF($V146-INDEX(GridXRange,P146)&gt;0,"Positive","Zero")) &amp; " - " &amp;IF($W146-INDEX(GridYRange,P146)&lt;0,"Negative",IF($W146-INDEX(GridYRange,P146)&gt;0,"Positive","Zero")),$AS$7:$AS$15,0))))</f>
        <v>-</v>
      </c>
      <c r="AV146" s="186" t="str">
        <f t="shared" ref="AV146" ca="1" si="1180">IF($D146="-","-",IF(LEN(N146)=0,"", INDEX($AT$7:$AT$15,MATCH(IF($V146-INDEX(GridXRange,Q146)&lt;0,"Negative",IF($V146-INDEX(GridXRange,Q146)&gt;0,"Positive","Zero")) &amp; " - " &amp;IF($W146-INDEX(GridYRange,Q146)&lt;0,"Negative",IF($W146-INDEX(GridYRange,Q146)&gt;0,"Positive","Zero")),$AS$7:$AS$15,0))))</f>
        <v>-</v>
      </c>
      <c r="AW146" s="186" t="str">
        <f t="shared" ref="AW146" ca="1" si="1181">IF($D146="-","-",IF(LEN(O146)=0,"", INDEX($AT$7:$AT$15,MATCH(IF($V146-INDEX(GridXRange,R146)&lt;0,"Negative",IF($V146-INDEX(GridXRange,R146)&gt;0,"Positive","Zero")) &amp; " - " &amp;IF($W146-INDEX(GridYRange,R146)&lt;0,"Negative",IF($W146-INDEX(GridYRange,R146)&gt;0,"Positive","Zero")),$AS$7:$AS$15,0))))</f>
        <v>-</v>
      </c>
      <c r="AX146" s="187"/>
      <c r="AY146" s="188"/>
      <c r="AZ146" s="188"/>
      <c r="BA146" s="184"/>
      <c r="BB146" s="187" t="str">
        <f t="shared" ca="1" si="1018"/>
        <v>-</v>
      </c>
      <c r="BC146" s="188" t="str">
        <f t="shared" ca="1" si="1018"/>
        <v>-</v>
      </c>
      <c r="BD146" s="188" t="str">
        <f t="shared" ca="1" si="1018"/>
        <v>-</v>
      </c>
      <c r="BE146" s="189" t="str">
        <f t="shared" ca="1" si="1018"/>
        <v>-</v>
      </c>
      <c r="BK146" s="192" t="str">
        <f t="shared" ref="BK146" ca="1" si="1182">IF($D146="-","-",$BK$5 + (V146-StartGridX) * (GapXDiff + $BW$7))</f>
        <v>-</v>
      </c>
      <c r="BL146" s="192" t="str">
        <f t="shared" ref="BL146" ca="1" si="1183">IF($D146="-","-",$BL$5 + (W146-StartGridY) * (GapYDiff + $BV$7))</f>
        <v>-</v>
      </c>
      <c r="BM146" s="192" t="str">
        <f t="shared" ca="1" si="1090"/>
        <v>-</v>
      </c>
      <c r="BN146" s="192" t="str">
        <f t="shared" ca="1" si="1091"/>
        <v>-</v>
      </c>
      <c r="BO146" s="192" t="str">
        <f t="shared" ca="1" si="1092"/>
        <v>-</v>
      </c>
      <c r="BP146" s="192" t="str">
        <f t="shared" ca="1" si="1093"/>
        <v>-</v>
      </c>
      <c r="BQ146" s="192" t="str">
        <f ca="1">IF($D146="-","-",IF(LEN(K146)=0,1,IFERROR(MATCH(K146,Dashboard!$L$25:$L$31,0),1)))</f>
        <v>-</v>
      </c>
      <c r="CC146" s="143" t="str">
        <f t="shared" ref="CC146" ca="1" si="1184">IF($D146="-","-",IF(COUNTIF(IDSourceRange,E146)&gt;1,1,0))</f>
        <v>-</v>
      </c>
      <c r="CD146" s="143" t="str">
        <f t="shared" ref="CD146" ca="1" si="1185">IF($D146="-","-",  IF(LEN(M146)=0,0,IF(ISERROR(MATCH(M146,IDSourceRange,0)),1,0)) + IF(LEN(N146)=0,0,IF(ISERROR(MATCH(N146,IDSourceRange,0)),1,0)) + IF(LEN(O146)=0,0,IF(ISERROR(MATCH(O146,IDSourceRange,0)),1,0)) )</f>
        <v>-</v>
      </c>
      <c r="CE146" s="143" t="str">
        <f t="shared" ca="1" si="1121"/>
        <v>-</v>
      </c>
      <c r="CF146" s="143" t="s">
        <v>128</v>
      </c>
      <c r="CG146" s="143" t="str">
        <f t="shared" ref="CG146" ca="1" si="1186">IF($D146="-","-",IF(X146="-",0,IF(COUNTIF(GridCombinedRange,X146)&gt;1,1,0)))</f>
        <v>-</v>
      </c>
      <c r="CH146" s="143"/>
      <c r="CI146" s="143"/>
      <c r="CJ146" s="143"/>
      <c r="CK146" s="143"/>
      <c r="CL146" s="143"/>
    </row>
    <row r="147" spans="3:90" x14ac:dyDescent="0.3">
      <c r="C147" s="170">
        <v>141</v>
      </c>
      <c r="D147" s="111" t="str">
        <f ca="1">IF(COUNTA(OFFSET(Dashboard!$B$6,C147,0,1,COUNTA(Dashboard!$B$6:$H$6)))&gt;0,"Yes","-")</f>
        <v>-</v>
      </c>
      <c r="E147" s="170" t="str">
        <f ca="1">IF(D147="-","-",IF(LEN(INDEX(Dashboard!B$6:B$206,$C147+1))=0,"x"&amp;C147&amp;"x","x"&amp;INDEX(Dashboard!B$6:B$206,$C147+1)&amp;"x"))</f>
        <v>-</v>
      </c>
      <c r="F147" s="171" t="str">
        <f ca="1">IF(D147="-","-",IF(LEN(INDEX(Dashboard!$C$6:$C$206,C147+1))=0," ",INDEX(Dashboard!$C$6:$C$206,C147+1)))</f>
        <v>-</v>
      </c>
      <c r="G147" s="219" t="str">
        <f ca="1">IF(OR(D147="-",D147=""),"-",IF(LEN(INDEX(Dashboard!$D$6:$D$228,C147+1))=0,"", "x"&amp;SUBSTITUTE(SUBSTITUTE(INDEX(Dashboard!$D$6:$D$228,C147+1)," ",""),",","x,x")&amp;"x"))</f>
        <v>-</v>
      </c>
      <c r="H147" s="111" t="str">
        <f ca="1">IF(D147="-","-",TRIM(INDEX(Dashboard!$E$6:$E$206,C147+1)))</f>
        <v>-</v>
      </c>
      <c r="I147" s="111" t="str">
        <f ca="1">IF(D147="-","-",IF(LEN(INDEX(Dashboard!$F$6:$F$206,C147+1))=0,$BS$8,IF(ISERROR(MATCH(INDEX(Dashboard!$F$6:$F$206,C147+1),$BS$7:$BS$35,0)),$BS$8,INDEX(Dashboard!$F$6:$F$206,C147+1))))</f>
        <v>-</v>
      </c>
      <c r="J147" s="111" t="str">
        <f ca="1">IF(D147="-","-",SUBSTITUTE(INDEX(Dashboard!$G$6:$G$206,C147+1)," ",""))</f>
        <v>-</v>
      </c>
      <c r="K147" s="111" t="str">
        <f ca="1">IF(D147="-","-",IF(LEN(INDEX(Dashboard!$H$6:$H$206,C147+1))=0,"",INDEX(Dashboard!$H$6:$H$206,C147+1)))</f>
        <v>-</v>
      </c>
      <c r="M147" s="172" t="str">
        <f t="shared" ref="M147:O166" ca="1" si="1187">IF($D147="-","-",TRIM(MID(SUBSTITUTE($G147,",",REPT(" ",LEN($G147))),(M$6-1)*LEN($G147)+1,LEN($G147))))</f>
        <v>-</v>
      </c>
      <c r="N147" s="172" t="str">
        <f t="shared" ca="1" si="1187"/>
        <v>-</v>
      </c>
      <c r="O147" s="172" t="str">
        <f t="shared" ca="1" si="1187"/>
        <v>-</v>
      </c>
      <c r="P147" s="173" t="str">
        <f t="shared" ca="1" si="1080"/>
        <v>-</v>
      </c>
      <c r="Q147" s="172" t="str">
        <f t="shared" ca="1" si="1080"/>
        <v>-</v>
      </c>
      <c r="R147" s="172" t="str">
        <f t="shared" ca="1" si="1080"/>
        <v>-</v>
      </c>
      <c r="S147" s="174" t="str">
        <f t="array" aca="1" ref="S147" ca="1">IF($D147="-","-",SUM(IF(LEN(M147:O147)&gt;0,1,0)))</f>
        <v>-</v>
      </c>
      <c r="T147" s="175" t="str">
        <f t="array" aca="1" ref="T147" ca="1">IF(D147="-","-",SUM(IF(ISERROR(SEARCH(E147,$G$7:$G$206)),0,1)))</f>
        <v>-</v>
      </c>
      <c r="V147" s="204"/>
      <c r="W147" s="127"/>
      <c r="X147" s="177" t="str">
        <f t="shared" si="1097"/>
        <v>-</v>
      </c>
      <c r="Y147" s="178"/>
      <c r="Z147" s="127"/>
      <c r="AB147" s="179" t="str">
        <f t="shared" ca="1" si="1081"/>
        <v>-</v>
      </c>
      <c r="AC147" s="179" t="str">
        <f t="shared" ca="1" si="1081"/>
        <v>-</v>
      </c>
      <c r="AD147" s="179" t="str">
        <f t="shared" ca="1" si="1081"/>
        <v>-</v>
      </c>
      <c r="AJ147" s="181" t="str">
        <f t="shared" ca="1" si="1082"/>
        <v>-</v>
      </c>
      <c r="AK147" s="179" t="str">
        <f t="shared" ca="1" si="1083"/>
        <v>-</v>
      </c>
      <c r="AL147" s="179" t="str">
        <f t="shared" ca="1" si="1083"/>
        <v>-</v>
      </c>
      <c r="AM147" s="179" t="str">
        <f t="shared" ca="1" si="1083"/>
        <v>-</v>
      </c>
      <c r="AO147" s="182" t="str">
        <f t="shared" ca="1" si="1084"/>
        <v>-</v>
      </c>
      <c r="AP147" s="182" t="str">
        <f t="shared" ca="1" si="1084"/>
        <v>-</v>
      </c>
      <c r="AQ147" s="182" t="str">
        <f t="shared" ca="1" si="1084"/>
        <v>-</v>
      </c>
      <c r="AU147" s="185" t="str">
        <f t="shared" ref="AU147" ca="1" si="1188">IF($D147="-","-",IF(LEN(M147)=0,"", INDEX($AT$7:$AT$15,MATCH(IF($V147-INDEX(GridXRange,P147)&lt;0,"Negative",IF($V147-INDEX(GridXRange,P147)&gt;0,"Positive","Zero")) &amp; " - " &amp;IF($W147-INDEX(GridYRange,P147)&lt;0,"Negative",IF($W147-INDEX(GridYRange,P147)&gt;0,"Positive","Zero")),$AS$7:$AS$15,0))))</f>
        <v>-</v>
      </c>
      <c r="AV147" s="186" t="str">
        <f t="shared" ref="AV147" ca="1" si="1189">IF($D147="-","-",IF(LEN(N147)=0,"", INDEX($AT$7:$AT$15,MATCH(IF($V147-INDEX(GridXRange,Q147)&lt;0,"Negative",IF($V147-INDEX(GridXRange,Q147)&gt;0,"Positive","Zero")) &amp; " - " &amp;IF($W147-INDEX(GridYRange,Q147)&lt;0,"Negative",IF($W147-INDEX(GridYRange,Q147)&gt;0,"Positive","Zero")),$AS$7:$AS$15,0))))</f>
        <v>-</v>
      </c>
      <c r="AW147" s="186" t="str">
        <f t="shared" ref="AW147" ca="1" si="1190">IF($D147="-","-",IF(LEN(O147)=0,"", INDEX($AT$7:$AT$15,MATCH(IF($V147-INDEX(GridXRange,R147)&lt;0,"Negative",IF($V147-INDEX(GridXRange,R147)&gt;0,"Positive","Zero")) &amp; " - " &amp;IF($W147-INDEX(GridYRange,R147)&lt;0,"Negative",IF($W147-INDEX(GridYRange,R147)&gt;0,"Positive","Zero")),$AS$7:$AS$15,0))))</f>
        <v>-</v>
      </c>
      <c r="AX147" s="187"/>
      <c r="AY147" s="188"/>
      <c r="AZ147" s="188"/>
      <c r="BA147" s="184"/>
      <c r="BB147" s="187" t="str">
        <f t="shared" ref="BB147:BE166" ca="1" si="1191">IF($D147="-","-",INDEX($BX$7:$CA$35,MATCH($I147,$BS$7:$BS$35,0),BB$6))</f>
        <v>-</v>
      </c>
      <c r="BC147" s="188" t="str">
        <f t="shared" ca="1" si="1191"/>
        <v>-</v>
      </c>
      <c r="BD147" s="188" t="str">
        <f t="shared" ca="1" si="1191"/>
        <v>-</v>
      </c>
      <c r="BE147" s="189" t="str">
        <f t="shared" ca="1" si="1191"/>
        <v>-</v>
      </c>
      <c r="BK147" s="192" t="str">
        <f t="shared" ref="BK147" ca="1" si="1192">IF($D147="-","-",$BK$5 + (V147-StartGridX) * (GapXDiff + $BW$7))</f>
        <v>-</v>
      </c>
      <c r="BL147" s="192" t="str">
        <f t="shared" ref="BL147" ca="1" si="1193">IF($D147="-","-",$BL$5 + (W147-StartGridY) * (GapYDiff + $BV$7))</f>
        <v>-</v>
      </c>
      <c r="BM147" s="192" t="str">
        <f t="shared" ca="1" si="1090"/>
        <v>-</v>
      </c>
      <c r="BN147" s="192" t="str">
        <f t="shared" ca="1" si="1091"/>
        <v>-</v>
      </c>
      <c r="BO147" s="192" t="str">
        <f t="shared" ca="1" si="1092"/>
        <v>-</v>
      </c>
      <c r="BP147" s="192" t="str">
        <f t="shared" ca="1" si="1093"/>
        <v>-</v>
      </c>
      <c r="BQ147" s="192" t="str">
        <f ca="1">IF($D147="-","-",IF(LEN(K147)=0,1,IFERROR(MATCH(K147,Dashboard!$L$25:$L$31,0),1)))</f>
        <v>-</v>
      </c>
      <c r="CC147" s="143" t="str">
        <f t="shared" ref="CC147" ca="1" si="1194">IF($D147="-","-",IF(COUNTIF(IDSourceRange,E147)&gt;1,1,0))</f>
        <v>-</v>
      </c>
      <c r="CD147" s="143" t="str">
        <f t="shared" ref="CD147" ca="1" si="1195">IF($D147="-","-",  IF(LEN(M147)=0,0,IF(ISERROR(MATCH(M147,IDSourceRange,0)),1,0)) + IF(LEN(N147)=0,0,IF(ISERROR(MATCH(N147,IDSourceRange,0)),1,0)) + IF(LEN(O147)=0,0,IF(ISERROR(MATCH(O147,IDSourceRange,0)),1,0)) )</f>
        <v>-</v>
      </c>
      <c r="CE147" s="143" t="str">
        <f t="shared" ca="1" si="1121"/>
        <v>-</v>
      </c>
      <c r="CF147" s="143" t="s">
        <v>128</v>
      </c>
      <c r="CG147" s="143" t="str">
        <f t="shared" ref="CG147" ca="1" si="1196">IF($D147="-","-",IF(X147="-",0,IF(COUNTIF(GridCombinedRange,X147)&gt;1,1,0)))</f>
        <v>-</v>
      </c>
      <c r="CH147" s="143"/>
      <c r="CI147" s="143"/>
      <c r="CJ147" s="143"/>
      <c r="CK147" s="143"/>
      <c r="CL147" s="143"/>
    </row>
    <row r="148" spans="3:90" x14ac:dyDescent="0.3">
      <c r="C148" s="170">
        <v>142</v>
      </c>
      <c r="D148" s="111" t="str">
        <f ca="1">IF(COUNTA(OFFSET(Dashboard!$B$6,C148,0,1,COUNTA(Dashboard!$B$6:$H$6)))&gt;0,"Yes","-")</f>
        <v>-</v>
      </c>
      <c r="E148" s="170" t="str">
        <f ca="1">IF(D148="-","-",IF(LEN(INDEX(Dashboard!B$6:B$206,$C148+1))=0,"x"&amp;C148&amp;"x","x"&amp;INDEX(Dashboard!B$6:B$206,$C148+1)&amp;"x"))</f>
        <v>-</v>
      </c>
      <c r="F148" s="171" t="str">
        <f ca="1">IF(D148="-","-",IF(LEN(INDEX(Dashboard!$C$6:$C$206,C148+1))=0," ",INDEX(Dashboard!$C$6:$C$206,C148+1)))</f>
        <v>-</v>
      </c>
      <c r="G148" s="219" t="str">
        <f ca="1">IF(OR(D148="-",D148=""),"-",IF(LEN(INDEX(Dashboard!$D$6:$D$228,C148+1))=0,"", "x"&amp;SUBSTITUTE(SUBSTITUTE(INDEX(Dashboard!$D$6:$D$228,C148+1)," ",""),",","x,x")&amp;"x"))</f>
        <v>-</v>
      </c>
      <c r="H148" s="111" t="str">
        <f ca="1">IF(D148="-","-",TRIM(INDEX(Dashboard!$E$6:$E$206,C148+1)))</f>
        <v>-</v>
      </c>
      <c r="I148" s="111" t="str">
        <f ca="1">IF(D148="-","-",IF(LEN(INDEX(Dashboard!$F$6:$F$206,C148+1))=0,$BS$8,IF(ISERROR(MATCH(INDEX(Dashboard!$F$6:$F$206,C148+1),$BS$7:$BS$35,0)),$BS$8,INDEX(Dashboard!$F$6:$F$206,C148+1))))</f>
        <v>-</v>
      </c>
      <c r="J148" s="111" t="str">
        <f ca="1">IF(D148="-","-",SUBSTITUTE(INDEX(Dashboard!$G$6:$G$206,C148+1)," ",""))</f>
        <v>-</v>
      </c>
      <c r="K148" s="111" t="str">
        <f ca="1">IF(D148="-","-",IF(LEN(INDEX(Dashboard!$H$6:$H$206,C148+1))=0,"",INDEX(Dashboard!$H$6:$H$206,C148+1)))</f>
        <v>-</v>
      </c>
      <c r="M148" s="172" t="str">
        <f t="shared" ca="1" si="1187"/>
        <v>-</v>
      </c>
      <c r="N148" s="172" t="str">
        <f t="shared" ca="1" si="1187"/>
        <v>-</v>
      </c>
      <c r="O148" s="172" t="str">
        <f t="shared" ca="1" si="1187"/>
        <v>-</v>
      </c>
      <c r="P148" s="173" t="str">
        <f t="shared" ca="1" si="1080"/>
        <v>-</v>
      </c>
      <c r="Q148" s="172" t="str">
        <f t="shared" ca="1" si="1080"/>
        <v>-</v>
      </c>
      <c r="R148" s="172" t="str">
        <f t="shared" ca="1" si="1080"/>
        <v>-</v>
      </c>
      <c r="S148" s="174" t="str">
        <f t="array" aca="1" ref="S148" ca="1">IF($D148="-","-",SUM(IF(LEN(M148:O148)&gt;0,1,0)))</f>
        <v>-</v>
      </c>
      <c r="T148" s="175" t="str">
        <f t="array" aca="1" ref="T148" ca="1">IF(D148="-","-",SUM(IF(ISERROR(SEARCH(E148,$G$7:$G$206)),0,1)))</f>
        <v>-</v>
      </c>
      <c r="V148" s="204"/>
      <c r="W148" s="127"/>
      <c r="X148" s="177" t="str">
        <f t="shared" si="1097"/>
        <v>-</v>
      </c>
      <c r="Y148" s="178"/>
      <c r="Z148" s="127"/>
      <c r="AB148" s="179" t="str">
        <f t="shared" ca="1" si="1081"/>
        <v>-</v>
      </c>
      <c r="AC148" s="179" t="str">
        <f t="shared" ca="1" si="1081"/>
        <v>-</v>
      </c>
      <c r="AD148" s="179" t="str">
        <f t="shared" ca="1" si="1081"/>
        <v>-</v>
      </c>
      <c r="AJ148" s="181" t="str">
        <f t="shared" ca="1" si="1082"/>
        <v>-</v>
      </c>
      <c r="AK148" s="179" t="str">
        <f t="shared" ca="1" si="1083"/>
        <v>-</v>
      </c>
      <c r="AL148" s="179" t="str">
        <f t="shared" ca="1" si="1083"/>
        <v>-</v>
      </c>
      <c r="AM148" s="179" t="str">
        <f t="shared" ca="1" si="1083"/>
        <v>-</v>
      </c>
      <c r="AO148" s="182" t="str">
        <f t="shared" ca="1" si="1084"/>
        <v>-</v>
      </c>
      <c r="AP148" s="182" t="str">
        <f t="shared" ca="1" si="1084"/>
        <v>-</v>
      </c>
      <c r="AQ148" s="182" t="str">
        <f t="shared" ca="1" si="1084"/>
        <v>-</v>
      </c>
      <c r="AU148" s="185" t="str">
        <f t="shared" ref="AU148" ca="1" si="1197">IF($D148="-","-",IF(LEN(M148)=0,"", INDEX($AT$7:$AT$15,MATCH(IF($V148-INDEX(GridXRange,P148)&lt;0,"Negative",IF($V148-INDEX(GridXRange,P148)&gt;0,"Positive","Zero")) &amp; " - " &amp;IF($W148-INDEX(GridYRange,P148)&lt;0,"Negative",IF($W148-INDEX(GridYRange,P148)&gt;0,"Positive","Zero")),$AS$7:$AS$15,0))))</f>
        <v>-</v>
      </c>
      <c r="AV148" s="186" t="str">
        <f t="shared" ref="AV148" ca="1" si="1198">IF($D148="-","-",IF(LEN(N148)=0,"", INDEX($AT$7:$AT$15,MATCH(IF($V148-INDEX(GridXRange,Q148)&lt;0,"Negative",IF($V148-INDEX(GridXRange,Q148)&gt;0,"Positive","Zero")) &amp; " - " &amp;IF($W148-INDEX(GridYRange,Q148)&lt;0,"Negative",IF($W148-INDEX(GridYRange,Q148)&gt;0,"Positive","Zero")),$AS$7:$AS$15,0))))</f>
        <v>-</v>
      </c>
      <c r="AW148" s="186" t="str">
        <f t="shared" ref="AW148" ca="1" si="1199">IF($D148="-","-",IF(LEN(O148)=0,"", INDEX($AT$7:$AT$15,MATCH(IF($V148-INDEX(GridXRange,R148)&lt;0,"Negative",IF($V148-INDEX(GridXRange,R148)&gt;0,"Positive","Zero")) &amp; " - " &amp;IF($W148-INDEX(GridYRange,R148)&lt;0,"Negative",IF($W148-INDEX(GridYRange,R148)&gt;0,"Positive","Zero")),$AS$7:$AS$15,0))))</f>
        <v>-</v>
      </c>
      <c r="AX148" s="187"/>
      <c r="AY148" s="188"/>
      <c r="AZ148" s="188"/>
      <c r="BA148" s="184"/>
      <c r="BB148" s="187" t="str">
        <f t="shared" ca="1" si="1191"/>
        <v>-</v>
      </c>
      <c r="BC148" s="188" t="str">
        <f t="shared" ca="1" si="1191"/>
        <v>-</v>
      </c>
      <c r="BD148" s="188" t="str">
        <f t="shared" ca="1" si="1191"/>
        <v>-</v>
      </c>
      <c r="BE148" s="189" t="str">
        <f t="shared" ca="1" si="1191"/>
        <v>-</v>
      </c>
      <c r="BK148" s="192" t="str">
        <f t="shared" ref="BK148" ca="1" si="1200">IF($D148="-","-",$BK$5 + (V148-StartGridX) * (GapXDiff + $BW$7))</f>
        <v>-</v>
      </c>
      <c r="BL148" s="192" t="str">
        <f t="shared" ref="BL148" ca="1" si="1201">IF($D148="-","-",$BL$5 + (W148-StartGridY) * (GapYDiff + $BV$7))</f>
        <v>-</v>
      </c>
      <c r="BM148" s="192" t="str">
        <f t="shared" ca="1" si="1090"/>
        <v>-</v>
      </c>
      <c r="BN148" s="192" t="str">
        <f t="shared" ca="1" si="1091"/>
        <v>-</v>
      </c>
      <c r="BO148" s="192" t="str">
        <f t="shared" ca="1" si="1092"/>
        <v>-</v>
      </c>
      <c r="BP148" s="192" t="str">
        <f t="shared" ca="1" si="1093"/>
        <v>-</v>
      </c>
      <c r="BQ148" s="192" t="str">
        <f ca="1">IF($D148="-","-",IF(LEN(K148)=0,1,IFERROR(MATCH(K148,Dashboard!$L$25:$L$31,0),1)))</f>
        <v>-</v>
      </c>
      <c r="CC148" s="143" t="str">
        <f t="shared" ref="CC148" ca="1" si="1202">IF($D148="-","-",IF(COUNTIF(IDSourceRange,E148)&gt;1,1,0))</f>
        <v>-</v>
      </c>
      <c r="CD148" s="143" t="str">
        <f t="shared" ref="CD148" ca="1" si="1203">IF($D148="-","-",  IF(LEN(M148)=0,0,IF(ISERROR(MATCH(M148,IDSourceRange,0)),1,0)) + IF(LEN(N148)=0,0,IF(ISERROR(MATCH(N148,IDSourceRange,0)),1,0)) + IF(LEN(O148)=0,0,IF(ISERROR(MATCH(O148,IDSourceRange,0)),1,0)) )</f>
        <v>-</v>
      </c>
      <c r="CE148" s="143" t="str">
        <f t="shared" ca="1" si="1121"/>
        <v>-</v>
      </c>
      <c r="CF148" s="143" t="s">
        <v>128</v>
      </c>
      <c r="CG148" s="143" t="str">
        <f t="shared" ref="CG148" ca="1" si="1204">IF($D148="-","-",IF(X148="-",0,IF(COUNTIF(GridCombinedRange,X148)&gt;1,1,0)))</f>
        <v>-</v>
      </c>
      <c r="CH148" s="143"/>
      <c r="CI148" s="143"/>
      <c r="CJ148" s="143"/>
      <c r="CK148" s="143"/>
      <c r="CL148" s="143"/>
    </row>
    <row r="149" spans="3:90" x14ac:dyDescent="0.3">
      <c r="C149" s="170">
        <v>143</v>
      </c>
      <c r="D149" s="111" t="str">
        <f ca="1">IF(COUNTA(OFFSET(Dashboard!$B$6,C149,0,1,COUNTA(Dashboard!$B$6:$H$6)))&gt;0,"Yes","-")</f>
        <v>-</v>
      </c>
      <c r="E149" s="170" t="str">
        <f ca="1">IF(D149="-","-",IF(LEN(INDEX(Dashboard!B$6:B$206,$C149+1))=0,"x"&amp;C149&amp;"x","x"&amp;INDEX(Dashboard!B$6:B$206,$C149+1)&amp;"x"))</f>
        <v>-</v>
      </c>
      <c r="F149" s="171" t="str">
        <f ca="1">IF(D149="-","-",IF(LEN(INDEX(Dashboard!$C$6:$C$206,C149+1))=0," ",INDEX(Dashboard!$C$6:$C$206,C149+1)))</f>
        <v>-</v>
      </c>
      <c r="G149" s="219" t="str">
        <f ca="1">IF(OR(D149="-",D149=""),"-",IF(LEN(INDEX(Dashboard!$D$6:$D$228,C149+1))=0,"", "x"&amp;SUBSTITUTE(SUBSTITUTE(INDEX(Dashboard!$D$6:$D$228,C149+1)," ",""),",","x,x")&amp;"x"))</f>
        <v>-</v>
      </c>
      <c r="H149" s="111" t="str">
        <f ca="1">IF(D149="-","-",TRIM(INDEX(Dashboard!$E$6:$E$206,C149+1)))</f>
        <v>-</v>
      </c>
      <c r="I149" s="111" t="str">
        <f ca="1">IF(D149="-","-",IF(LEN(INDEX(Dashboard!$F$6:$F$206,C149+1))=0,$BS$8,IF(ISERROR(MATCH(INDEX(Dashboard!$F$6:$F$206,C149+1),$BS$7:$BS$35,0)),$BS$8,INDEX(Dashboard!$F$6:$F$206,C149+1))))</f>
        <v>-</v>
      </c>
      <c r="J149" s="111" t="str">
        <f ca="1">IF(D149="-","-",SUBSTITUTE(INDEX(Dashboard!$G$6:$G$206,C149+1)," ",""))</f>
        <v>-</v>
      </c>
      <c r="K149" s="111" t="str">
        <f ca="1">IF(D149="-","-",IF(LEN(INDEX(Dashboard!$H$6:$H$206,C149+1))=0,"",INDEX(Dashboard!$H$6:$H$206,C149+1)))</f>
        <v>-</v>
      </c>
      <c r="M149" s="172" t="str">
        <f t="shared" ca="1" si="1187"/>
        <v>-</v>
      </c>
      <c r="N149" s="172" t="str">
        <f t="shared" ca="1" si="1187"/>
        <v>-</v>
      </c>
      <c r="O149" s="172" t="str">
        <f t="shared" ca="1" si="1187"/>
        <v>-</v>
      </c>
      <c r="P149" s="173" t="str">
        <f t="shared" ca="1" si="1080"/>
        <v>-</v>
      </c>
      <c r="Q149" s="172" t="str">
        <f t="shared" ca="1" si="1080"/>
        <v>-</v>
      </c>
      <c r="R149" s="172" t="str">
        <f t="shared" ca="1" si="1080"/>
        <v>-</v>
      </c>
      <c r="S149" s="174" t="str">
        <f t="array" aca="1" ref="S149" ca="1">IF($D149="-","-",SUM(IF(LEN(M149:O149)&gt;0,1,0)))</f>
        <v>-</v>
      </c>
      <c r="T149" s="175" t="str">
        <f t="array" aca="1" ref="T149" ca="1">IF(D149="-","-",SUM(IF(ISERROR(SEARCH(E149,$G$7:$G$206)),0,1)))</f>
        <v>-</v>
      </c>
      <c r="V149" s="204"/>
      <c r="W149" s="127"/>
      <c r="X149" s="177" t="str">
        <f t="shared" si="1097"/>
        <v>-</v>
      </c>
      <c r="Y149" s="178"/>
      <c r="Z149" s="127"/>
      <c r="AB149" s="179" t="str">
        <f t="shared" ca="1" si="1081"/>
        <v>-</v>
      </c>
      <c r="AC149" s="179" t="str">
        <f t="shared" ca="1" si="1081"/>
        <v>-</v>
      </c>
      <c r="AD149" s="179" t="str">
        <f t="shared" ca="1" si="1081"/>
        <v>-</v>
      </c>
      <c r="AJ149" s="181" t="str">
        <f t="shared" ca="1" si="1082"/>
        <v>-</v>
      </c>
      <c r="AK149" s="179" t="str">
        <f t="shared" ca="1" si="1083"/>
        <v>-</v>
      </c>
      <c r="AL149" s="179" t="str">
        <f t="shared" ca="1" si="1083"/>
        <v>-</v>
      </c>
      <c r="AM149" s="179" t="str">
        <f t="shared" ca="1" si="1083"/>
        <v>-</v>
      </c>
      <c r="AO149" s="182" t="str">
        <f t="shared" ca="1" si="1084"/>
        <v>-</v>
      </c>
      <c r="AP149" s="182" t="str">
        <f t="shared" ca="1" si="1084"/>
        <v>-</v>
      </c>
      <c r="AQ149" s="182" t="str">
        <f t="shared" ca="1" si="1084"/>
        <v>-</v>
      </c>
      <c r="AU149" s="185" t="str">
        <f t="shared" ref="AU149" ca="1" si="1205">IF($D149="-","-",IF(LEN(M149)=0,"", INDEX($AT$7:$AT$15,MATCH(IF($V149-INDEX(GridXRange,P149)&lt;0,"Negative",IF($V149-INDEX(GridXRange,P149)&gt;0,"Positive","Zero")) &amp; " - " &amp;IF($W149-INDEX(GridYRange,P149)&lt;0,"Negative",IF($W149-INDEX(GridYRange,P149)&gt;0,"Positive","Zero")),$AS$7:$AS$15,0))))</f>
        <v>-</v>
      </c>
      <c r="AV149" s="186" t="str">
        <f t="shared" ref="AV149" ca="1" si="1206">IF($D149="-","-",IF(LEN(N149)=0,"", INDEX($AT$7:$AT$15,MATCH(IF($V149-INDEX(GridXRange,Q149)&lt;0,"Negative",IF($V149-INDEX(GridXRange,Q149)&gt;0,"Positive","Zero")) &amp; " - " &amp;IF($W149-INDEX(GridYRange,Q149)&lt;0,"Negative",IF($W149-INDEX(GridYRange,Q149)&gt;0,"Positive","Zero")),$AS$7:$AS$15,0))))</f>
        <v>-</v>
      </c>
      <c r="AW149" s="186" t="str">
        <f t="shared" ref="AW149" ca="1" si="1207">IF($D149="-","-",IF(LEN(O149)=0,"", INDEX($AT$7:$AT$15,MATCH(IF($V149-INDEX(GridXRange,R149)&lt;0,"Negative",IF($V149-INDEX(GridXRange,R149)&gt;0,"Positive","Zero")) &amp; " - " &amp;IF($W149-INDEX(GridYRange,R149)&lt;0,"Negative",IF($W149-INDEX(GridYRange,R149)&gt;0,"Positive","Zero")),$AS$7:$AS$15,0))))</f>
        <v>-</v>
      </c>
      <c r="AX149" s="187"/>
      <c r="AY149" s="188"/>
      <c r="AZ149" s="188"/>
      <c r="BA149" s="184"/>
      <c r="BB149" s="187" t="str">
        <f t="shared" ca="1" si="1191"/>
        <v>-</v>
      </c>
      <c r="BC149" s="188" t="str">
        <f t="shared" ca="1" si="1191"/>
        <v>-</v>
      </c>
      <c r="BD149" s="188" t="str">
        <f t="shared" ca="1" si="1191"/>
        <v>-</v>
      </c>
      <c r="BE149" s="189" t="str">
        <f t="shared" ca="1" si="1191"/>
        <v>-</v>
      </c>
      <c r="BK149" s="192" t="str">
        <f t="shared" ref="BK149" ca="1" si="1208">IF($D149="-","-",$BK$5 + (V149-StartGridX) * (GapXDiff + $BW$7))</f>
        <v>-</v>
      </c>
      <c r="BL149" s="192" t="str">
        <f t="shared" ref="BL149" ca="1" si="1209">IF($D149="-","-",$BL$5 + (W149-StartGridY) * (GapYDiff + $BV$7))</f>
        <v>-</v>
      </c>
      <c r="BM149" s="192" t="str">
        <f t="shared" ca="1" si="1090"/>
        <v>-</v>
      </c>
      <c r="BN149" s="192" t="str">
        <f t="shared" ca="1" si="1091"/>
        <v>-</v>
      </c>
      <c r="BO149" s="192" t="str">
        <f t="shared" ca="1" si="1092"/>
        <v>-</v>
      </c>
      <c r="BP149" s="192" t="str">
        <f t="shared" ca="1" si="1093"/>
        <v>-</v>
      </c>
      <c r="BQ149" s="192" t="str">
        <f ca="1">IF($D149="-","-",IF(LEN(K149)=0,1,IFERROR(MATCH(K149,Dashboard!$L$25:$L$31,0),1)))</f>
        <v>-</v>
      </c>
      <c r="CC149" s="143" t="str">
        <f t="shared" ref="CC149" ca="1" si="1210">IF($D149="-","-",IF(COUNTIF(IDSourceRange,E149)&gt;1,1,0))</f>
        <v>-</v>
      </c>
      <c r="CD149" s="143" t="str">
        <f t="shared" ref="CD149" ca="1" si="1211">IF($D149="-","-",  IF(LEN(M149)=0,0,IF(ISERROR(MATCH(M149,IDSourceRange,0)),1,0)) + IF(LEN(N149)=0,0,IF(ISERROR(MATCH(N149,IDSourceRange,0)),1,0)) + IF(LEN(O149)=0,0,IF(ISERROR(MATCH(O149,IDSourceRange,0)),1,0)) )</f>
        <v>-</v>
      </c>
      <c r="CE149" s="143" t="str">
        <f t="shared" ca="1" si="1121"/>
        <v>-</v>
      </c>
      <c r="CF149" s="143" t="s">
        <v>128</v>
      </c>
      <c r="CG149" s="143" t="str">
        <f t="shared" ref="CG149" ca="1" si="1212">IF($D149="-","-",IF(X149="-",0,IF(COUNTIF(GridCombinedRange,X149)&gt;1,1,0)))</f>
        <v>-</v>
      </c>
      <c r="CH149" s="143"/>
      <c r="CI149" s="143"/>
      <c r="CJ149" s="143"/>
      <c r="CK149" s="143"/>
      <c r="CL149" s="143"/>
    </row>
    <row r="150" spans="3:90" x14ac:dyDescent="0.3">
      <c r="C150" s="170">
        <v>144</v>
      </c>
      <c r="D150" s="111" t="str">
        <f ca="1">IF(COUNTA(OFFSET(Dashboard!$B$6,C150,0,1,COUNTA(Dashboard!$B$6:$H$6)))&gt;0,"Yes","-")</f>
        <v>-</v>
      </c>
      <c r="E150" s="170" t="str">
        <f ca="1">IF(D150="-","-",IF(LEN(INDEX(Dashboard!B$6:B$206,$C150+1))=0,"x"&amp;C150&amp;"x","x"&amp;INDEX(Dashboard!B$6:B$206,$C150+1)&amp;"x"))</f>
        <v>-</v>
      </c>
      <c r="F150" s="171" t="str">
        <f ca="1">IF(D150="-","-",IF(LEN(INDEX(Dashboard!$C$6:$C$206,C150+1))=0," ",INDEX(Dashboard!$C$6:$C$206,C150+1)))</f>
        <v>-</v>
      </c>
      <c r="G150" s="219" t="str">
        <f ca="1">IF(OR(D150="-",D150=""),"-",IF(LEN(INDEX(Dashboard!$D$6:$D$228,C150+1))=0,"", "x"&amp;SUBSTITUTE(SUBSTITUTE(INDEX(Dashboard!$D$6:$D$228,C150+1)," ",""),",","x,x")&amp;"x"))</f>
        <v>-</v>
      </c>
      <c r="H150" s="111" t="str">
        <f ca="1">IF(D150="-","-",TRIM(INDEX(Dashboard!$E$6:$E$206,C150+1)))</f>
        <v>-</v>
      </c>
      <c r="I150" s="111" t="str">
        <f ca="1">IF(D150="-","-",IF(LEN(INDEX(Dashboard!$F$6:$F$206,C150+1))=0,$BS$8,IF(ISERROR(MATCH(INDEX(Dashboard!$F$6:$F$206,C150+1),$BS$7:$BS$35,0)),$BS$8,INDEX(Dashboard!$F$6:$F$206,C150+1))))</f>
        <v>-</v>
      </c>
      <c r="J150" s="111" t="str">
        <f ca="1">IF(D150="-","-",SUBSTITUTE(INDEX(Dashboard!$G$6:$G$206,C150+1)," ",""))</f>
        <v>-</v>
      </c>
      <c r="K150" s="111" t="str">
        <f ca="1">IF(D150="-","-",IF(LEN(INDEX(Dashboard!$H$6:$H$206,C150+1))=0,"",INDEX(Dashboard!$H$6:$H$206,C150+1)))</f>
        <v>-</v>
      </c>
      <c r="M150" s="172" t="str">
        <f t="shared" ca="1" si="1187"/>
        <v>-</v>
      </c>
      <c r="N150" s="172" t="str">
        <f t="shared" ca="1" si="1187"/>
        <v>-</v>
      </c>
      <c r="O150" s="172" t="str">
        <f t="shared" ca="1" si="1187"/>
        <v>-</v>
      </c>
      <c r="P150" s="173" t="str">
        <f t="shared" ca="1" si="1080"/>
        <v>-</v>
      </c>
      <c r="Q150" s="172" t="str">
        <f t="shared" ca="1" si="1080"/>
        <v>-</v>
      </c>
      <c r="R150" s="172" t="str">
        <f t="shared" ca="1" si="1080"/>
        <v>-</v>
      </c>
      <c r="S150" s="174" t="str">
        <f t="array" aca="1" ref="S150" ca="1">IF($D150="-","-",SUM(IF(LEN(M150:O150)&gt;0,1,0)))</f>
        <v>-</v>
      </c>
      <c r="T150" s="175" t="str">
        <f t="array" aca="1" ref="T150" ca="1">IF(D150="-","-",SUM(IF(ISERROR(SEARCH(E150,$G$7:$G$206)),0,1)))</f>
        <v>-</v>
      </c>
      <c r="V150" s="204"/>
      <c r="W150" s="127"/>
      <c r="X150" s="177" t="str">
        <f t="shared" si="1097"/>
        <v>-</v>
      </c>
      <c r="Y150" s="178"/>
      <c r="Z150" s="127"/>
      <c r="AB150" s="179" t="str">
        <f t="shared" ca="1" si="1081"/>
        <v>-</v>
      </c>
      <c r="AC150" s="179" t="str">
        <f t="shared" ca="1" si="1081"/>
        <v>-</v>
      </c>
      <c r="AD150" s="179" t="str">
        <f t="shared" ca="1" si="1081"/>
        <v>-</v>
      </c>
      <c r="AJ150" s="181" t="str">
        <f t="shared" ca="1" si="1082"/>
        <v>-</v>
      </c>
      <c r="AK150" s="179" t="str">
        <f t="shared" ca="1" si="1083"/>
        <v>-</v>
      </c>
      <c r="AL150" s="179" t="str">
        <f t="shared" ca="1" si="1083"/>
        <v>-</v>
      </c>
      <c r="AM150" s="179" t="str">
        <f t="shared" ca="1" si="1083"/>
        <v>-</v>
      </c>
      <c r="AO150" s="182" t="str">
        <f t="shared" ca="1" si="1084"/>
        <v>-</v>
      </c>
      <c r="AP150" s="182" t="str">
        <f t="shared" ca="1" si="1084"/>
        <v>-</v>
      </c>
      <c r="AQ150" s="182" t="str">
        <f t="shared" ca="1" si="1084"/>
        <v>-</v>
      </c>
      <c r="AU150" s="185" t="str">
        <f t="shared" ref="AU150" ca="1" si="1213">IF($D150="-","-",IF(LEN(M150)=0,"", INDEX($AT$7:$AT$15,MATCH(IF($V150-INDEX(GridXRange,P150)&lt;0,"Negative",IF($V150-INDEX(GridXRange,P150)&gt;0,"Positive","Zero")) &amp; " - " &amp;IF($W150-INDEX(GridYRange,P150)&lt;0,"Negative",IF($W150-INDEX(GridYRange,P150)&gt;0,"Positive","Zero")),$AS$7:$AS$15,0))))</f>
        <v>-</v>
      </c>
      <c r="AV150" s="186" t="str">
        <f t="shared" ref="AV150" ca="1" si="1214">IF($D150="-","-",IF(LEN(N150)=0,"", INDEX($AT$7:$AT$15,MATCH(IF($V150-INDEX(GridXRange,Q150)&lt;0,"Negative",IF($V150-INDEX(GridXRange,Q150)&gt;0,"Positive","Zero")) &amp; " - " &amp;IF($W150-INDEX(GridYRange,Q150)&lt;0,"Negative",IF($W150-INDEX(GridYRange,Q150)&gt;0,"Positive","Zero")),$AS$7:$AS$15,0))))</f>
        <v>-</v>
      </c>
      <c r="AW150" s="186" t="str">
        <f t="shared" ref="AW150" ca="1" si="1215">IF($D150="-","-",IF(LEN(O150)=0,"", INDEX($AT$7:$AT$15,MATCH(IF($V150-INDEX(GridXRange,R150)&lt;0,"Negative",IF($V150-INDEX(GridXRange,R150)&gt;0,"Positive","Zero")) &amp; " - " &amp;IF($W150-INDEX(GridYRange,R150)&lt;0,"Negative",IF($W150-INDEX(GridYRange,R150)&gt;0,"Positive","Zero")),$AS$7:$AS$15,0))))</f>
        <v>-</v>
      </c>
      <c r="AX150" s="187"/>
      <c r="AY150" s="188"/>
      <c r="AZ150" s="188"/>
      <c r="BA150" s="184"/>
      <c r="BB150" s="187" t="str">
        <f t="shared" ca="1" si="1191"/>
        <v>-</v>
      </c>
      <c r="BC150" s="188" t="str">
        <f t="shared" ca="1" si="1191"/>
        <v>-</v>
      </c>
      <c r="BD150" s="188" t="str">
        <f t="shared" ca="1" si="1191"/>
        <v>-</v>
      </c>
      <c r="BE150" s="189" t="str">
        <f t="shared" ca="1" si="1191"/>
        <v>-</v>
      </c>
      <c r="BK150" s="192" t="str">
        <f t="shared" ref="BK150" ca="1" si="1216">IF($D150="-","-",$BK$5 + (V150-StartGridX) * (GapXDiff + $BW$7))</f>
        <v>-</v>
      </c>
      <c r="BL150" s="192" t="str">
        <f t="shared" ref="BL150" ca="1" si="1217">IF($D150="-","-",$BL$5 + (W150-StartGridY) * (GapYDiff + $BV$7))</f>
        <v>-</v>
      </c>
      <c r="BM150" s="192" t="str">
        <f t="shared" ca="1" si="1090"/>
        <v>-</v>
      </c>
      <c r="BN150" s="192" t="str">
        <f t="shared" ca="1" si="1091"/>
        <v>-</v>
      </c>
      <c r="BO150" s="192" t="str">
        <f t="shared" ca="1" si="1092"/>
        <v>-</v>
      </c>
      <c r="BP150" s="192" t="str">
        <f t="shared" ca="1" si="1093"/>
        <v>-</v>
      </c>
      <c r="BQ150" s="192" t="str">
        <f ca="1">IF($D150="-","-",IF(LEN(K150)=0,1,IFERROR(MATCH(K150,Dashboard!$L$25:$L$31,0),1)))</f>
        <v>-</v>
      </c>
      <c r="CC150" s="143" t="str">
        <f t="shared" ref="CC150" ca="1" si="1218">IF($D150="-","-",IF(COUNTIF(IDSourceRange,E150)&gt;1,1,0))</f>
        <v>-</v>
      </c>
      <c r="CD150" s="143" t="str">
        <f t="shared" ref="CD150" ca="1" si="1219">IF($D150="-","-",  IF(LEN(M150)=0,0,IF(ISERROR(MATCH(M150,IDSourceRange,0)),1,0)) + IF(LEN(N150)=0,0,IF(ISERROR(MATCH(N150,IDSourceRange,0)),1,0)) + IF(LEN(O150)=0,0,IF(ISERROR(MATCH(O150,IDSourceRange,0)),1,0)) )</f>
        <v>-</v>
      </c>
      <c r="CE150" s="143" t="str">
        <f t="shared" ca="1" si="1121"/>
        <v>-</v>
      </c>
      <c r="CF150" s="143" t="s">
        <v>128</v>
      </c>
      <c r="CG150" s="143" t="str">
        <f t="shared" ref="CG150" ca="1" si="1220">IF($D150="-","-",IF(X150="-",0,IF(COUNTIF(GridCombinedRange,X150)&gt;1,1,0)))</f>
        <v>-</v>
      </c>
      <c r="CH150" s="143"/>
      <c r="CI150" s="143"/>
      <c r="CJ150" s="143"/>
      <c r="CK150" s="143"/>
      <c r="CL150" s="143"/>
    </row>
    <row r="151" spans="3:90" x14ac:dyDescent="0.3">
      <c r="C151" s="170">
        <v>145</v>
      </c>
      <c r="D151" s="111" t="str">
        <f ca="1">IF(COUNTA(OFFSET(Dashboard!$B$6,C151,0,1,COUNTA(Dashboard!$B$6:$H$6)))&gt;0,"Yes","-")</f>
        <v>-</v>
      </c>
      <c r="E151" s="170" t="str">
        <f ca="1">IF(D151="-","-",IF(LEN(INDEX(Dashboard!B$6:B$206,$C151+1))=0,"x"&amp;C151&amp;"x","x"&amp;INDEX(Dashboard!B$6:B$206,$C151+1)&amp;"x"))</f>
        <v>-</v>
      </c>
      <c r="F151" s="171" t="str">
        <f ca="1">IF(D151="-","-",IF(LEN(INDEX(Dashboard!$C$6:$C$206,C151+1))=0," ",INDEX(Dashboard!$C$6:$C$206,C151+1)))</f>
        <v>-</v>
      </c>
      <c r="G151" s="219" t="str">
        <f ca="1">IF(OR(D151="-",D151=""),"-",IF(LEN(INDEX(Dashboard!$D$6:$D$228,C151+1))=0,"", "x"&amp;SUBSTITUTE(SUBSTITUTE(INDEX(Dashboard!$D$6:$D$228,C151+1)," ",""),",","x,x")&amp;"x"))</f>
        <v>-</v>
      </c>
      <c r="H151" s="111" t="str">
        <f ca="1">IF(D151="-","-",TRIM(INDEX(Dashboard!$E$6:$E$206,C151+1)))</f>
        <v>-</v>
      </c>
      <c r="I151" s="111" t="str">
        <f ca="1">IF(D151="-","-",IF(LEN(INDEX(Dashboard!$F$6:$F$206,C151+1))=0,$BS$8,IF(ISERROR(MATCH(INDEX(Dashboard!$F$6:$F$206,C151+1),$BS$7:$BS$35,0)),$BS$8,INDEX(Dashboard!$F$6:$F$206,C151+1))))</f>
        <v>-</v>
      </c>
      <c r="J151" s="111" t="str">
        <f ca="1">IF(D151="-","-",SUBSTITUTE(INDEX(Dashboard!$G$6:$G$206,C151+1)," ",""))</f>
        <v>-</v>
      </c>
      <c r="K151" s="111" t="str">
        <f ca="1">IF(D151="-","-",IF(LEN(INDEX(Dashboard!$H$6:$H$206,C151+1))=0,"",INDEX(Dashboard!$H$6:$H$206,C151+1)))</f>
        <v>-</v>
      </c>
      <c r="M151" s="172" t="str">
        <f t="shared" ca="1" si="1187"/>
        <v>-</v>
      </c>
      <c r="N151" s="172" t="str">
        <f t="shared" ca="1" si="1187"/>
        <v>-</v>
      </c>
      <c r="O151" s="172" t="str">
        <f t="shared" ca="1" si="1187"/>
        <v>-</v>
      </c>
      <c r="P151" s="173" t="str">
        <f t="shared" ca="1" si="1080"/>
        <v>-</v>
      </c>
      <c r="Q151" s="172" t="str">
        <f t="shared" ca="1" si="1080"/>
        <v>-</v>
      </c>
      <c r="R151" s="172" t="str">
        <f t="shared" ca="1" si="1080"/>
        <v>-</v>
      </c>
      <c r="S151" s="174" t="str">
        <f t="array" aca="1" ref="S151" ca="1">IF($D151="-","-",SUM(IF(LEN(M151:O151)&gt;0,1,0)))</f>
        <v>-</v>
      </c>
      <c r="T151" s="175" t="str">
        <f t="array" aca="1" ref="T151" ca="1">IF(D151="-","-",SUM(IF(ISERROR(SEARCH(E151,$G$7:$G$206)),0,1)))</f>
        <v>-</v>
      </c>
      <c r="V151" s="204"/>
      <c r="W151" s="127"/>
      <c r="X151" s="177" t="str">
        <f t="shared" si="1097"/>
        <v>-</v>
      </c>
      <c r="Y151" s="178"/>
      <c r="Z151" s="127"/>
      <c r="AB151" s="179" t="str">
        <f t="shared" ca="1" si="1081"/>
        <v>-</v>
      </c>
      <c r="AC151" s="179" t="str">
        <f t="shared" ca="1" si="1081"/>
        <v>-</v>
      </c>
      <c r="AD151" s="179" t="str">
        <f t="shared" ca="1" si="1081"/>
        <v>-</v>
      </c>
      <c r="AJ151" s="181" t="str">
        <f t="shared" ca="1" si="1082"/>
        <v>-</v>
      </c>
      <c r="AK151" s="179" t="str">
        <f t="shared" ca="1" si="1083"/>
        <v>-</v>
      </c>
      <c r="AL151" s="179" t="str">
        <f t="shared" ca="1" si="1083"/>
        <v>-</v>
      </c>
      <c r="AM151" s="179" t="str">
        <f t="shared" ca="1" si="1083"/>
        <v>-</v>
      </c>
      <c r="AO151" s="182" t="str">
        <f t="shared" ca="1" si="1084"/>
        <v>-</v>
      </c>
      <c r="AP151" s="182" t="str">
        <f t="shared" ca="1" si="1084"/>
        <v>-</v>
      </c>
      <c r="AQ151" s="182" t="str">
        <f t="shared" ca="1" si="1084"/>
        <v>-</v>
      </c>
      <c r="AU151" s="185" t="str">
        <f t="shared" ref="AU151" ca="1" si="1221">IF($D151="-","-",IF(LEN(M151)=0,"", INDEX($AT$7:$AT$15,MATCH(IF($V151-INDEX(GridXRange,P151)&lt;0,"Negative",IF($V151-INDEX(GridXRange,P151)&gt;0,"Positive","Zero")) &amp; " - " &amp;IF($W151-INDEX(GridYRange,P151)&lt;0,"Negative",IF($W151-INDEX(GridYRange,P151)&gt;0,"Positive","Zero")),$AS$7:$AS$15,0))))</f>
        <v>-</v>
      </c>
      <c r="AV151" s="186" t="str">
        <f t="shared" ref="AV151" ca="1" si="1222">IF($D151="-","-",IF(LEN(N151)=0,"", INDEX($AT$7:$AT$15,MATCH(IF($V151-INDEX(GridXRange,Q151)&lt;0,"Negative",IF($V151-INDEX(GridXRange,Q151)&gt;0,"Positive","Zero")) &amp; " - " &amp;IF($W151-INDEX(GridYRange,Q151)&lt;0,"Negative",IF($W151-INDEX(GridYRange,Q151)&gt;0,"Positive","Zero")),$AS$7:$AS$15,0))))</f>
        <v>-</v>
      </c>
      <c r="AW151" s="186" t="str">
        <f t="shared" ref="AW151" ca="1" si="1223">IF($D151="-","-",IF(LEN(O151)=0,"", INDEX($AT$7:$AT$15,MATCH(IF($V151-INDEX(GridXRange,R151)&lt;0,"Negative",IF($V151-INDEX(GridXRange,R151)&gt;0,"Positive","Zero")) &amp; " - " &amp;IF($W151-INDEX(GridYRange,R151)&lt;0,"Negative",IF($W151-INDEX(GridYRange,R151)&gt;0,"Positive","Zero")),$AS$7:$AS$15,0))))</f>
        <v>-</v>
      </c>
      <c r="AX151" s="187"/>
      <c r="AY151" s="188"/>
      <c r="AZ151" s="188"/>
      <c r="BA151" s="184"/>
      <c r="BB151" s="187" t="str">
        <f t="shared" ca="1" si="1191"/>
        <v>-</v>
      </c>
      <c r="BC151" s="188" t="str">
        <f t="shared" ca="1" si="1191"/>
        <v>-</v>
      </c>
      <c r="BD151" s="188" t="str">
        <f t="shared" ca="1" si="1191"/>
        <v>-</v>
      </c>
      <c r="BE151" s="189" t="str">
        <f t="shared" ca="1" si="1191"/>
        <v>-</v>
      </c>
      <c r="BK151" s="192" t="str">
        <f t="shared" ref="BK151" ca="1" si="1224">IF($D151="-","-",$BK$5 + (V151-StartGridX) * (GapXDiff + $BW$7))</f>
        <v>-</v>
      </c>
      <c r="BL151" s="192" t="str">
        <f t="shared" ref="BL151" ca="1" si="1225">IF($D151="-","-",$BL$5 + (W151-StartGridY) * (GapYDiff + $BV$7))</f>
        <v>-</v>
      </c>
      <c r="BM151" s="192" t="str">
        <f t="shared" ca="1" si="1090"/>
        <v>-</v>
      </c>
      <c r="BN151" s="192" t="str">
        <f t="shared" ca="1" si="1091"/>
        <v>-</v>
      </c>
      <c r="BO151" s="192" t="str">
        <f t="shared" ca="1" si="1092"/>
        <v>-</v>
      </c>
      <c r="BP151" s="192" t="str">
        <f t="shared" ca="1" si="1093"/>
        <v>-</v>
      </c>
      <c r="BQ151" s="192" t="str">
        <f ca="1">IF($D151="-","-",IF(LEN(K151)=0,1,IFERROR(MATCH(K151,Dashboard!$L$25:$L$31,0),1)))</f>
        <v>-</v>
      </c>
      <c r="CC151" s="143" t="str">
        <f t="shared" ref="CC151" ca="1" si="1226">IF($D151="-","-",IF(COUNTIF(IDSourceRange,E151)&gt;1,1,0))</f>
        <v>-</v>
      </c>
      <c r="CD151" s="143" t="str">
        <f t="shared" ref="CD151" ca="1" si="1227">IF($D151="-","-",  IF(LEN(M151)=0,0,IF(ISERROR(MATCH(M151,IDSourceRange,0)),1,0)) + IF(LEN(N151)=0,0,IF(ISERROR(MATCH(N151,IDSourceRange,0)),1,0)) + IF(LEN(O151)=0,0,IF(ISERROR(MATCH(O151,IDSourceRange,0)),1,0)) )</f>
        <v>-</v>
      </c>
      <c r="CE151" s="143" t="str">
        <f t="shared" ca="1" si="1121"/>
        <v>-</v>
      </c>
      <c r="CF151" s="143" t="s">
        <v>128</v>
      </c>
      <c r="CG151" s="143" t="str">
        <f t="shared" ref="CG151" ca="1" si="1228">IF($D151="-","-",IF(X151="-",0,IF(COUNTIF(GridCombinedRange,X151)&gt;1,1,0)))</f>
        <v>-</v>
      </c>
      <c r="CH151" s="143"/>
      <c r="CI151" s="143"/>
      <c r="CJ151" s="143"/>
      <c r="CK151" s="143"/>
      <c r="CL151" s="143"/>
    </row>
    <row r="152" spans="3:90" x14ac:dyDescent="0.3">
      <c r="C152" s="170">
        <v>146</v>
      </c>
      <c r="D152" s="111" t="str">
        <f ca="1">IF(COUNTA(OFFSET(Dashboard!$B$6,C152,0,1,COUNTA(Dashboard!$B$6:$H$6)))&gt;0,"Yes","-")</f>
        <v>-</v>
      </c>
      <c r="E152" s="170" t="str">
        <f ca="1">IF(D152="-","-",IF(LEN(INDEX(Dashboard!B$6:B$206,$C152+1))=0,"x"&amp;C152&amp;"x","x"&amp;INDEX(Dashboard!B$6:B$206,$C152+1)&amp;"x"))</f>
        <v>-</v>
      </c>
      <c r="F152" s="171" t="str">
        <f ca="1">IF(D152="-","-",IF(LEN(INDEX(Dashboard!$C$6:$C$206,C152+1))=0," ",INDEX(Dashboard!$C$6:$C$206,C152+1)))</f>
        <v>-</v>
      </c>
      <c r="G152" s="219" t="str">
        <f ca="1">IF(OR(D152="-",D152=""),"-",IF(LEN(INDEX(Dashboard!$D$6:$D$228,C152+1))=0,"", "x"&amp;SUBSTITUTE(SUBSTITUTE(INDEX(Dashboard!$D$6:$D$228,C152+1)," ",""),",","x,x")&amp;"x"))</f>
        <v>-</v>
      </c>
      <c r="H152" s="111" t="str">
        <f ca="1">IF(D152="-","-",TRIM(INDEX(Dashboard!$E$6:$E$206,C152+1)))</f>
        <v>-</v>
      </c>
      <c r="I152" s="111" t="str">
        <f ca="1">IF(D152="-","-",IF(LEN(INDEX(Dashboard!$F$6:$F$206,C152+1))=0,$BS$8,IF(ISERROR(MATCH(INDEX(Dashboard!$F$6:$F$206,C152+1),$BS$7:$BS$35,0)),$BS$8,INDEX(Dashboard!$F$6:$F$206,C152+1))))</f>
        <v>-</v>
      </c>
      <c r="J152" s="111" t="str">
        <f ca="1">IF(D152="-","-",SUBSTITUTE(INDEX(Dashboard!$G$6:$G$206,C152+1)," ",""))</f>
        <v>-</v>
      </c>
      <c r="K152" s="219" t="str">
        <f ca="1">IF(D152="-","-",IF(LEN(INDEX(Dashboard!$H$6:$H$228,C152+1))=0,"",INDEX(Dashboard!$H$6:$H$228,C152+1)))</f>
        <v>-</v>
      </c>
      <c r="M152" s="172" t="str">
        <f t="shared" ca="1" si="1187"/>
        <v>-</v>
      </c>
      <c r="N152" s="172" t="str">
        <f t="shared" ca="1" si="1187"/>
        <v>-</v>
      </c>
      <c r="O152" s="172" t="str">
        <f t="shared" ca="1" si="1187"/>
        <v>-</v>
      </c>
      <c r="P152" s="173" t="str">
        <f t="shared" ca="1" si="1080"/>
        <v>-</v>
      </c>
      <c r="Q152" s="172" t="str">
        <f t="shared" ca="1" si="1080"/>
        <v>-</v>
      </c>
      <c r="R152" s="172" t="str">
        <f t="shared" ca="1" si="1080"/>
        <v>-</v>
      </c>
      <c r="S152" s="174" t="str">
        <f t="array" aca="1" ref="S152" ca="1">IF($D152="-","-",SUM(IF(LEN(M152:O152)&gt;0,1,0)))</f>
        <v>-</v>
      </c>
      <c r="T152" s="175" t="str">
        <f t="array" aca="1" ref="T152" ca="1">IF(D152="-","-",SUM(IF(ISERROR(SEARCH(E152,$G$7:$G$206)),0,1)))</f>
        <v>-</v>
      </c>
      <c r="V152" s="204"/>
      <c r="W152" s="127"/>
      <c r="X152" s="177" t="str">
        <f t="shared" si="1097"/>
        <v>-</v>
      </c>
      <c r="Y152" s="178"/>
      <c r="Z152" s="127"/>
      <c r="AB152" s="179" t="str">
        <f t="shared" ca="1" si="1081"/>
        <v>-</v>
      </c>
      <c r="AC152" s="179" t="str">
        <f t="shared" ca="1" si="1081"/>
        <v>-</v>
      </c>
      <c r="AD152" s="179" t="str">
        <f t="shared" ca="1" si="1081"/>
        <v>-</v>
      </c>
      <c r="AJ152" s="181" t="str">
        <f t="shared" ca="1" si="1082"/>
        <v>-</v>
      </c>
      <c r="AK152" s="179" t="str">
        <f t="shared" ca="1" si="1083"/>
        <v>-</v>
      </c>
      <c r="AL152" s="179" t="str">
        <f t="shared" ca="1" si="1083"/>
        <v>-</v>
      </c>
      <c r="AM152" s="179" t="str">
        <f t="shared" ca="1" si="1083"/>
        <v>-</v>
      </c>
      <c r="AO152" s="182" t="str">
        <f t="shared" ca="1" si="1084"/>
        <v>-</v>
      </c>
      <c r="AP152" s="182" t="str">
        <f t="shared" ca="1" si="1084"/>
        <v>-</v>
      </c>
      <c r="AQ152" s="182" t="str">
        <f t="shared" ca="1" si="1084"/>
        <v>-</v>
      </c>
      <c r="AU152" s="185" t="str">
        <f t="shared" ref="AU152" ca="1" si="1229">IF($D152="-","-",IF(LEN(M152)=0,"", INDEX($AT$7:$AT$15,MATCH(IF($V152-INDEX(GridXRange,P152)&lt;0,"Negative",IF($V152-INDEX(GridXRange,P152)&gt;0,"Positive","Zero")) &amp; " - " &amp;IF($W152-INDEX(GridYRange,P152)&lt;0,"Negative",IF($W152-INDEX(GridYRange,P152)&gt;0,"Positive","Zero")),$AS$7:$AS$15,0))))</f>
        <v>-</v>
      </c>
      <c r="AV152" s="186" t="str">
        <f t="shared" ref="AV152" ca="1" si="1230">IF($D152="-","-",IF(LEN(N152)=0,"", INDEX($AT$7:$AT$15,MATCH(IF($V152-INDEX(GridXRange,Q152)&lt;0,"Negative",IF($V152-INDEX(GridXRange,Q152)&gt;0,"Positive","Zero")) &amp; " - " &amp;IF($W152-INDEX(GridYRange,Q152)&lt;0,"Negative",IF($W152-INDEX(GridYRange,Q152)&gt;0,"Positive","Zero")),$AS$7:$AS$15,0))))</f>
        <v>-</v>
      </c>
      <c r="AW152" s="186" t="str">
        <f t="shared" ref="AW152" ca="1" si="1231">IF($D152="-","-",IF(LEN(O152)=0,"", INDEX($AT$7:$AT$15,MATCH(IF($V152-INDEX(GridXRange,R152)&lt;0,"Negative",IF($V152-INDEX(GridXRange,R152)&gt;0,"Positive","Zero")) &amp; " - " &amp;IF($W152-INDEX(GridYRange,R152)&lt;0,"Negative",IF($W152-INDEX(GridYRange,R152)&gt;0,"Positive","Zero")),$AS$7:$AS$15,0))))</f>
        <v>-</v>
      </c>
      <c r="AX152" s="187"/>
      <c r="AY152" s="188"/>
      <c r="AZ152" s="188"/>
      <c r="BA152" s="184"/>
      <c r="BB152" s="187" t="str">
        <f t="shared" ca="1" si="1191"/>
        <v>-</v>
      </c>
      <c r="BC152" s="188" t="str">
        <f t="shared" ca="1" si="1191"/>
        <v>-</v>
      </c>
      <c r="BD152" s="188" t="str">
        <f t="shared" ca="1" si="1191"/>
        <v>-</v>
      </c>
      <c r="BE152" s="189" t="str">
        <f t="shared" ca="1" si="1191"/>
        <v>-</v>
      </c>
      <c r="BK152" s="192" t="str">
        <f t="shared" ref="BK152" ca="1" si="1232">IF($D152="-","-",$BK$5 + (V152-StartGridX) * (GapXDiff + $BW$7))</f>
        <v>-</v>
      </c>
      <c r="BL152" s="192" t="str">
        <f t="shared" ref="BL152" ca="1" si="1233">IF($D152="-","-",$BL$5 + (W152-StartGridY) * (GapYDiff + $BV$7))</f>
        <v>-</v>
      </c>
      <c r="BM152" s="192" t="str">
        <f t="shared" ca="1" si="1090"/>
        <v>-</v>
      </c>
      <c r="BN152" s="192" t="str">
        <f t="shared" ca="1" si="1091"/>
        <v>-</v>
      </c>
      <c r="BO152" s="192" t="str">
        <f t="shared" ca="1" si="1092"/>
        <v>-</v>
      </c>
      <c r="BP152" s="192" t="str">
        <f t="shared" ca="1" si="1093"/>
        <v>-</v>
      </c>
      <c r="BQ152" s="192" t="str">
        <f ca="1">IF($D152="-","-",IF(LEN(K152)=0,1,IFERROR(MATCH(K152,Dashboard!$L$25:$L$31,0),1)))</f>
        <v>-</v>
      </c>
      <c r="CC152" s="143" t="str">
        <f t="shared" ref="CC152" ca="1" si="1234">IF($D152="-","-",IF(COUNTIF(IDSourceRange,E152)&gt;1,1,0))</f>
        <v>-</v>
      </c>
      <c r="CD152" s="143" t="str">
        <f t="shared" ref="CD152" ca="1" si="1235">IF($D152="-","-",  IF(LEN(M152)=0,0,IF(ISERROR(MATCH(M152,IDSourceRange,0)),1,0)) + IF(LEN(N152)=0,0,IF(ISERROR(MATCH(N152,IDSourceRange,0)),1,0)) + IF(LEN(O152)=0,0,IF(ISERROR(MATCH(O152,IDSourceRange,0)),1,0)) )</f>
        <v>-</v>
      </c>
      <c r="CE152" s="143" t="str">
        <f t="shared" ca="1" si="1121"/>
        <v>-</v>
      </c>
      <c r="CF152" s="143" t="s">
        <v>128</v>
      </c>
      <c r="CG152" s="143" t="str">
        <f t="shared" ref="CG152" ca="1" si="1236">IF($D152="-","-",IF(X152="-",0,IF(COUNTIF(GridCombinedRange,X152)&gt;1,1,0)))</f>
        <v>-</v>
      </c>
      <c r="CH152" s="143"/>
      <c r="CI152" s="143"/>
      <c r="CJ152" s="143"/>
      <c r="CK152" s="143"/>
      <c r="CL152" s="143"/>
    </row>
    <row r="153" spans="3:90" x14ac:dyDescent="0.3">
      <c r="C153" s="170">
        <v>147</v>
      </c>
      <c r="D153" s="111" t="str">
        <f ca="1">IF(COUNTA(OFFSET(Dashboard!$B$6,C153,0,1,COUNTA(Dashboard!$B$6:$H$6)))&gt;0,"Yes","-")</f>
        <v>-</v>
      </c>
      <c r="E153" s="170" t="str">
        <f ca="1">IF(D153="-","-",IF(LEN(INDEX(Dashboard!B$6:B$206,$C153+1))=0,"x"&amp;C153&amp;"x","x"&amp;INDEX(Dashboard!B$6:B$206,$C153+1)&amp;"x"))</f>
        <v>-</v>
      </c>
      <c r="F153" s="171" t="str">
        <f ca="1">IF(D153="-","-",IF(LEN(INDEX(Dashboard!$C$6:$C$206,C153+1))=0," ",INDEX(Dashboard!$C$6:$C$206,C153+1)))</f>
        <v>-</v>
      </c>
      <c r="G153" s="219" t="str">
        <f ca="1">IF(OR(D153="-",D153=""),"-",IF(LEN(INDEX(Dashboard!$D$6:$D$228,C153+1))=0,"", "x"&amp;SUBSTITUTE(SUBSTITUTE(INDEX(Dashboard!$D$6:$D$228,C153+1)," ",""),",","x,x")&amp;"x"))</f>
        <v>-</v>
      </c>
      <c r="H153" s="111" t="str">
        <f ca="1">IF(D153="-","-",TRIM(INDEX(Dashboard!$E$6:$E$206,C153+1)))</f>
        <v>-</v>
      </c>
      <c r="I153" s="111" t="str">
        <f ca="1">IF(D153="-","-",IF(LEN(INDEX(Dashboard!$F$6:$F$206,C153+1))=0,$BS$8,IF(ISERROR(MATCH(INDEX(Dashboard!$F$6:$F$206,C153+1),$BS$7:$BS$35,0)),$BS$8,INDEX(Dashboard!$F$6:$F$206,C153+1))))</f>
        <v>-</v>
      </c>
      <c r="J153" s="111" t="str">
        <f ca="1">IF(D153="-","-",SUBSTITUTE(INDEX(Dashboard!$G$6:$G$206,C153+1)," ",""))</f>
        <v>-</v>
      </c>
      <c r="K153" s="111" t="str">
        <f ca="1">IF(D153="-","-",IF(LEN(INDEX(Dashboard!$H$6:$H$206,C153+1))=0,"",INDEX(Dashboard!$H$6:$H$206,C153+1)))</f>
        <v>-</v>
      </c>
      <c r="M153" s="172" t="str">
        <f t="shared" ca="1" si="1187"/>
        <v>-</v>
      </c>
      <c r="N153" s="172" t="str">
        <f t="shared" ca="1" si="1187"/>
        <v>-</v>
      </c>
      <c r="O153" s="172" t="str">
        <f t="shared" ca="1" si="1187"/>
        <v>-</v>
      </c>
      <c r="P153" s="173" t="str">
        <f t="shared" ca="1" si="1080"/>
        <v>-</v>
      </c>
      <c r="Q153" s="172" t="str">
        <f t="shared" ca="1" si="1080"/>
        <v>-</v>
      </c>
      <c r="R153" s="172" t="str">
        <f t="shared" ca="1" si="1080"/>
        <v>-</v>
      </c>
      <c r="S153" s="174" t="str">
        <f t="array" aca="1" ref="S153" ca="1">IF($D153="-","-",SUM(IF(LEN(M153:O153)&gt;0,1,0)))</f>
        <v>-</v>
      </c>
      <c r="T153" s="175" t="str">
        <f t="array" aca="1" ref="T153" ca="1">IF(D153="-","-",SUM(IF(ISERROR(SEARCH(E153,$G$7:$G$206)),0,1)))</f>
        <v>-</v>
      </c>
      <c r="V153" s="204"/>
      <c r="W153" s="127"/>
      <c r="X153" s="177" t="str">
        <f t="shared" si="1097"/>
        <v>-</v>
      </c>
      <c r="Y153" s="178"/>
      <c r="Z153" s="127"/>
      <c r="AB153" s="179" t="str">
        <f t="shared" ca="1" si="1081"/>
        <v>-</v>
      </c>
      <c r="AC153" s="179" t="str">
        <f t="shared" ca="1" si="1081"/>
        <v>-</v>
      </c>
      <c r="AD153" s="179" t="str">
        <f t="shared" ca="1" si="1081"/>
        <v>-</v>
      </c>
      <c r="AJ153" s="181" t="str">
        <f t="shared" ca="1" si="1082"/>
        <v>-</v>
      </c>
      <c r="AK153" s="179" t="str">
        <f t="shared" ca="1" si="1083"/>
        <v>-</v>
      </c>
      <c r="AL153" s="179" t="str">
        <f t="shared" ca="1" si="1083"/>
        <v>-</v>
      </c>
      <c r="AM153" s="179" t="str">
        <f t="shared" ca="1" si="1083"/>
        <v>-</v>
      </c>
      <c r="AO153" s="182" t="str">
        <f t="shared" ca="1" si="1084"/>
        <v>-</v>
      </c>
      <c r="AP153" s="182" t="str">
        <f t="shared" ca="1" si="1084"/>
        <v>-</v>
      </c>
      <c r="AQ153" s="182" t="str">
        <f t="shared" ca="1" si="1084"/>
        <v>-</v>
      </c>
      <c r="AU153" s="185" t="str">
        <f t="shared" ref="AU153" ca="1" si="1237">IF($D153="-","-",IF(LEN(M153)=0,"", INDEX($AT$7:$AT$15,MATCH(IF($V153-INDEX(GridXRange,P153)&lt;0,"Negative",IF($V153-INDEX(GridXRange,P153)&gt;0,"Positive","Zero")) &amp; " - " &amp;IF($W153-INDEX(GridYRange,P153)&lt;0,"Negative",IF($W153-INDEX(GridYRange,P153)&gt;0,"Positive","Zero")),$AS$7:$AS$15,0))))</f>
        <v>-</v>
      </c>
      <c r="AV153" s="186" t="str">
        <f t="shared" ref="AV153" ca="1" si="1238">IF($D153="-","-",IF(LEN(N153)=0,"", INDEX($AT$7:$AT$15,MATCH(IF($V153-INDEX(GridXRange,Q153)&lt;0,"Negative",IF($V153-INDEX(GridXRange,Q153)&gt;0,"Positive","Zero")) &amp; " - " &amp;IF($W153-INDEX(GridYRange,Q153)&lt;0,"Negative",IF($W153-INDEX(GridYRange,Q153)&gt;0,"Positive","Zero")),$AS$7:$AS$15,0))))</f>
        <v>-</v>
      </c>
      <c r="AW153" s="186" t="str">
        <f t="shared" ref="AW153" ca="1" si="1239">IF($D153="-","-",IF(LEN(O153)=0,"", INDEX($AT$7:$AT$15,MATCH(IF($V153-INDEX(GridXRange,R153)&lt;0,"Negative",IF($V153-INDEX(GridXRange,R153)&gt;0,"Positive","Zero")) &amp; " - " &amp;IF($W153-INDEX(GridYRange,R153)&lt;0,"Negative",IF($W153-INDEX(GridYRange,R153)&gt;0,"Positive","Zero")),$AS$7:$AS$15,0))))</f>
        <v>-</v>
      </c>
      <c r="AX153" s="187"/>
      <c r="AY153" s="188"/>
      <c r="AZ153" s="188"/>
      <c r="BA153" s="184"/>
      <c r="BB153" s="187" t="str">
        <f t="shared" ca="1" si="1191"/>
        <v>-</v>
      </c>
      <c r="BC153" s="188" t="str">
        <f t="shared" ca="1" si="1191"/>
        <v>-</v>
      </c>
      <c r="BD153" s="188" t="str">
        <f t="shared" ca="1" si="1191"/>
        <v>-</v>
      </c>
      <c r="BE153" s="189" t="str">
        <f t="shared" ca="1" si="1191"/>
        <v>-</v>
      </c>
      <c r="BK153" s="192" t="str">
        <f t="shared" ref="BK153" ca="1" si="1240">IF($D153="-","-",$BK$5 + (V153-StartGridX) * (GapXDiff + $BW$7))</f>
        <v>-</v>
      </c>
      <c r="BL153" s="192" t="str">
        <f t="shared" ref="BL153" ca="1" si="1241">IF($D153="-","-",$BL$5 + (W153-StartGridY) * (GapYDiff + $BV$7))</f>
        <v>-</v>
      </c>
      <c r="BM153" s="192" t="str">
        <f t="shared" ca="1" si="1090"/>
        <v>-</v>
      </c>
      <c r="BN153" s="192" t="str">
        <f t="shared" ca="1" si="1091"/>
        <v>-</v>
      </c>
      <c r="BO153" s="192" t="str">
        <f t="shared" ca="1" si="1092"/>
        <v>-</v>
      </c>
      <c r="BP153" s="192" t="str">
        <f t="shared" ca="1" si="1093"/>
        <v>-</v>
      </c>
      <c r="BQ153" s="192" t="str">
        <f ca="1">IF($D153="-","-",IF(LEN(K153)=0,1,IFERROR(MATCH(K153,Dashboard!$L$25:$L$31,0),1)))</f>
        <v>-</v>
      </c>
      <c r="CC153" s="143" t="str">
        <f t="shared" ref="CC153" ca="1" si="1242">IF($D153="-","-",IF(COUNTIF(IDSourceRange,E153)&gt;1,1,0))</f>
        <v>-</v>
      </c>
      <c r="CD153" s="143" t="str">
        <f t="shared" ref="CD153" ca="1" si="1243">IF($D153="-","-",  IF(LEN(M153)=0,0,IF(ISERROR(MATCH(M153,IDSourceRange,0)),1,0)) + IF(LEN(N153)=0,0,IF(ISERROR(MATCH(N153,IDSourceRange,0)),1,0)) + IF(LEN(O153)=0,0,IF(ISERROR(MATCH(O153,IDSourceRange,0)),1,0)) )</f>
        <v>-</v>
      </c>
      <c r="CE153" s="143" t="str">
        <f t="shared" ca="1" si="1121"/>
        <v>-</v>
      </c>
      <c r="CF153" s="143" t="s">
        <v>128</v>
      </c>
      <c r="CG153" s="143" t="str">
        <f t="shared" ref="CG153" ca="1" si="1244">IF($D153="-","-",IF(X153="-",0,IF(COUNTIF(GridCombinedRange,X153)&gt;1,1,0)))</f>
        <v>-</v>
      </c>
      <c r="CH153" s="143"/>
      <c r="CI153" s="143"/>
      <c r="CJ153" s="143"/>
      <c r="CK153" s="143"/>
      <c r="CL153" s="143"/>
    </row>
    <row r="154" spans="3:90" x14ac:dyDescent="0.3">
      <c r="C154" s="170">
        <v>148</v>
      </c>
      <c r="D154" s="111" t="str">
        <f ca="1">IF(COUNTA(OFFSET(Dashboard!$B$6,C154,0,1,COUNTA(Dashboard!$B$6:$H$6)))&gt;0,"Yes","-")</f>
        <v>-</v>
      </c>
      <c r="E154" s="170" t="str">
        <f ca="1">IF(D154="-","-",IF(LEN(INDEX(Dashboard!B$6:B$206,$C154+1))=0,"x"&amp;C154&amp;"x","x"&amp;INDEX(Dashboard!B$6:B$206,$C154+1)&amp;"x"))</f>
        <v>-</v>
      </c>
      <c r="F154" s="171" t="str">
        <f ca="1">IF(D154="-","-",IF(LEN(INDEX(Dashboard!$C$6:$C$206,C154+1))=0," ",INDEX(Dashboard!$C$6:$C$206,C154+1)))</f>
        <v>-</v>
      </c>
      <c r="G154" s="219" t="str">
        <f ca="1">IF(OR(D154="-",D154=""),"-",IF(LEN(INDEX(Dashboard!$D$6:$D$228,C154+1))=0,"", "x"&amp;SUBSTITUTE(SUBSTITUTE(INDEX(Dashboard!$D$6:$D$228,C154+1)," ",""),",","x,x")&amp;"x"))</f>
        <v>-</v>
      </c>
      <c r="H154" s="111" t="str">
        <f ca="1">IF(D154="-","-",TRIM(INDEX(Dashboard!$E$6:$E$206,C154+1)))</f>
        <v>-</v>
      </c>
      <c r="I154" s="111" t="str">
        <f ca="1">IF(D154="-","-",IF(LEN(INDEX(Dashboard!$F$6:$F$206,C154+1))=0,$BS$8,IF(ISERROR(MATCH(INDEX(Dashboard!$F$6:$F$206,C154+1),$BS$7:$BS$35,0)),$BS$8,INDEX(Dashboard!$F$6:$F$206,C154+1))))</f>
        <v>-</v>
      </c>
      <c r="J154" s="111" t="str">
        <f ca="1">IF(D154="-","-",SUBSTITUTE(INDEX(Dashboard!$G$6:$G$206,C154+1)," ",""))</f>
        <v>-</v>
      </c>
      <c r="K154" s="111" t="str">
        <f ca="1">IF(D154="-","-",IF(LEN(INDEX(Dashboard!$H$6:$H$206,C154+1))=0,"",INDEX(Dashboard!$H$6:$H$206,C154+1)))</f>
        <v>-</v>
      </c>
      <c r="M154" s="172" t="str">
        <f t="shared" ca="1" si="1187"/>
        <v>-</v>
      </c>
      <c r="N154" s="172" t="str">
        <f t="shared" ca="1" si="1187"/>
        <v>-</v>
      </c>
      <c r="O154" s="172" t="str">
        <f t="shared" ca="1" si="1187"/>
        <v>-</v>
      </c>
      <c r="P154" s="173" t="str">
        <f t="shared" ca="1" si="1080"/>
        <v>-</v>
      </c>
      <c r="Q154" s="172" t="str">
        <f t="shared" ca="1" si="1080"/>
        <v>-</v>
      </c>
      <c r="R154" s="172" t="str">
        <f t="shared" ca="1" si="1080"/>
        <v>-</v>
      </c>
      <c r="S154" s="174" t="str">
        <f t="array" aca="1" ref="S154" ca="1">IF($D154="-","-",SUM(IF(LEN(M154:O154)&gt;0,1,0)))</f>
        <v>-</v>
      </c>
      <c r="T154" s="175" t="str">
        <f t="array" aca="1" ref="T154" ca="1">IF(D154="-","-",SUM(IF(ISERROR(SEARCH(E154,$G$7:$G$206)),0,1)))</f>
        <v>-</v>
      </c>
      <c r="V154" s="204"/>
      <c r="W154" s="127"/>
      <c r="X154" s="177" t="str">
        <f t="shared" si="1097"/>
        <v>-</v>
      </c>
      <c r="Y154" s="178"/>
      <c r="Z154" s="127"/>
      <c r="AB154" s="179" t="str">
        <f t="shared" ca="1" si="1081"/>
        <v>-</v>
      </c>
      <c r="AC154" s="179" t="str">
        <f t="shared" ca="1" si="1081"/>
        <v>-</v>
      </c>
      <c r="AD154" s="179" t="str">
        <f t="shared" ca="1" si="1081"/>
        <v>-</v>
      </c>
      <c r="AJ154" s="181" t="str">
        <f t="shared" ca="1" si="1082"/>
        <v>-</v>
      </c>
      <c r="AK154" s="179" t="str">
        <f t="shared" ca="1" si="1083"/>
        <v>-</v>
      </c>
      <c r="AL154" s="179" t="str">
        <f t="shared" ca="1" si="1083"/>
        <v>-</v>
      </c>
      <c r="AM154" s="179" t="str">
        <f t="shared" ca="1" si="1083"/>
        <v>-</v>
      </c>
      <c r="AO154" s="182" t="str">
        <f t="shared" ca="1" si="1084"/>
        <v>-</v>
      </c>
      <c r="AP154" s="182" t="str">
        <f t="shared" ca="1" si="1084"/>
        <v>-</v>
      </c>
      <c r="AQ154" s="182" t="str">
        <f t="shared" ca="1" si="1084"/>
        <v>-</v>
      </c>
      <c r="AU154" s="185" t="str">
        <f t="shared" ref="AU154" ca="1" si="1245">IF($D154="-","-",IF(LEN(M154)=0,"", INDEX($AT$7:$AT$15,MATCH(IF($V154-INDEX(GridXRange,P154)&lt;0,"Negative",IF($V154-INDEX(GridXRange,P154)&gt;0,"Positive","Zero")) &amp; " - " &amp;IF($W154-INDEX(GridYRange,P154)&lt;0,"Negative",IF($W154-INDEX(GridYRange,P154)&gt;0,"Positive","Zero")),$AS$7:$AS$15,0))))</f>
        <v>-</v>
      </c>
      <c r="AV154" s="186" t="str">
        <f t="shared" ref="AV154" ca="1" si="1246">IF($D154="-","-",IF(LEN(N154)=0,"", INDEX($AT$7:$AT$15,MATCH(IF($V154-INDEX(GridXRange,Q154)&lt;0,"Negative",IF($V154-INDEX(GridXRange,Q154)&gt;0,"Positive","Zero")) &amp; " - " &amp;IF($W154-INDEX(GridYRange,Q154)&lt;0,"Negative",IF($W154-INDEX(GridYRange,Q154)&gt;0,"Positive","Zero")),$AS$7:$AS$15,0))))</f>
        <v>-</v>
      </c>
      <c r="AW154" s="186" t="str">
        <f t="shared" ref="AW154" ca="1" si="1247">IF($D154="-","-",IF(LEN(O154)=0,"", INDEX($AT$7:$AT$15,MATCH(IF($V154-INDEX(GridXRange,R154)&lt;0,"Negative",IF($V154-INDEX(GridXRange,R154)&gt;0,"Positive","Zero")) &amp; " - " &amp;IF($W154-INDEX(GridYRange,R154)&lt;0,"Negative",IF($W154-INDEX(GridYRange,R154)&gt;0,"Positive","Zero")),$AS$7:$AS$15,0))))</f>
        <v>-</v>
      </c>
      <c r="AX154" s="187"/>
      <c r="AY154" s="188"/>
      <c r="AZ154" s="188"/>
      <c r="BA154" s="184"/>
      <c r="BB154" s="187" t="str">
        <f t="shared" ca="1" si="1191"/>
        <v>-</v>
      </c>
      <c r="BC154" s="188" t="str">
        <f t="shared" ca="1" si="1191"/>
        <v>-</v>
      </c>
      <c r="BD154" s="188" t="str">
        <f t="shared" ca="1" si="1191"/>
        <v>-</v>
      </c>
      <c r="BE154" s="189" t="str">
        <f t="shared" ca="1" si="1191"/>
        <v>-</v>
      </c>
      <c r="BK154" s="192" t="str">
        <f t="shared" ref="BK154" ca="1" si="1248">IF($D154="-","-",$BK$5 + (V154-StartGridX) * (GapXDiff + $BW$7))</f>
        <v>-</v>
      </c>
      <c r="BL154" s="192" t="str">
        <f t="shared" ref="BL154" ca="1" si="1249">IF($D154="-","-",$BL$5 + (W154-StartGridY) * (GapYDiff + $BV$7))</f>
        <v>-</v>
      </c>
      <c r="BM154" s="192" t="str">
        <f t="shared" ca="1" si="1090"/>
        <v>-</v>
      </c>
      <c r="BN154" s="192" t="str">
        <f t="shared" ca="1" si="1091"/>
        <v>-</v>
      </c>
      <c r="BO154" s="192" t="str">
        <f t="shared" ca="1" si="1092"/>
        <v>-</v>
      </c>
      <c r="BP154" s="192" t="str">
        <f t="shared" ca="1" si="1093"/>
        <v>-</v>
      </c>
      <c r="BQ154" s="192" t="str">
        <f ca="1">IF($D154="-","-",IF(LEN(K154)=0,1,IFERROR(MATCH(K154,Dashboard!$L$25:$L$31,0),1)))</f>
        <v>-</v>
      </c>
      <c r="CC154" s="143" t="str">
        <f t="shared" ref="CC154" ca="1" si="1250">IF($D154="-","-",IF(COUNTIF(IDSourceRange,E154)&gt;1,1,0))</f>
        <v>-</v>
      </c>
      <c r="CD154" s="143" t="str">
        <f t="shared" ref="CD154" ca="1" si="1251">IF($D154="-","-",  IF(LEN(M154)=0,0,IF(ISERROR(MATCH(M154,IDSourceRange,0)),1,0)) + IF(LEN(N154)=0,0,IF(ISERROR(MATCH(N154,IDSourceRange,0)),1,0)) + IF(LEN(O154)=0,0,IF(ISERROR(MATCH(O154,IDSourceRange,0)),1,0)) )</f>
        <v>-</v>
      </c>
      <c r="CE154" s="143" t="str">
        <f t="shared" ca="1" si="1121"/>
        <v>-</v>
      </c>
      <c r="CF154" s="143" t="s">
        <v>128</v>
      </c>
      <c r="CG154" s="143" t="str">
        <f t="shared" ref="CG154" ca="1" si="1252">IF($D154="-","-",IF(X154="-",0,IF(COUNTIF(GridCombinedRange,X154)&gt;1,1,0)))</f>
        <v>-</v>
      </c>
      <c r="CH154" s="143"/>
      <c r="CI154" s="143"/>
      <c r="CJ154" s="143"/>
      <c r="CK154" s="143"/>
      <c r="CL154" s="143"/>
    </row>
    <row r="155" spans="3:90" x14ac:dyDescent="0.3">
      <c r="C155" s="170">
        <v>149</v>
      </c>
      <c r="D155" s="111" t="str">
        <f ca="1">IF(COUNTA(OFFSET(Dashboard!$B$6,C155,0,1,COUNTA(Dashboard!$B$6:$H$6)))&gt;0,"Yes","-")</f>
        <v>-</v>
      </c>
      <c r="E155" s="170" t="str">
        <f ca="1">IF(D155="-","-",IF(LEN(INDEX(Dashboard!B$6:B$206,$C155+1))=0,"x"&amp;C155&amp;"x","x"&amp;INDEX(Dashboard!B$6:B$206,$C155+1)&amp;"x"))</f>
        <v>-</v>
      </c>
      <c r="F155" s="171" t="str">
        <f ca="1">IF(D155="-","-",IF(LEN(INDEX(Dashboard!$C$6:$C$206,C155+1))=0," ",INDEX(Dashboard!$C$6:$C$206,C155+1)))</f>
        <v>-</v>
      </c>
      <c r="G155" s="219" t="str">
        <f ca="1">IF(OR(D155="-",D155=""),"-",IF(LEN(INDEX(Dashboard!$D$6:$D$228,C155+1))=0,"", "x"&amp;SUBSTITUTE(SUBSTITUTE(INDEX(Dashboard!$D$6:$D$228,C155+1)," ",""),",","x,x")&amp;"x"))</f>
        <v>-</v>
      </c>
      <c r="H155" s="111" t="str">
        <f ca="1">IF(D155="-","-",TRIM(INDEX(Dashboard!$E$6:$E$206,C155+1)))</f>
        <v>-</v>
      </c>
      <c r="I155" s="111" t="str">
        <f ca="1">IF(D155="-","-",IF(LEN(INDEX(Dashboard!$F$6:$F$206,C155+1))=0,$BS$8,IF(ISERROR(MATCH(INDEX(Dashboard!$F$6:$F$206,C155+1),$BS$7:$BS$35,0)),$BS$8,INDEX(Dashboard!$F$6:$F$206,C155+1))))</f>
        <v>-</v>
      </c>
      <c r="J155" s="111" t="str">
        <f ca="1">IF(D155="-","-",SUBSTITUTE(INDEX(Dashboard!$G$6:$G$206,C155+1)," ",""))</f>
        <v>-</v>
      </c>
      <c r="K155" s="111" t="str">
        <f ca="1">IF(D155="-","-",IF(LEN(INDEX(Dashboard!$H$6:$H$206,C155+1))=0,"",INDEX(Dashboard!$H$6:$H$206,C155+1)))</f>
        <v>-</v>
      </c>
      <c r="M155" s="172" t="str">
        <f t="shared" ca="1" si="1187"/>
        <v>-</v>
      </c>
      <c r="N155" s="172" t="str">
        <f t="shared" ca="1" si="1187"/>
        <v>-</v>
      </c>
      <c r="O155" s="172" t="str">
        <f t="shared" ca="1" si="1187"/>
        <v>-</v>
      </c>
      <c r="P155" s="173" t="str">
        <f t="shared" ca="1" si="1080"/>
        <v>-</v>
      </c>
      <c r="Q155" s="172" t="str">
        <f t="shared" ca="1" si="1080"/>
        <v>-</v>
      </c>
      <c r="R155" s="172" t="str">
        <f t="shared" ca="1" si="1080"/>
        <v>-</v>
      </c>
      <c r="S155" s="174" t="str">
        <f t="array" aca="1" ref="S155" ca="1">IF($D155="-","-",SUM(IF(LEN(M155:O155)&gt;0,1,0)))</f>
        <v>-</v>
      </c>
      <c r="T155" s="175" t="str">
        <f t="array" aca="1" ref="T155" ca="1">IF(D155="-","-",SUM(IF(ISERROR(SEARCH(E155,$G$7:$G$206)),0,1)))</f>
        <v>-</v>
      </c>
      <c r="V155" s="204"/>
      <c r="W155" s="127"/>
      <c r="X155" s="177" t="str">
        <f t="shared" si="1097"/>
        <v>-</v>
      </c>
      <c r="Y155" s="178"/>
      <c r="Z155" s="127"/>
      <c r="AB155" s="179" t="str">
        <f t="shared" ca="1" si="1081"/>
        <v>-</v>
      </c>
      <c r="AC155" s="179" t="str">
        <f t="shared" ca="1" si="1081"/>
        <v>-</v>
      </c>
      <c r="AD155" s="179" t="str">
        <f t="shared" ca="1" si="1081"/>
        <v>-</v>
      </c>
      <c r="AJ155" s="181" t="str">
        <f t="shared" ca="1" si="1082"/>
        <v>-</v>
      </c>
      <c r="AK155" s="179" t="str">
        <f t="shared" ca="1" si="1083"/>
        <v>-</v>
      </c>
      <c r="AL155" s="179" t="str">
        <f t="shared" ca="1" si="1083"/>
        <v>-</v>
      </c>
      <c r="AM155" s="179" t="str">
        <f t="shared" ca="1" si="1083"/>
        <v>-</v>
      </c>
      <c r="AO155" s="182" t="str">
        <f t="shared" ca="1" si="1084"/>
        <v>-</v>
      </c>
      <c r="AP155" s="182" t="str">
        <f t="shared" ca="1" si="1084"/>
        <v>-</v>
      </c>
      <c r="AQ155" s="182" t="str">
        <f t="shared" ca="1" si="1084"/>
        <v>-</v>
      </c>
      <c r="AU155" s="185" t="str">
        <f t="shared" ref="AU155" ca="1" si="1253">IF($D155="-","-",IF(LEN(M155)=0,"", INDEX($AT$7:$AT$15,MATCH(IF($V155-INDEX(GridXRange,P155)&lt;0,"Negative",IF($V155-INDEX(GridXRange,P155)&gt;0,"Positive","Zero")) &amp; " - " &amp;IF($W155-INDEX(GridYRange,P155)&lt;0,"Negative",IF($W155-INDEX(GridYRange,P155)&gt;0,"Positive","Zero")),$AS$7:$AS$15,0))))</f>
        <v>-</v>
      </c>
      <c r="AV155" s="186" t="str">
        <f t="shared" ref="AV155" ca="1" si="1254">IF($D155="-","-",IF(LEN(N155)=0,"", INDEX($AT$7:$AT$15,MATCH(IF($V155-INDEX(GridXRange,Q155)&lt;0,"Negative",IF($V155-INDEX(GridXRange,Q155)&gt;0,"Positive","Zero")) &amp; " - " &amp;IF($W155-INDEX(GridYRange,Q155)&lt;0,"Negative",IF($W155-INDEX(GridYRange,Q155)&gt;0,"Positive","Zero")),$AS$7:$AS$15,0))))</f>
        <v>-</v>
      </c>
      <c r="AW155" s="186" t="str">
        <f t="shared" ref="AW155" ca="1" si="1255">IF($D155="-","-",IF(LEN(O155)=0,"", INDEX($AT$7:$AT$15,MATCH(IF($V155-INDEX(GridXRange,R155)&lt;0,"Negative",IF($V155-INDEX(GridXRange,R155)&gt;0,"Positive","Zero")) &amp; " - " &amp;IF($W155-INDEX(GridYRange,R155)&lt;0,"Negative",IF($W155-INDEX(GridYRange,R155)&gt;0,"Positive","Zero")),$AS$7:$AS$15,0))))</f>
        <v>-</v>
      </c>
      <c r="AX155" s="187"/>
      <c r="AY155" s="188"/>
      <c r="AZ155" s="188"/>
      <c r="BA155" s="184"/>
      <c r="BB155" s="187" t="str">
        <f t="shared" ca="1" si="1191"/>
        <v>-</v>
      </c>
      <c r="BC155" s="188" t="str">
        <f t="shared" ca="1" si="1191"/>
        <v>-</v>
      </c>
      <c r="BD155" s="188" t="str">
        <f t="shared" ca="1" si="1191"/>
        <v>-</v>
      </c>
      <c r="BE155" s="189" t="str">
        <f t="shared" ca="1" si="1191"/>
        <v>-</v>
      </c>
      <c r="BK155" s="192" t="str">
        <f t="shared" ref="BK155" ca="1" si="1256">IF($D155="-","-",$BK$5 + (V155-StartGridX) * (GapXDiff + $BW$7))</f>
        <v>-</v>
      </c>
      <c r="BL155" s="192" t="str">
        <f t="shared" ref="BL155" ca="1" si="1257">IF($D155="-","-",$BL$5 + (W155-StartGridY) * (GapYDiff + $BV$7))</f>
        <v>-</v>
      </c>
      <c r="BM155" s="192" t="str">
        <f t="shared" ca="1" si="1090"/>
        <v>-</v>
      </c>
      <c r="BN155" s="192" t="str">
        <f t="shared" ca="1" si="1091"/>
        <v>-</v>
      </c>
      <c r="BO155" s="192" t="str">
        <f t="shared" ca="1" si="1092"/>
        <v>-</v>
      </c>
      <c r="BP155" s="192" t="str">
        <f t="shared" ca="1" si="1093"/>
        <v>-</v>
      </c>
      <c r="BQ155" s="192" t="str">
        <f ca="1">IF($D155="-","-",IF(LEN(K155)=0,1,IFERROR(MATCH(K155,Dashboard!$L$25:$L$31,0),1)))</f>
        <v>-</v>
      </c>
      <c r="CC155" s="143" t="str">
        <f t="shared" ref="CC155" ca="1" si="1258">IF($D155="-","-",IF(COUNTIF(IDSourceRange,E155)&gt;1,1,0))</f>
        <v>-</v>
      </c>
      <c r="CD155" s="143" t="str">
        <f t="shared" ref="CD155" ca="1" si="1259">IF($D155="-","-",  IF(LEN(M155)=0,0,IF(ISERROR(MATCH(M155,IDSourceRange,0)),1,0)) + IF(LEN(N155)=0,0,IF(ISERROR(MATCH(N155,IDSourceRange,0)),1,0)) + IF(LEN(O155)=0,0,IF(ISERROR(MATCH(O155,IDSourceRange,0)),1,0)) )</f>
        <v>-</v>
      </c>
      <c r="CE155" s="143" t="str">
        <f t="shared" ca="1" si="1121"/>
        <v>-</v>
      </c>
      <c r="CF155" s="143" t="s">
        <v>128</v>
      </c>
      <c r="CG155" s="143" t="str">
        <f t="shared" ref="CG155" ca="1" si="1260">IF($D155="-","-",IF(X155="-",0,IF(COUNTIF(GridCombinedRange,X155)&gt;1,1,0)))</f>
        <v>-</v>
      </c>
      <c r="CH155" s="143"/>
      <c r="CI155" s="143"/>
      <c r="CJ155" s="143"/>
      <c r="CK155" s="143"/>
      <c r="CL155" s="143"/>
    </row>
    <row r="156" spans="3:90" x14ac:dyDescent="0.3">
      <c r="C156" s="170">
        <v>150</v>
      </c>
      <c r="D156" s="111" t="str">
        <f ca="1">IF(COUNTA(OFFSET(Dashboard!$B$6,C156,0,1,COUNTA(Dashboard!$B$6:$H$6)))&gt;0,"Yes","-")</f>
        <v>-</v>
      </c>
      <c r="E156" s="170" t="str">
        <f ca="1">IF(D156="-","-",IF(LEN(INDEX(Dashboard!B$6:B$206,$C156+1))=0,"x"&amp;C156&amp;"x","x"&amp;INDEX(Dashboard!B$6:B$206,$C156+1)&amp;"x"))</f>
        <v>-</v>
      </c>
      <c r="F156" s="171" t="str">
        <f ca="1">IF(D156="-","-",IF(LEN(INDEX(Dashboard!$C$6:$C$206,C156+1))=0," ",INDEX(Dashboard!$C$6:$C$206,C156+1)))</f>
        <v>-</v>
      </c>
      <c r="G156" s="219" t="str">
        <f ca="1">IF(OR(D156="-",D156=""),"-",IF(LEN(INDEX(Dashboard!$D$6:$D$228,C156+1))=0,"", "x"&amp;SUBSTITUTE(SUBSTITUTE(INDEX(Dashboard!$D$6:$D$228,C156+1)," ",""),",","x,x")&amp;"x"))</f>
        <v>-</v>
      </c>
      <c r="H156" s="111" t="str">
        <f ca="1">IF(D156="-","-",TRIM(INDEX(Dashboard!$E$6:$E$206,C156+1)))</f>
        <v>-</v>
      </c>
      <c r="I156" s="111" t="str">
        <f ca="1">IF(D156="-","-",IF(LEN(INDEX(Dashboard!$F$6:$F$206,C156+1))=0,$BS$8,IF(ISERROR(MATCH(INDEX(Dashboard!$F$6:$F$206,C156+1),$BS$7:$BS$35,0)),$BS$8,INDEX(Dashboard!$F$6:$F$206,C156+1))))</f>
        <v>-</v>
      </c>
      <c r="J156" s="111" t="str">
        <f ca="1">IF(D156="-","-",SUBSTITUTE(INDEX(Dashboard!$G$6:$G$206,C156+1)," ",""))</f>
        <v>-</v>
      </c>
      <c r="K156" s="111" t="str">
        <f ca="1">IF(D156="-","-",IF(LEN(INDEX(Dashboard!$H$6:$H$206,C156+1))=0,"",INDEX(Dashboard!$H$6:$H$206,C156+1)))</f>
        <v>-</v>
      </c>
      <c r="M156" s="172" t="str">
        <f t="shared" ca="1" si="1187"/>
        <v>-</v>
      </c>
      <c r="N156" s="172" t="str">
        <f t="shared" ca="1" si="1187"/>
        <v>-</v>
      </c>
      <c r="O156" s="172" t="str">
        <f t="shared" ca="1" si="1187"/>
        <v>-</v>
      </c>
      <c r="P156" s="173" t="str">
        <f t="shared" ca="1" si="1080"/>
        <v>-</v>
      </c>
      <c r="Q156" s="172" t="str">
        <f t="shared" ca="1" si="1080"/>
        <v>-</v>
      </c>
      <c r="R156" s="172" t="str">
        <f t="shared" ca="1" si="1080"/>
        <v>-</v>
      </c>
      <c r="S156" s="174" t="str">
        <f t="array" aca="1" ref="S156" ca="1">IF($D156="-","-",SUM(IF(LEN(M156:O156)&gt;0,1,0)))</f>
        <v>-</v>
      </c>
      <c r="T156" s="175" t="str">
        <f t="array" aca="1" ref="T156" ca="1">IF(D156="-","-",SUM(IF(ISERROR(SEARCH(E156,$G$7:$G$206)),0,1)))</f>
        <v>-</v>
      </c>
      <c r="V156" s="204"/>
      <c r="W156" s="127"/>
      <c r="X156" s="177" t="str">
        <f t="shared" si="1097"/>
        <v>-</v>
      </c>
      <c r="Y156" s="178"/>
      <c r="Z156" s="127"/>
      <c r="AB156" s="179" t="str">
        <f t="shared" ca="1" si="1081"/>
        <v>-</v>
      </c>
      <c r="AC156" s="179" t="str">
        <f t="shared" ca="1" si="1081"/>
        <v>-</v>
      </c>
      <c r="AD156" s="179" t="str">
        <f t="shared" ca="1" si="1081"/>
        <v>-</v>
      </c>
      <c r="AJ156" s="181" t="str">
        <f t="shared" ca="1" si="1082"/>
        <v>-</v>
      </c>
      <c r="AK156" s="179" t="str">
        <f t="shared" ca="1" si="1083"/>
        <v>-</v>
      </c>
      <c r="AL156" s="179" t="str">
        <f t="shared" ca="1" si="1083"/>
        <v>-</v>
      </c>
      <c r="AM156" s="179" t="str">
        <f t="shared" ca="1" si="1083"/>
        <v>-</v>
      </c>
      <c r="AO156" s="182" t="str">
        <f t="shared" ca="1" si="1084"/>
        <v>-</v>
      </c>
      <c r="AP156" s="182" t="str">
        <f t="shared" ca="1" si="1084"/>
        <v>-</v>
      </c>
      <c r="AQ156" s="182" t="str">
        <f t="shared" ca="1" si="1084"/>
        <v>-</v>
      </c>
      <c r="AU156" s="185" t="str">
        <f t="shared" ref="AU156" ca="1" si="1261">IF($D156="-","-",IF(LEN(M156)=0,"", INDEX($AT$7:$AT$15,MATCH(IF($V156-INDEX(GridXRange,P156)&lt;0,"Negative",IF($V156-INDEX(GridXRange,P156)&gt;0,"Positive","Zero")) &amp; " - " &amp;IF($W156-INDEX(GridYRange,P156)&lt;0,"Negative",IF($W156-INDEX(GridYRange,P156)&gt;0,"Positive","Zero")),$AS$7:$AS$15,0))))</f>
        <v>-</v>
      </c>
      <c r="AV156" s="186" t="str">
        <f t="shared" ref="AV156" ca="1" si="1262">IF($D156="-","-",IF(LEN(N156)=0,"", INDEX($AT$7:$AT$15,MATCH(IF($V156-INDEX(GridXRange,Q156)&lt;0,"Negative",IF($V156-INDEX(GridXRange,Q156)&gt;0,"Positive","Zero")) &amp; " - " &amp;IF($W156-INDEX(GridYRange,Q156)&lt;0,"Negative",IF($W156-INDEX(GridYRange,Q156)&gt;0,"Positive","Zero")),$AS$7:$AS$15,0))))</f>
        <v>-</v>
      </c>
      <c r="AW156" s="186" t="str">
        <f t="shared" ref="AW156" ca="1" si="1263">IF($D156="-","-",IF(LEN(O156)=0,"", INDEX($AT$7:$AT$15,MATCH(IF($V156-INDEX(GridXRange,R156)&lt;0,"Negative",IF($V156-INDEX(GridXRange,R156)&gt;0,"Positive","Zero")) &amp; " - " &amp;IF($W156-INDEX(GridYRange,R156)&lt;0,"Negative",IF($W156-INDEX(GridYRange,R156)&gt;0,"Positive","Zero")),$AS$7:$AS$15,0))))</f>
        <v>-</v>
      </c>
      <c r="AX156" s="187"/>
      <c r="AY156" s="188"/>
      <c r="AZ156" s="188"/>
      <c r="BA156" s="184"/>
      <c r="BB156" s="187" t="str">
        <f t="shared" ca="1" si="1191"/>
        <v>-</v>
      </c>
      <c r="BC156" s="188" t="str">
        <f t="shared" ca="1" si="1191"/>
        <v>-</v>
      </c>
      <c r="BD156" s="188" t="str">
        <f t="shared" ca="1" si="1191"/>
        <v>-</v>
      </c>
      <c r="BE156" s="189" t="str">
        <f t="shared" ca="1" si="1191"/>
        <v>-</v>
      </c>
      <c r="BK156" s="192" t="str">
        <f t="shared" ref="BK156" ca="1" si="1264">IF($D156="-","-",$BK$5 + (V156-StartGridX) * (GapXDiff + $BW$7))</f>
        <v>-</v>
      </c>
      <c r="BL156" s="192" t="str">
        <f t="shared" ref="BL156" ca="1" si="1265">IF($D156="-","-",$BL$5 + (W156-StartGridY) * (GapYDiff + $BV$7))</f>
        <v>-</v>
      </c>
      <c r="BM156" s="192" t="str">
        <f t="shared" ca="1" si="1090"/>
        <v>-</v>
      </c>
      <c r="BN156" s="192" t="str">
        <f t="shared" ca="1" si="1091"/>
        <v>-</v>
      </c>
      <c r="BO156" s="192" t="str">
        <f t="shared" ca="1" si="1092"/>
        <v>-</v>
      </c>
      <c r="BP156" s="192" t="str">
        <f t="shared" ca="1" si="1093"/>
        <v>-</v>
      </c>
      <c r="BQ156" s="192" t="str">
        <f ca="1">IF($D156="-","-",IF(LEN(K156)=0,1,IFERROR(MATCH(K156,Dashboard!$L$25:$L$31,0),1)))</f>
        <v>-</v>
      </c>
      <c r="CC156" s="143" t="str">
        <f t="shared" ref="CC156" ca="1" si="1266">IF($D156="-","-",IF(COUNTIF(IDSourceRange,E156)&gt;1,1,0))</f>
        <v>-</v>
      </c>
      <c r="CD156" s="143" t="str">
        <f t="shared" ref="CD156" ca="1" si="1267">IF($D156="-","-",  IF(LEN(M156)=0,0,IF(ISERROR(MATCH(M156,IDSourceRange,0)),1,0)) + IF(LEN(N156)=0,0,IF(ISERROR(MATCH(N156,IDSourceRange,0)),1,0)) + IF(LEN(O156)=0,0,IF(ISERROR(MATCH(O156,IDSourceRange,0)),1,0)) )</f>
        <v>-</v>
      </c>
      <c r="CE156" s="143" t="str">
        <f t="shared" ca="1" si="1121"/>
        <v>-</v>
      </c>
      <c r="CF156" s="143" t="s">
        <v>128</v>
      </c>
      <c r="CG156" s="143" t="str">
        <f t="shared" ref="CG156" ca="1" si="1268">IF($D156="-","-",IF(X156="-",0,IF(COUNTIF(GridCombinedRange,X156)&gt;1,1,0)))</f>
        <v>-</v>
      </c>
      <c r="CH156" s="143"/>
      <c r="CI156" s="143"/>
      <c r="CJ156" s="143"/>
      <c r="CK156" s="143"/>
      <c r="CL156" s="143"/>
    </row>
    <row r="157" spans="3:90" x14ac:dyDescent="0.3">
      <c r="C157" s="170">
        <v>151</v>
      </c>
      <c r="D157" s="111" t="str">
        <f ca="1">IF(COUNTA(OFFSET(Dashboard!$B$6,C157,0,1,COUNTA(Dashboard!$B$6:$H$6)))&gt;0,"Yes","-")</f>
        <v>-</v>
      </c>
      <c r="E157" s="170" t="str">
        <f ca="1">IF(D157="-","-",IF(LEN(INDEX(Dashboard!B$6:B$206,$C157+1))=0,"x"&amp;C157&amp;"x","x"&amp;INDEX(Dashboard!B$6:B$206,$C157+1)&amp;"x"))</f>
        <v>-</v>
      </c>
      <c r="F157" s="171" t="str">
        <f ca="1">IF(D157="-","-",IF(LEN(INDEX(Dashboard!$C$6:$C$206,C157+1))=0," ",INDEX(Dashboard!$C$6:$C$206,C157+1)))</f>
        <v>-</v>
      </c>
      <c r="G157" s="219" t="str">
        <f ca="1">IF(OR(D157="-",D157=""),"-",IF(LEN(INDEX(Dashboard!$D$6:$D$228,C157+1))=0,"", "x"&amp;SUBSTITUTE(SUBSTITUTE(INDEX(Dashboard!$D$6:$D$228,C157+1)," ",""),",","x,x")&amp;"x"))</f>
        <v>-</v>
      </c>
      <c r="H157" s="111" t="str">
        <f ca="1">IF(D157="-","-",TRIM(INDEX(Dashboard!$E$6:$E$206,C157+1)))</f>
        <v>-</v>
      </c>
      <c r="I157" s="111" t="str">
        <f ca="1">IF(D157="-","-",IF(LEN(INDEX(Dashboard!$F$6:$F$206,C157+1))=0,$BS$8,IF(ISERROR(MATCH(INDEX(Dashboard!$F$6:$F$206,C157+1),$BS$7:$BS$35,0)),$BS$8,INDEX(Dashboard!$F$6:$F$206,C157+1))))</f>
        <v>-</v>
      </c>
      <c r="J157" s="111" t="str">
        <f ca="1">IF(D157="-","-",SUBSTITUTE(INDEX(Dashboard!$G$6:$G$206,C157+1)," ",""))</f>
        <v>-</v>
      </c>
      <c r="K157" s="111" t="str">
        <f ca="1">IF(D157="-","-",IF(LEN(INDEX(Dashboard!$H$6:$H$206,C157+1))=0,"",INDEX(Dashboard!$H$6:$H$206,C157+1)))</f>
        <v>-</v>
      </c>
      <c r="M157" s="172" t="str">
        <f t="shared" ca="1" si="1187"/>
        <v>-</v>
      </c>
      <c r="N157" s="172" t="str">
        <f t="shared" ca="1" si="1187"/>
        <v>-</v>
      </c>
      <c r="O157" s="172" t="str">
        <f t="shared" ca="1" si="1187"/>
        <v>-</v>
      </c>
      <c r="P157" s="173" t="str">
        <f t="shared" ca="1" si="1080"/>
        <v>-</v>
      </c>
      <c r="Q157" s="172" t="str">
        <f t="shared" ca="1" si="1080"/>
        <v>-</v>
      </c>
      <c r="R157" s="172" t="str">
        <f t="shared" ca="1" si="1080"/>
        <v>-</v>
      </c>
      <c r="S157" s="174" t="str">
        <f t="array" aca="1" ref="S157" ca="1">IF($D157="-","-",SUM(IF(LEN(M157:O157)&gt;0,1,0)))</f>
        <v>-</v>
      </c>
      <c r="T157" s="175" t="str">
        <f t="array" aca="1" ref="T157" ca="1">IF(D157="-","-",SUM(IF(ISERROR(SEARCH(E157,$G$7:$G$206)),0,1)))</f>
        <v>-</v>
      </c>
      <c r="V157" s="204"/>
      <c r="W157" s="127"/>
      <c r="X157" s="177" t="str">
        <f t="shared" si="1097"/>
        <v>-</v>
      </c>
      <c r="Y157" s="178"/>
      <c r="Z157" s="127"/>
      <c r="AB157" s="179" t="str">
        <f t="shared" ca="1" si="1081"/>
        <v>-</v>
      </c>
      <c r="AC157" s="179" t="str">
        <f t="shared" ca="1" si="1081"/>
        <v>-</v>
      </c>
      <c r="AD157" s="179" t="str">
        <f t="shared" ca="1" si="1081"/>
        <v>-</v>
      </c>
      <c r="AJ157" s="181" t="str">
        <f t="shared" ca="1" si="1082"/>
        <v>-</v>
      </c>
      <c r="AK157" s="179" t="str">
        <f t="shared" ca="1" si="1083"/>
        <v>-</v>
      </c>
      <c r="AL157" s="179" t="str">
        <f t="shared" ca="1" si="1083"/>
        <v>-</v>
      </c>
      <c r="AM157" s="179" t="str">
        <f t="shared" ca="1" si="1083"/>
        <v>-</v>
      </c>
      <c r="AO157" s="182" t="str">
        <f t="shared" ca="1" si="1084"/>
        <v>-</v>
      </c>
      <c r="AP157" s="182" t="str">
        <f t="shared" ca="1" si="1084"/>
        <v>-</v>
      </c>
      <c r="AQ157" s="182" t="str">
        <f t="shared" ca="1" si="1084"/>
        <v>-</v>
      </c>
      <c r="AU157" s="185" t="str">
        <f t="shared" ref="AU157" ca="1" si="1269">IF($D157="-","-",IF(LEN(M157)=0,"", INDEX($AT$7:$AT$15,MATCH(IF($V157-INDEX(GridXRange,P157)&lt;0,"Negative",IF($V157-INDEX(GridXRange,P157)&gt;0,"Positive","Zero")) &amp; " - " &amp;IF($W157-INDEX(GridYRange,P157)&lt;0,"Negative",IF($W157-INDEX(GridYRange,P157)&gt;0,"Positive","Zero")),$AS$7:$AS$15,0))))</f>
        <v>-</v>
      </c>
      <c r="AV157" s="186" t="str">
        <f t="shared" ref="AV157" ca="1" si="1270">IF($D157="-","-",IF(LEN(N157)=0,"", INDEX($AT$7:$AT$15,MATCH(IF($V157-INDEX(GridXRange,Q157)&lt;0,"Negative",IF($V157-INDEX(GridXRange,Q157)&gt;0,"Positive","Zero")) &amp; " - " &amp;IF($W157-INDEX(GridYRange,Q157)&lt;0,"Negative",IF($W157-INDEX(GridYRange,Q157)&gt;0,"Positive","Zero")),$AS$7:$AS$15,0))))</f>
        <v>-</v>
      </c>
      <c r="AW157" s="186" t="str">
        <f t="shared" ref="AW157" ca="1" si="1271">IF($D157="-","-",IF(LEN(O157)=0,"", INDEX($AT$7:$AT$15,MATCH(IF($V157-INDEX(GridXRange,R157)&lt;0,"Negative",IF($V157-INDEX(GridXRange,R157)&gt;0,"Positive","Zero")) &amp; " - " &amp;IF($W157-INDEX(GridYRange,R157)&lt;0,"Negative",IF($W157-INDEX(GridYRange,R157)&gt;0,"Positive","Zero")),$AS$7:$AS$15,0))))</f>
        <v>-</v>
      </c>
      <c r="AX157" s="187"/>
      <c r="AY157" s="188"/>
      <c r="AZ157" s="188"/>
      <c r="BA157" s="184"/>
      <c r="BB157" s="187" t="str">
        <f t="shared" ca="1" si="1191"/>
        <v>-</v>
      </c>
      <c r="BC157" s="188" t="str">
        <f t="shared" ca="1" si="1191"/>
        <v>-</v>
      </c>
      <c r="BD157" s="188" t="str">
        <f t="shared" ca="1" si="1191"/>
        <v>-</v>
      </c>
      <c r="BE157" s="189" t="str">
        <f t="shared" ca="1" si="1191"/>
        <v>-</v>
      </c>
      <c r="BK157" s="192" t="str">
        <f t="shared" ref="BK157" ca="1" si="1272">IF($D157="-","-",$BK$5 + (V157-StartGridX) * (GapXDiff + $BW$7))</f>
        <v>-</v>
      </c>
      <c r="BL157" s="192" t="str">
        <f t="shared" ref="BL157" ca="1" si="1273">IF($D157="-","-",$BL$5 + (W157-StartGridY) * (GapYDiff + $BV$7))</f>
        <v>-</v>
      </c>
      <c r="BM157" s="192" t="str">
        <f t="shared" ca="1" si="1090"/>
        <v>-</v>
      </c>
      <c r="BN157" s="192" t="str">
        <f t="shared" ca="1" si="1091"/>
        <v>-</v>
      </c>
      <c r="BO157" s="192" t="str">
        <f t="shared" ca="1" si="1092"/>
        <v>-</v>
      </c>
      <c r="BP157" s="192" t="str">
        <f t="shared" ca="1" si="1093"/>
        <v>-</v>
      </c>
      <c r="BQ157" s="192" t="str">
        <f ca="1">IF($D157="-","-",IF(LEN(K157)=0,1,IFERROR(MATCH(K157,Dashboard!$L$25:$L$31,0),1)))</f>
        <v>-</v>
      </c>
      <c r="CC157" s="143" t="str">
        <f t="shared" ref="CC157" ca="1" si="1274">IF($D157="-","-",IF(COUNTIF(IDSourceRange,E157)&gt;1,1,0))</f>
        <v>-</v>
      </c>
      <c r="CD157" s="143" t="str">
        <f t="shared" ref="CD157" ca="1" si="1275">IF($D157="-","-",  IF(LEN(M157)=0,0,IF(ISERROR(MATCH(M157,IDSourceRange,0)),1,0)) + IF(LEN(N157)=0,0,IF(ISERROR(MATCH(N157,IDSourceRange,0)),1,0)) + IF(LEN(O157)=0,0,IF(ISERROR(MATCH(O157,IDSourceRange,0)),1,0)) )</f>
        <v>-</v>
      </c>
      <c r="CE157" s="143" t="str">
        <f t="shared" ca="1" si="1121"/>
        <v>-</v>
      </c>
      <c r="CF157" s="143" t="s">
        <v>128</v>
      </c>
      <c r="CG157" s="143" t="str">
        <f t="shared" ref="CG157" ca="1" si="1276">IF($D157="-","-",IF(X157="-",0,IF(COUNTIF(GridCombinedRange,X157)&gt;1,1,0)))</f>
        <v>-</v>
      </c>
      <c r="CH157" s="143"/>
      <c r="CI157" s="143"/>
      <c r="CJ157" s="143"/>
      <c r="CK157" s="143"/>
      <c r="CL157" s="143"/>
    </row>
    <row r="158" spans="3:90" x14ac:dyDescent="0.3">
      <c r="C158" s="170">
        <v>152</v>
      </c>
      <c r="D158" s="111" t="str">
        <f ca="1">IF(COUNTA(OFFSET(Dashboard!$B$6,C158,0,1,COUNTA(Dashboard!$B$6:$H$6)))&gt;0,"Yes","-")</f>
        <v>-</v>
      </c>
      <c r="E158" s="170" t="str">
        <f ca="1">IF(D158="-","-",IF(LEN(INDEX(Dashboard!B$6:B$206,$C158+1))=0,"x"&amp;C158&amp;"x","x"&amp;INDEX(Dashboard!B$6:B$206,$C158+1)&amp;"x"))</f>
        <v>-</v>
      </c>
      <c r="F158" s="171" t="str">
        <f ca="1">IF(D158="-","-",IF(LEN(INDEX(Dashboard!$C$6:$C$206,C158+1))=0," ",INDEX(Dashboard!$C$6:$C$206,C158+1)))</f>
        <v>-</v>
      </c>
      <c r="G158" s="219" t="str">
        <f ca="1">IF(OR(D158="-",D158=""),"-",IF(LEN(INDEX(Dashboard!$D$6:$D$228,C158+1))=0,"", "x"&amp;SUBSTITUTE(SUBSTITUTE(INDEX(Dashboard!$D$6:$D$228,C158+1)," ",""),",","x,x")&amp;"x"))</f>
        <v>-</v>
      </c>
      <c r="H158" s="111" t="str">
        <f ca="1">IF(D158="-","-",TRIM(INDEX(Dashboard!$E$6:$E$206,C158+1)))</f>
        <v>-</v>
      </c>
      <c r="I158" s="111" t="str">
        <f ca="1">IF(D158="-","-",IF(LEN(INDEX(Dashboard!$F$6:$F$206,C158+1))=0,$BS$8,IF(ISERROR(MATCH(INDEX(Dashboard!$F$6:$F$206,C158+1),$BS$7:$BS$35,0)),$BS$8,INDEX(Dashboard!$F$6:$F$206,C158+1))))</f>
        <v>-</v>
      </c>
      <c r="J158" s="111" t="str">
        <f ca="1">IF(D158="-","-",SUBSTITUTE(INDEX(Dashboard!$G$6:$G$206,C158+1)," ",""))</f>
        <v>-</v>
      </c>
      <c r="K158" s="111" t="str">
        <f ca="1">IF(D158="-","-",IF(LEN(INDEX(Dashboard!$H$6:$H$206,C158+1))=0,"",INDEX(Dashboard!$H$6:$H$206,C158+1)))</f>
        <v>-</v>
      </c>
      <c r="M158" s="172" t="str">
        <f t="shared" ca="1" si="1187"/>
        <v>-</v>
      </c>
      <c r="N158" s="172" t="str">
        <f t="shared" ca="1" si="1187"/>
        <v>-</v>
      </c>
      <c r="O158" s="172" t="str">
        <f t="shared" ca="1" si="1187"/>
        <v>-</v>
      </c>
      <c r="P158" s="173" t="str">
        <f t="shared" ca="1" si="1080"/>
        <v>-</v>
      </c>
      <c r="Q158" s="172" t="str">
        <f t="shared" ca="1" si="1080"/>
        <v>-</v>
      </c>
      <c r="R158" s="172" t="str">
        <f t="shared" ca="1" si="1080"/>
        <v>-</v>
      </c>
      <c r="S158" s="174" t="str">
        <f t="array" aca="1" ref="S158" ca="1">IF($D158="-","-",SUM(IF(LEN(M158:O158)&gt;0,1,0)))</f>
        <v>-</v>
      </c>
      <c r="T158" s="175" t="str">
        <f t="array" aca="1" ref="T158" ca="1">IF(D158="-","-",SUM(IF(ISERROR(SEARCH(E158,$G$7:$G$206)),0,1)))</f>
        <v>-</v>
      </c>
      <c r="V158" s="204"/>
      <c r="W158" s="127"/>
      <c r="X158" s="177" t="str">
        <f t="shared" si="1097"/>
        <v>-</v>
      </c>
      <c r="Y158" s="178"/>
      <c r="Z158" s="127"/>
      <c r="AB158" s="179" t="str">
        <f t="shared" ca="1" si="1081"/>
        <v>-</v>
      </c>
      <c r="AC158" s="179" t="str">
        <f t="shared" ca="1" si="1081"/>
        <v>-</v>
      </c>
      <c r="AD158" s="179" t="str">
        <f t="shared" ca="1" si="1081"/>
        <v>-</v>
      </c>
      <c r="AJ158" s="181" t="str">
        <f t="shared" ca="1" si="1082"/>
        <v>-</v>
      </c>
      <c r="AK158" s="179" t="str">
        <f t="shared" ca="1" si="1083"/>
        <v>-</v>
      </c>
      <c r="AL158" s="179" t="str">
        <f t="shared" ca="1" si="1083"/>
        <v>-</v>
      </c>
      <c r="AM158" s="179" t="str">
        <f t="shared" ca="1" si="1083"/>
        <v>-</v>
      </c>
      <c r="AO158" s="182" t="str">
        <f t="shared" ca="1" si="1084"/>
        <v>-</v>
      </c>
      <c r="AP158" s="182" t="str">
        <f t="shared" ca="1" si="1084"/>
        <v>-</v>
      </c>
      <c r="AQ158" s="182" t="str">
        <f t="shared" ca="1" si="1084"/>
        <v>-</v>
      </c>
      <c r="AU158" s="185" t="str">
        <f t="shared" ref="AU158" ca="1" si="1277">IF($D158="-","-",IF(LEN(M158)=0,"", INDEX($AT$7:$AT$15,MATCH(IF($V158-INDEX(GridXRange,P158)&lt;0,"Negative",IF($V158-INDEX(GridXRange,P158)&gt;0,"Positive","Zero")) &amp; " - " &amp;IF($W158-INDEX(GridYRange,P158)&lt;0,"Negative",IF($W158-INDEX(GridYRange,P158)&gt;0,"Positive","Zero")),$AS$7:$AS$15,0))))</f>
        <v>-</v>
      </c>
      <c r="AV158" s="186" t="str">
        <f t="shared" ref="AV158" ca="1" si="1278">IF($D158="-","-",IF(LEN(N158)=0,"", INDEX($AT$7:$AT$15,MATCH(IF($V158-INDEX(GridXRange,Q158)&lt;0,"Negative",IF($V158-INDEX(GridXRange,Q158)&gt;0,"Positive","Zero")) &amp; " - " &amp;IF($W158-INDEX(GridYRange,Q158)&lt;0,"Negative",IF($W158-INDEX(GridYRange,Q158)&gt;0,"Positive","Zero")),$AS$7:$AS$15,0))))</f>
        <v>-</v>
      </c>
      <c r="AW158" s="186" t="str">
        <f t="shared" ref="AW158" ca="1" si="1279">IF($D158="-","-",IF(LEN(O158)=0,"", INDEX($AT$7:$AT$15,MATCH(IF($V158-INDEX(GridXRange,R158)&lt;0,"Negative",IF($V158-INDEX(GridXRange,R158)&gt;0,"Positive","Zero")) &amp; " - " &amp;IF($W158-INDEX(GridYRange,R158)&lt;0,"Negative",IF($W158-INDEX(GridYRange,R158)&gt;0,"Positive","Zero")),$AS$7:$AS$15,0))))</f>
        <v>-</v>
      </c>
      <c r="AX158" s="187"/>
      <c r="AY158" s="188"/>
      <c r="AZ158" s="188"/>
      <c r="BA158" s="184"/>
      <c r="BB158" s="187" t="str">
        <f t="shared" ca="1" si="1191"/>
        <v>-</v>
      </c>
      <c r="BC158" s="188" t="str">
        <f t="shared" ca="1" si="1191"/>
        <v>-</v>
      </c>
      <c r="BD158" s="188" t="str">
        <f t="shared" ca="1" si="1191"/>
        <v>-</v>
      </c>
      <c r="BE158" s="189" t="str">
        <f t="shared" ca="1" si="1191"/>
        <v>-</v>
      </c>
      <c r="BK158" s="192" t="str">
        <f t="shared" ref="BK158" ca="1" si="1280">IF($D158="-","-",$BK$5 + (V158-StartGridX) * (GapXDiff + $BW$7))</f>
        <v>-</v>
      </c>
      <c r="BL158" s="192" t="str">
        <f t="shared" ref="BL158" ca="1" si="1281">IF($D158="-","-",$BL$5 + (W158-StartGridY) * (GapYDiff + $BV$7))</f>
        <v>-</v>
      </c>
      <c r="BM158" s="192" t="str">
        <f t="shared" ca="1" si="1090"/>
        <v>-</v>
      </c>
      <c r="BN158" s="192" t="str">
        <f t="shared" ca="1" si="1091"/>
        <v>-</v>
      </c>
      <c r="BO158" s="192" t="str">
        <f t="shared" ca="1" si="1092"/>
        <v>-</v>
      </c>
      <c r="BP158" s="192" t="str">
        <f t="shared" ca="1" si="1093"/>
        <v>-</v>
      </c>
      <c r="BQ158" s="192" t="str">
        <f ca="1">IF($D158="-","-",IF(LEN(K158)=0,1,IFERROR(MATCH(K158,Dashboard!$L$25:$L$31,0),1)))</f>
        <v>-</v>
      </c>
      <c r="CC158" s="143" t="str">
        <f t="shared" ref="CC158" ca="1" si="1282">IF($D158="-","-",IF(COUNTIF(IDSourceRange,E158)&gt;1,1,0))</f>
        <v>-</v>
      </c>
      <c r="CD158" s="143" t="str">
        <f t="shared" ref="CD158" ca="1" si="1283">IF($D158="-","-",  IF(LEN(M158)=0,0,IF(ISERROR(MATCH(M158,IDSourceRange,0)),1,0)) + IF(LEN(N158)=0,0,IF(ISERROR(MATCH(N158,IDSourceRange,0)),1,0)) + IF(LEN(O158)=0,0,IF(ISERROR(MATCH(O158,IDSourceRange,0)),1,0)) )</f>
        <v>-</v>
      </c>
      <c r="CE158" s="143" t="str">
        <f t="shared" ca="1" si="1121"/>
        <v>-</v>
      </c>
      <c r="CF158" s="143" t="s">
        <v>128</v>
      </c>
      <c r="CG158" s="143" t="str">
        <f t="shared" ref="CG158" ca="1" si="1284">IF($D158="-","-",IF(X158="-",0,IF(COUNTIF(GridCombinedRange,X158)&gt;1,1,0)))</f>
        <v>-</v>
      </c>
      <c r="CH158" s="143"/>
      <c r="CI158" s="143"/>
      <c r="CJ158" s="143"/>
      <c r="CK158" s="143"/>
      <c r="CL158" s="143"/>
    </row>
    <row r="159" spans="3:90" x14ac:dyDescent="0.3">
      <c r="C159" s="170">
        <v>153</v>
      </c>
      <c r="D159" s="111" t="str">
        <f ca="1">IF(COUNTA(OFFSET(Dashboard!$B$6,C159,0,1,COUNTA(Dashboard!$B$6:$H$6)))&gt;0,"Yes","-")</f>
        <v>-</v>
      </c>
      <c r="E159" s="170" t="str">
        <f ca="1">IF(D159="-","-",IF(LEN(INDEX(Dashboard!B$6:B$206,$C159+1))=0,"x"&amp;C159&amp;"x","x"&amp;INDEX(Dashboard!B$6:B$206,$C159+1)&amp;"x"))</f>
        <v>-</v>
      </c>
      <c r="F159" s="171" t="str">
        <f ca="1">IF(D159="-","-",IF(LEN(INDEX(Dashboard!$C$6:$C$206,C159+1))=0," ",INDEX(Dashboard!$C$6:$C$206,C159+1)))</f>
        <v>-</v>
      </c>
      <c r="G159" s="219" t="str">
        <f ca="1">IF(OR(D159="-",D159=""),"-",IF(LEN(INDEX(Dashboard!$D$6:$D$228,C159+1))=0,"", "x"&amp;SUBSTITUTE(SUBSTITUTE(INDEX(Dashboard!$D$6:$D$228,C159+1)," ",""),",","x,x")&amp;"x"))</f>
        <v>-</v>
      </c>
      <c r="H159" s="111" t="str">
        <f ca="1">IF(D159="-","-",TRIM(INDEX(Dashboard!$E$6:$E$206,C159+1)))</f>
        <v>-</v>
      </c>
      <c r="I159" s="111" t="str">
        <f ca="1">IF(D159="-","-",IF(LEN(INDEX(Dashboard!$F$6:$F$206,C159+1))=0,$BS$8,IF(ISERROR(MATCH(INDEX(Dashboard!$F$6:$F$206,C159+1),$BS$7:$BS$35,0)),$BS$8,INDEX(Dashboard!$F$6:$F$206,C159+1))))</f>
        <v>-</v>
      </c>
      <c r="J159" s="111" t="str">
        <f ca="1">IF(D159="-","-",SUBSTITUTE(INDEX(Dashboard!$G$6:$G$206,C159+1)," ",""))</f>
        <v>-</v>
      </c>
      <c r="K159" s="111" t="str">
        <f ca="1">IF(D159="-","-",IF(LEN(INDEX(Dashboard!$H$6:$H$206,C159+1))=0,"",INDEX(Dashboard!$H$6:$H$206,C159+1)))</f>
        <v>-</v>
      </c>
      <c r="M159" s="172" t="str">
        <f t="shared" ca="1" si="1187"/>
        <v>-</v>
      </c>
      <c r="N159" s="172" t="str">
        <f t="shared" ca="1" si="1187"/>
        <v>-</v>
      </c>
      <c r="O159" s="172" t="str">
        <f t="shared" ca="1" si="1187"/>
        <v>-</v>
      </c>
      <c r="P159" s="173" t="str">
        <f t="shared" ca="1" si="1080"/>
        <v>-</v>
      </c>
      <c r="Q159" s="172" t="str">
        <f t="shared" ca="1" si="1080"/>
        <v>-</v>
      </c>
      <c r="R159" s="172" t="str">
        <f t="shared" ca="1" si="1080"/>
        <v>-</v>
      </c>
      <c r="S159" s="174" t="str">
        <f t="array" aca="1" ref="S159" ca="1">IF($D159="-","-",SUM(IF(LEN(M159:O159)&gt;0,1,0)))</f>
        <v>-</v>
      </c>
      <c r="T159" s="175" t="str">
        <f t="array" aca="1" ref="T159" ca="1">IF(D159="-","-",SUM(IF(ISERROR(SEARCH(E159,$G$7:$G$206)),0,1)))</f>
        <v>-</v>
      </c>
      <c r="V159" s="204"/>
      <c r="W159" s="127"/>
      <c r="X159" s="177" t="str">
        <f t="shared" si="1097"/>
        <v>-</v>
      </c>
      <c r="Y159" s="178"/>
      <c r="Z159" s="127"/>
      <c r="AB159" s="179" t="str">
        <f t="shared" ca="1" si="1081"/>
        <v>-</v>
      </c>
      <c r="AC159" s="179" t="str">
        <f t="shared" ca="1" si="1081"/>
        <v>-</v>
      </c>
      <c r="AD159" s="179" t="str">
        <f t="shared" ca="1" si="1081"/>
        <v>-</v>
      </c>
      <c r="AJ159" s="181" t="str">
        <f t="shared" ca="1" si="1082"/>
        <v>-</v>
      </c>
      <c r="AK159" s="179" t="str">
        <f t="shared" ca="1" si="1083"/>
        <v>-</v>
      </c>
      <c r="AL159" s="179" t="str">
        <f t="shared" ca="1" si="1083"/>
        <v>-</v>
      </c>
      <c r="AM159" s="179" t="str">
        <f t="shared" ca="1" si="1083"/>
        <v>-</v>
      </c>
      <c r="AO159" s="182" t="str">
        <f t="shared" ca="1" si="1084"/>
        <v>-</v>
      </c>
      <c r="AP159" s="182" t="str">
        <f t="shared" ca="1" si="1084"/>
        <v>-</v>
      </c>
      <c r="AQ159" s="182" t="str">
        <f t="shared" ca="1" si="1084"/>
        <v>-</v>
      </c>
      <c r="AU159" s="185" t="str">
        <f t="shared" ref="AU159" ca="1" si="1285">IF($D159="-","-",IF(LEN(M159)=0,"", INDEX($AT$7:$AT$15,MATCH(IF($V159-INDEX(GridXRange,P159)&lt;0,"Negative",IF($V159-INDEX(GridXRange,P159)&gt;0,"Positive","Zero")) &amp; " - " &amp;IF($W159-INDEX(GridYRange,P159)&lt;0,"Negative",IF($W159-INDEX(GridYRange,P159)&gt;0,"Positive","Zero")),$AS$7:$AS$15,0))))</f>
        <v>-</v>
      </c>
      <c r="AV159" s="186" t="str">
        <f t="shared" ref="AV159" ca="1" si="1286">IF($D159="-","-",IF(LEN(N159)=0,"", INDEX($AT$7:$AT$15,MATCH(IF($V159-INDEX(GridXRange,Q159)&lt;0,"Negative",IF($V159-INDEX(GridXRange,Q159)&gt;0,"Positive","Zero")) &amp; " - " &amp;IF($W159-INDEX(GridYRange,Q159)&lt;0,"Negative",IF($W159-INDEX(GridYRange,Q159)&gt;0,"Positive","Zero")),$AS$7:$AS$15,0))))</f>
        <v>-</v>
      </c>
      <c r="AW159" s="186" t="str">
        <f t="shared" ref="AW159" ca="1" si="1287">IF($D159="-","-",IF(LEN(O159)=0,"", INDEX($AT$7:$AT$15,MATCH(IF($V159-INDEX(GridXRange,R159)&lt;0,"Negative",IF($V159-INDEX(GridXRange,R159)&gt;0,"Positive","Zero")) &amp; " - " &amp;IF($W159-INDEX(GridYRange,R159)&lt;0,"Negative",IF($W159-INDEX(GridYRange,R159)&gt;0,"Positive","Zero")),$AS$7:$AS$15,0))))</f>
        <v>-</v>
      </c>
      <c r="AX159" s="187"/>
      <c r="AY159" s="188"/>
      <c r="AZ159" s="188"/>
      <c r="BA159" s="184"/>
      <c r="BB159" s="187" t="str">
        <f t="shared" ca="1" si="1191"/>
        <v>-</v>
      </c>
      <c r="BC159" s="188" t="str">
        <f t="shared" ca="1" si="1191"/>
        <v>-</v>
      </c>
      <c r="BD159" s="188" t="str">
        <f t="shared" ca="1" si="1191"/>
        <v>-</v>
      </c>
      <c r="BE159" s="189" t="str">
        <f t="shared" ca="1" si="1191"/>
        <v>-</v>
      </c>
      <c r="BK159" s="192" t="str">
        <f t="shared" ref="BK159" ca="1" si="1288">IF($D159="-","-",$BK$5 + (V159-StartGridX) * (GapXDiff + $BW$7))</f>
        <v>-</v>
      </c>
      <c r="BL159" s="192" t="str">
        <f t="shared" ref="BL159" ca="1" si="1289">IF($D159="-","-",$BL$5 + (W159-StartGridY) * (GapYDiff + $BV$7))</f>
        <v>-</v>
      </c>
      <c r="BM159" s="192" t="str">
        <f t="shared" ca="1" si="1090"/>
        <v>-</v>
      </c>
      <c r="BN159" s="192" t="str">
        <f t="shared" ca="1" si="1091"/>
        <v>-</v>
      </c>
      <c r="BO159" s="192" t="str">
        <f t="shared" ca="1" si="1092"/>
        <v>-</v>
      </c>
      <c r="BP159" s="192" t="str">
        <f t="shared" ca="1" si="1093"/>
        <v>-</v>
      </c>
      <c r="BQ159" s="192" t="str">
        <f ca="1">IF($D159="-","-",IF(LEN(K159)=0,1,IFERROR(MATCH(K159,Dashboard!$L$25:$L$31,0),1)))</f>
        <v>-</v>
      </c>
      <c r="CC159" s="143" t="str">
        <f t="shared" ref="CC159" ca="1" si="1290">IF($D159="-","-",IF(COUNTIF(IDSourceRange,E159)&gt;1,1,0))</f>
        <v>-</v>
      </c>
      <c r="CD159" s="143" t="str">
        <f t="shared" ref="CD159" ca="1" si="1291">IF($D159="-","-",  IF(LEN(M159)=0,0,IF(ISERROR(MATCH(M159,IDSourceRange,0)),1,0)) + IF(LEN(N159)=0,0,IF(ISERROR(MATCH(N159,IDSourceRange,0)),1,0)) + IF(LEN(O159)=0,0,IF(ISERROR(MATCH(O159,IDSourceRange,0)),1,0)) )</f>
        <v>-</v>
      </c>
      <c r="CE159" s="143" t="str">
        <f t="shared" ca="1" si="1121"/>
        <v>-</v>
      </c>
      <c r="CF159" s="143" t="s">
        <v>128</v>
      </c>
      <c r="CG159" s="143" t="str">
        <f t="shared" ref="CG159" ca="1" si="1292">IF($D159="-","-",IF(X159="-",0,IF(COUNTIF(GridCombinedRange,X159)&gt;1,1,0)))</f>
        <v>-</v>
      </c>
      <c r="CH159" s="143"/>
      <c r="CI159" s="143"/>
      <c r="CJ159" s="143"/>
      <c r="CK159" s="143"/>
      <c r="CL159" s="143"/>
    </row>
    <row r="160" spans="3:90" x14ac:dyDescent="0.3">
      <c r="C160" s="170">
        <v>154</v>
      </c>
      <c r="D160" s="111" t="str">
        <f ca="1">IF(COUNTA(OFFSET(Dashboard!$B$6,C160,0,1,COUNTA(Dashboard!$B$6:$H$6)))&gt;0,"Yes","-")</f>
        <v>-</v>
      </c>
      <c r="E160" s="170" t="str">
        <f ca="1">IF(D160="-","-",IF(LEN(INDEX(Dashboard!B$6:B$206,$C160+1))=0,"x"&amp;C160&amp;"x","x"&amp;INDEX(Dashboard!B$6:B$206,$C160+1)&amp;"x"))</f>
        <v>-</v>
      </c>
      <c r="F160" s="171" t="str">
        <f ca="1">IF(D160="-","-",IF(LEN(INDEX(Dashboard!$C$6:$C$206,C160+1))=0," ",INDEX(Dashboard!$C$6:$C$206,C160+1)))</f>
        <v>-</v>
      </c>
      <c r="G160" s="219" t="str">
        <f ca="1">IF(OR(D160="-",D160=""),"-",IF(LEN(INDEX(Dashboard!$D$6:$D$228,C160+1))=0,"", "x"&amp;SUBSTITUTE(SUBSTITUTE(INDEX(Dashboard!$D$6:$D$228,C160+1)," ",""),",","x,x")&amp;"x"))</f>
        <v>-</v>
      </c>
      <c r="H160" s="111" t="str">
        <f ca="1">IF(D160="-","-",TRIM(INDEX(Dashboard!$E$6:$E$206,C160+1)))</f>
        <v>-</v>
      </c>
      <c r="I160" s="111" t="str">
        <f ca="1">IF(D160="-","-",IF(LEN(INDEX(Dashboard!$F$6:$F$206,C160+1))=0,$BS$8,IF(ISERROR(MATCH(INDEX(Dashboard!$F$6:$F$206,C160+1),$BS$7:$BS$35,0)),$BS$8,INDEX(Dashboard!$F$6:$F$206,C160+1))))</f>
        <v>-</v>
      </c>
      <c r="J160" s="111" t="str">
        <f ca="1">IF(D160="-","-",SUBSTITUTE(INDEX(Dashboard!$G$6:$G$206,C160+1)," ",""))</f>
        <v>-</v>
      </c>
      <c r="K160" s="111" t="str">
        <f ca="1">IF(D160="-","-",IF(LEN(INDEX(Dashboard!$H$6:$H$206,C160+1))=0,"",INDEX(Dashboard!$H$6:$H$206,C160+1)))</f>
        <v>-</v>
      </c>
      <c r="M160" s="172" t="str">
        <f t="shared" ca="1" si="1187"/>
        <v>-</v>
      </c>
      <c r="N160" s="172" t="str">
        <f t="shared" ca="1" si="1187"/>
        <v>-</v>
      </c>
      <c r="O160" s="172" t="str">
        <f t="shared" ca="1" si="1187"/>
        <v>-</v>
      </c>
      <c r="P160" s="173" t="str">
        <f t="shared" ca="1" si="1080"/>
        <v>-</v>
      </c>
      <c r="Q160" s="172" t="str">
        <f t="shared" ca="1" si="1080"/>
        <v>-</v>
      </c>
      <c r="R160" s="172" t="str">
        <f t="shared" ca="1" si="1080"/>
        <v>-</v>
      </c>
      <c r="S160" s="174" t="str">
        <f t="array" aca="1" ref="S160" ca="1">IF($D160="-","-",SUM(IF(LEN(M160:O160)&gt;0,1,0)))</f>
        <v>-</v>
      </c>
      <c r="T160" s="175" t="str">
        <f t="array" aca="1" ref="T160" ca="1">IF(D160="-","-",SUM(IF(ISERROR(SEARCH(E160,$G$7:$G$206)),0,1)))</f>
        <v>-</v>
      </c>
      <c r="V160" s="204"/>
      <c r="W160" s="127"/>
      <c r="X160" s="177" t="str">
        <f t="shared" si="1097"/>
        <v>-</v>
      </c>
      <c r="Y160" s="178"/>
      <c r="Z160" s="127"/>
      <c r="AB160" s="179" t="str">
        <f t="shared" ca="1" si="1081"/>
        <v>-</v>
      </c>
      <c r="AC160" s="179" t="str">
        <f t="shared" ca="1" si="1081"/>
        <v>-</v>
      </c>
      <c r="AD160" s="179" t="str">
        <f t="shared" ca="1" si="1081"/>
        <v>-</v>
      </c>
      <c r="AJ160" s="181" t="str">
        <f t="shared" ca="1" si="1082"/>
        <v>-</v>
      </c>
      <c r="AK160" s="179" t="str">
        <f t="shared" ca="1" si="1083"/>
        <v>-</v>
      </c>
      <c r="AL160" s="179" t="str">
        <f t="shared" ca="1" si="1083"/>
        <v>-</v>
      </c>
      <c r="AM160" s="179" t="str">
        <f t="shared" ca="1" si="1083"/>
        <v>-</v>
      </c>
      <c r="AO160" s="182" t="str">
        <f t="shared" ca="1" si="1084"/>
        <v>-</v>
      </c>
      <c r="AP160" s="182" t="str">
        <f t="shared" ca="1" si="1084"/>
        <v>-</v>
      </c>
      <c r="AQ160" s="182" t="str">
        <f t="shared" ca="1" si="1084"/>
        <v>-</v>
      </c>
      <c r="AU160" s="185" t="str">
        <f t="shared" ref="AU160" ca="1" si="1293">IF($D160="-","-",IF(LEN(M160)=0,"", INDEX($AT$7:$AT$15,MATCH(IF($V160-INDEX(GridXRange,P160)&lt;0,"Negative",IF($V160-INDEX(GridXRange,P160)&gt;0,"Positive","Zero")) &amp; " - " &amp;IF($W160-INDEX(GridYRange,P160)&lt;0,"Negative",IF($W160-INDEX(GridYRange,P160)&gt;0,"Positive","Zero")),$AS$7:$AS$15,0))))</f>
        <v>-</v>
      </c>
      <c r="AV160" s="186" t="str">
        <f t="shared" ref="AV160" ca="1" si="1294">IF($D160="-","-",IF(LEN(N160)=0,"", INDEX($AT$7:$AT$15,MATCH(IF($V160-INDEX(GridXRange,Q160)&lt;0,"Negative",IF($V160-INDEX(GridXRange,Q160)&gt;0,"Positive","Zero")) &amp; " - " &amp;IF($W160-INDEX(GridYRange,Q160)&lt;0,"Negative",IF($W160-INDEX(GridYRange,Q160)&gt;0,"Positive","Zero")),$AS$7:$AS$15,0))))</f>
        <v>-</v>
      </c>
      <c r="AW160" s="186" t="str">
        <f t="shared" ref="AW160" ca="1" si="1295">IF($D160="-","-",IF(LEN(O160)=0,"", INDEX($AT$7:$AT$15,MATCH(IF($V160-INDEX(GridXRange,R160)&lt;0,"Negative",IF($V160-INDEX(GridXRange,R160)&gt;0,"Positive","Zero")) &amp; " - " &amp;IF($W160-INDEX(GridYRange,R160)&lt;0,"Negative",IF($W160-INDEX(GridYRange,R160)&gt;0,"Positive","Zero")),$AS$7:$AS$15,0))))</f>
        <v>-</v>
      </c>
      <c r="AX160" s="187"/>
      <c r="AY160" s="188"/>
      <c r="AZ160" s="188"/>
      <c r="BA160" s="184"/>
      <c r="BB160" s="187" t="str">
        <f t="shared" ca="1" si="1191"/>
        <v>-</v>
      </c>
      <c r="BC160" s="188" t="str">
        <f t="shared" ca="1" si="1191"/>
        <v>-</v>
      </c>
      <c r="BD160" s="188" t="str">
        <f t="shared" ca="1" si="1191"/>
        <v>-</v>
      </c>
      <c r="BE160" s="189" t="str">
        <f t="shared" ca="1" si="1191"/>
        <v>-</v>
      </c>
      <c r="BK160" s="192" t="str">
        <f t="shared" ref="BK160" ca="1" si="1296">IF($D160="-","-",$BK$5 + (V160-StartGridX) * (GapXDiff + $BW$7))</f>
        <v>-</v>
      </c>
      <c r="BL160" s="192" t="str">
        <f t="shared" ref="BL160" ca="1" si="1297">IF($D160="-","-",$BL$5 + (W160-StartGridY) * (GapYDiff + $BV$7))</f>
        <v>-</v>
      </c>
      <c r="BM160" s="192" t="str">
        <f t="shared" ca="1" si="1090"/>
        <v>-</v>
      </c>
      <c r="BN160" s="192" t="str">
        <f t="shared" ca="1" si="1091"/>
        <v>-</v>
      </c>
      <c r="BO160" s="192" t="str">
        <f t="shared" ca="1" si="1092"/>
        <v>-</v>
      </c>
      <c r="BP160" s="192" t="str">
        <f t="shared" ca="1" si="1093"/>
        <v>-</v>
      </c>
      <c r="BQ160" s="192" t="str">
        <f ca="1">IF($D160="-","-",IF(LEN(K160)=0,1,IFERROR(MATCH(K160,Dashboard!$L$25:$L$31,0),1)))</f>
        <v>-</v>
      </c>
      <c r="CC160" s="143" t="str">
        <f t="shared" ref="CC160" ca="1" si="1298">IF($D160="-","-",IF(COUNTIF(IDSourceRange,E160)&gt;1,1,0))</f>
        <v>-</v>
      </c>
      <c r="CD160" s="143" t="str">
        <f t="shared" ref="CD160" ca="1" si="1299">IF($D160="-","-",  IF(LEN(M160)=0,0,IF(ISERROR(MATCH(M160,IDSourceRange,0)),1,0)) + IF(LEN(N160)=0,0,IF(ISERROR(MATCH(N160,IDSourceRange,0)),1,0)) + IF(LEN(O160)=0,0,IF(ISERROR(MATCH(O160,IDSourceRange,0)),1,0)) )</f>
        <v>-</v>
      </c>
      <c r="CE160" s="143" t="str">
        <f t="shared" ca="1" si="1121"/>
        <v>-</v>
      </c>
      <c r="CF160" s="143" t="s">
        <v>128</v>
      </c>
      <c r="CG160" s="143" t="str">
        <f t="shared" ref="CG160" ca="1" si="1300">IF($D160="-","-",IF(X160="-",0,IF(COUNTIF(GridCombinedRange,X160)&gt;1,1,0)))</f>
        <v>-</v>
      </c>
      <c r="CH160" s="143"/>
      <c r="CI160" s="143"/>
      <c r="CJ160" s="143"/>
      <c r="CK160" s="143"/>
      <c r="CL160" s="143"/>
    </row>
    <row r="161" spans="3:90" x14ac:dyDescent="0.3">
      <c r="C161" s="170">
        <v>155</v>
      </c>
      <c r="D161" s="111" t="str">
        <f ca="1">IF(COUNTA(OFFSET(Dashboard!$B$6,C161,0,1,COUNTA(Dashboard!$B$6:$H$6)))&gt;0,"Yes","-")</f>
        <v>-</v>
      </c>
      <c r="E161" s="170" t="str">
        <f ca="1">IF(D161="-","-",IF(LEN(INDEX(Dashboard!B$6:B$206,$C161+1))=0,"x"&amp;C161&amp;"x","x"&amp;INDEX(Dashboard!B$6:B$206,$C161+1)&amp;"x"))</f>
        <v>-</v>
      </c>
      <c r="F161" s="171" t="str">
        <f ca="1">IF(D161="-","-",IF(LEN(INDEX(Dashboard!$C$6:$C$206,C161+1))=0," ",INDEX(Dashboard!$C$6:$C$206,C161+1)))</f>
        <v>-</v>
      </c>
      <c r="G161" s="219" t="str">
        <f ca="1">IF(OR(D161="-",D161=""),"-",IF(LEN(INDEX(Dashboard!$D$6:$D$228,C161+1))=0,"", "x"&amp;SUBSTITUTE(SUBSTITUTE(INDEX(Dashboard!$D$6:$D$228,C161+1)," ",""),",","x,x")&amp;"x"))</f>
        <v>-</v>
      </c>
      <c r="H161" s="111" t="str">
        <f ca="1">IF(D161="-","-",TRIM(INDEX(Dashboard!$E$6:$E$206,C161+1)))</f>
        <v>-</v>
      </c>
      <c r="I161" s="111" t="str">
        <f ca="1">IF(D161="-","-",IF(LEN(INDEX(Dashboard!$F$6:$F$206,C161+1))=0,$BS$8,IF(ISERROR(MATCH(INDEX(Dashboard!$F$6:$F$206,C161+1),$BS$7:$BS$35,0)),$BS$8,INDEX(Dashboard!$F$6:$F$206,C161+1))))</f>
        <v>-</v>
      </c>
      <c r="J161" s="111" t="str">
        <f ca="1">IF(D161="-","-",SUBSTITUTE(INDEX(Dashboard!$G$6:$G$206,C161+1)," ",""))</f>
        <v>-</v>
      </c>
      <c r="K161" s="111" t="str">
        <f ca="1">IF(D161="-","-",IF(LEN(INDEX(Dashboard!$H$6:$H$206,C161+1))=0,"",INDEX(Dashboard!$H$6:$H$206,C161+1)))</f>
        <v>-</v>
      </c>
      <c r="M161" s="172" t="str">
        <f t="shared" ca="1" si="1187"/>
        <v>-</v>
      </c>
      <c r="N161" s="172" t="str">
        <f t="shared" ca="1" si="1187"/>
        <v>-</v>
      </c>
      <c r="O161" s="172" t="str">
        <f t="shared" ca="1" si="1187"/>
        <v>-</v>
      </c>
      <c r="P161" s="173" t="str">
        <f t="shared" ca="1" si="1080"/>
        <v>-</v>
      </c>
      <c r="Q161" s="172" t="str">
        <f t="shared" ca="1" si="1080"/>
        <v>-</v>
      </c>
      <c r="R161" s="172" t="str">
        <f t="shared" ca="1" si="1080"/>
        <v>-</v>
      </c>
      <c r="S161" s="174" t="str">
        <f t="array" aca="1" ref="S161" ca="1">IF($D161="-","-",SUM(IF(LEN(M161:O161)&gt;0,1,0)))</f>
        <v>-</v>
      </c>
      <c r="T161" s="175" t="str">
        <f t="array" aca="1" ref="T161" ca="1">IF(D161="-","-",SUM(IF(ISERROR(SEARCH(E161,$G$7:$G$206)),0,1)))</f>
        <v>-</v>
      </c>
      <c r="V161" s="204"/>
      <c r="W161" s="127"/>
      <c r="X161" s="177" t="str">
        <f t="shared" si="1097"/>
        <v>-</v>
      </c>
      <c r="Y161" s="178"/>
      <c r="Z161" s="127"/>
      <c r="AB161" s="179" t="str">
        <f t="shared" ca="1" si="1081"/>
        <v>-</v>
      </c>
      <c r="AC161" s="179" t="str">
        <f t="shared" ca="1" si="1081"/>
        <v>-</v>
      </c>
      <c r="AD161" s="179" t="str">
        <f t="shared" ca="1" si="1081"/>
        <v>-</v>
      </c>
      <c r="AJ161" s="181" t="str">
        <f t="shared" ca="1" si="1082"/>
        <v>-</v>
      </c>
      <c r="AK161" s="179" t="str">
        <f t="shared" ca="1" si="1083"/>
        <v>-</v>
      </c>
      <c r="AL161" s="179" t="str">
        <f t="shared" ca="1" si="1083"/>
        <v>-</v>
      </c>
      <c r="AM161" s="179" t="str">
        <f t="shared" ca="1" si="1083"/>
        <v>-</v>
      </c>
      <c r="AO161" s="182" t="str">
        <f t="shared" ca="1" si="1084"/>
        <v>-</v>
      </c>
      <c r="AP161" s="182" t="str">
        <f t="shared" ca="1" si="1084"/>
        <v>-</v>
      </c>
      <c r="AQ161" s="182" t="str">
        <f t="shared" ca="1" si="1084"/>
        <v>-</v>
      </c>
      <c r="AU161" s="185" t="str">
        <f t="shared" ref="AU161" ca="1" si="1301">IF($D161="-","-",IF(LEN(M161)=0,"", INDEX($AT$7:$AT$15,MATCH(IF($V161-INDEX(GridXRange,P161)&lt;0,"Negative",IF($V161-INDEX(GridXRange,P161)&gt;0,"Positive","Zero")) &amp; " - " &amp;IF($W161-INDEX(GridYRange,P161)&lt;0,"Negative",IF($W161-INDEX(GridYRange,P161)&gt;0,"Positive","Zero")),$AS$7:$AS$15,0))))</f>
        <v>-</v>
      </c>
      <c r="AV161" s="186" t="str">
        <f t="shared" ref="AV161" ca="1" si="1302">IF($D161="-","-",IF(LEN(N161)=0,"", INDEX($AT$7:$AT$15,MATCH(IF($V161-INDEX(GridXRange,Q161)&lt;0,"Negative",IF($V161-INDEX(GridXRange,Q161)&gt;0,"Positive","Zero")) &amp; " - " &amp;IF($W161-INDEX(GridYRange,Q161)&lt;0,"Negative",IF($W161-INDEX(GridYRange,Q161)&gt;0,"Positive","Zero")),$AS$7:$AS$15,0))))</f>
        <v>-</v>
      </c>
      <c r="AW161" s="186" t="str">
        <f t="shared" ref="AW161" ca="1" si="1303">IF($D161="-","-",IF(LEN(O161)=0,"", INDEX($AT$7:$AT$15,MATCH(IF($V161-INDEX(GridXRange,R161)&lt;0,"Negative",IF($V161-INDEX(GridXRange,R161)&gt;0,"Positive","Zero")) &amp; " - " &amp;IF($W161-INDEX(GridYRange,R161)&lt;0,"Negative",IF($W161-INDEX(GridYRange,R161)&gt;0,"Positive","Zero")),$AS$7:$AS$15,0))))</f>
        <v>-</v>
      </c>
      <c r="AX161" s="187"/>
      <c r="AY161" s="188"/>
      <c r="AZ161" s="188"/>
      <c r="BA161" s="184"/>
      <c r="BB161" s="187" t="str">
        <f t="shared" ca="1" si="1191"/>
        <v>-</v>
      </c>
      <c r="BC161" s="188" t="str">
        <f t="shared" ca="1" si="1191"/>
        <v>-</v>
      </c>
      <c r="BD161" s="188" t="str">
        <f t="shared" ca="1" si="1191"/>
        <v>-</v>
      </c>
      <c r="BE161" s="189" t="str">
        <f t="shared" ca="1" si="1191"/>
        <v>-</v>
      </c>
      <c r="BK161" s="192" t="str">
        <f t="shared" ref="BK161" ca="1" si="1304">IF($D161="-","-",$BK$5 + (V161-StartGridX) * (GapXDiff + $BW$7))</f>
        <v>-</v>
      </c>
      <c r="BL161" s="192" t="str">
        <f t="shared" ref="BL161" ca="1" si="1305">IF($D161="-","-",$BL$5 + (W161-StartGridY) * (GapYDiff + $BV$7))</f>
        <v>-</v>
      </c>
      <c r="BM161" s="192" t="str">
        <f t="shared" ca="1" si="1090"/>
        <v>-</v>
      </c>
      <c r="BN161" s="192" t="str">
        <f t="shared" ca="1" si="1091"/>
        <v>-</v>
      </c>
      <c r="BO161" s="192" t="str">
        <f t="shared" ca="1" si="1092"/>
        <v>-</v>
      </c>
      <c r="BP161" s="192" t="str">
        <f t="shared" ca="1" si="1093"/>
        <v>-</v>
      </c>
      <c r="BQ161" s="192" t="str">
        <f ca="1">IF($D161="-","-",IF(LEN(K161)=0,1,IFERROR(MATCH(K161,Dashboard!$L$25:$L$31,0),1)))</f>
        <v>-</v>
      </c>
      <c r="CC161" s="143" t="str">
        <f t="shared" ref="CC161" ca="1" si="1306">IF($D161="-","-",IF(COUNTIF(IDSourceRange,E161)&gt;1,1,0))</f>
        <v>-</v>
      </c>
      <c r="CD161" s="143" t="str">
        <f t="shared" ref="CD161" ca="1" si="1307">IF($D161="-","-",  IF(LEN(M161)=0,0,IF(ISERROR(MATCH(M161,IDSourceRange,0)),1,0)) + IF(LEN(N161)=0,0,IF(ISERROR(MATCH(N161,IDSourceRange,0)),1,0)) + IF(LEN(O161)=0,0,IF(ISERROR(MATCH(O161,IDSourceRange,0)),1,0)) )</f>
        <v>-</v>
      </c>
      <c r="CE161" s="143" t="str">
        <f t="shared" ca="1" si="1121"/>
        <v>-</v>
      </c>
      <c r="CF161" s="143" t="s">
        <v>128</v>
      </c>
      <c r="CG161" s="143" t="str">
        <f t="shared" ref="CG161" ca="1" si="1308">IF($D161="-","-",IF(X161="-",0,IF(COUNTIF(GridCombinedRange,X161)&gt;1,1,0)))</f>
        <v>-</v>
      </c>
      <c r="CH161" s="143"/>
      <c r="CI161" s="143"/>
      <c r="CJ161" s="143"/>
      <c r="CK161" s="143"/>
      <c r="CL161" s="143"/>
    </row>
    <row r="162" spans="3:90" x14ac:dyDescent="0.3">
      <c r="C162" s="170">
        <v>156</v>
      </c>
      <c r="D162" s="111" t="str">
        <f ca="1">IF(COUNTA(OFFSET(Dashboard!$B$6,C162,0,1,COUNTA(Dashboard!$B$6:$H$6)))&gt;0,"Yes","-")</f>
        <v>-</v>
      </c>
      <c r="E162" s="170" t="str">
        <f ca="1">IF(D162="-","-",IF(LEN(INDEX(Dashboard!B$6:B$206,$C162+1))=0,"x"&amp;C162&amp;"x","x"&amp;INDEX(Dashboard!B$6:B$206,$C162+1)&amp;"x"))</f>
        <v>-</v>
      </c>
      <c r="F162" s="171" t="str">
        <f ca="1">IF(D162="-","-",IF(LEN(INDEX(Dashboard!$C$6:$C$206,C162+1))=0," ",INDEX(Dashboard!$C$6:$C$206,C162+1)))</f>
        <v>-</v>
      </c>
      <c r="G162" s="219" t="str">
        <f ca="1">IF(OR(D162="-",D162=""),"-",IF(LEN(INDEX(Dashboard!$D$6:$D$228,C162+1))=0,"", "x"&amp;SUBSTITUTE(SUBSTITUTE(INDEX(Dashboard!$D$6:$D$228,C162+1)," ",""),",","x,x")&amp;"x"))</f>
        <v>-</v>
      </c>
      <c r="H162" s="111" t="str">
        <f ca="1">IF(D162="-","-",TRIM(INDEX(Dashboard!$E$6:$E$206,C162+1)))</f>
        <v>-</v>
      </c>
      <c r="I162" s="111" t="str">
        <f ca="1">IF(D162="-","-",IF(LEN(INDEX(Dashboard!$F$6:$F$206,C162+1))=0,$BS$8,IF(ISERROR(MATCH(INDEX(Dashboard!$F$6:$F$206,C162+1),$BS$7:$BS$35,0)),$BS$8,INDEX(Dashboard!$F$6:$F$206,C162+1))))</f>
        <v>-</v>
      </c>
      <c r="J162" s="111" t="str">
        <f ca="1">IF(D162="-","-",SUBSTITUTE(INDEX(Dashboard!$G$6:$G$206,C162+1)," ",""))</f>
        <v>-</v>
      </c>
      <c r="K162" s="111" t="str">
        <f ca="1">IF(D162="-","-",IF(LEN(INDEX(Dashboard!$H$6:$H$206,C162+1))=0,"",INDEX(Dashboard!$H$6:$H$206,C162+1)))</f>
        <v>-</v>
      </c>
      <c r="M162" s="172" t="str">
        <f t="shared" ca="1" si="1187"/>
        <v>-</v>
      </c>
      <c r="N162" s="172" t="str">
        <f t="shared" ca="1" si="1187"/>
        <v>-</v>
      </c>
      <c r="O162" s="172" t="str">
        <f t="shared" ca="1" si="1187"/>
        <v>-</v>
      </c>
      <c r="P162" s="173" t="str">
        <f t="shared" ca="1" si="1080"/>
        <v>-</v>
      </c>
      <c r="Q162" s="172" t="str">
        <f t="shared" ca="1" si="1080"/>
        <v>-</v>
      </c>
      <c r="R162" s="172" t="str">
        <f t="shared" ca="1" si="1080"/>
        <v>-</v>
      </c>
      <c r="S162" s="174" t="str">
        <f t="array" aca="1" ref="S162" ca="1">IF($D162="-","-",SUM(IF(LEN(M162:O162)&gt;0,1,0)))</f>
        <v>-</v>
      </c>
      <c r="T162" s="175" t="str">
        <f t="array" aca="1" ref="T162" ca="1">IF(D162="-","-",SUM(IF(ISERROR(SEARCH(E162,$G$7:$G$206)),0,1)))</f>
        <v>-</v>
      </c>
      <c r="V162" s="204"/>
      <c r="W162" s="127"/>
      <c r="X162" s="177" t="str">
        <f t="shared" si="1097"/>
        <v>-</v>
      </c>
      <c r="Y162" s="178"/>
      <c r="Z162" s="127"/>
      <c r="AB162" s="179" t="str">
        <f t="shared" ca="1" si="1081"/>
        <v>-</v>
      </c>
      <c r="AC162" s="179" t="str">
        <f t="shared" ca="1" si="1081"/>
        <v>-</v>
      </c>
      <c r="AD162" s="179" t="str">
        <f t="shared" ca="1" si="1081"/>
        <v>-</v>
      </c>
      <c r="AJ162" s="181" t="str">
        <f t="shared" ca="1" si="1082"/>
        <v>-</v>
      </c>
      <c r="AK162" s="179" t="str">
        <f t="shared" ca="1" si="1083"/>
        <v>-</v>
      </c>
      <c r="AL162" s="179" t="str">
        <f t="shared" ca="1" si="1083"/>
        <v>-</v>
      </c>
      <c r="AM162" s="179" t="str">
        <f t="shared" ca="1" si="1083"/>
        <v>-</v>
      </c>
      <c r="AO162" s="182" t="str">
        <f t="shared" ca="1" si="1084"/>
        <v>-</v>
      </c>
      <c r="AP162" s="182" t="str">
        <f t="shared" ca="1" si="1084"/>
        <v>-</v>
      </c>
      <c r="AQ162" s="182" t="str">
        <f t="shared" ca="1" si="1084"/>
        <v>-</v>
      </c>
      <c r="AU162" s="185" t="str">
        <f t="shared" ref="AU162" ca="1" si="1309">IF($D162="-","-",IF(LEN(M162)=0,"", INDEX($AT$7:$AT$15,MATCH(IF($V162-INDEX(GridXRange,P162)&lt;0,"Negative",IF($V162-INDEX(GridXRange,P162)&gt;0,"Positive","Zero")) &amp; " - " &amp;IF($W162-INDEX(GridYRange,P162)&lt;0,"Negative",IF($W162-INDEX(GridYRange,P162)&gt;0,"Positive","Zero")),$AS$7:$AS$15,0))))</f>
        <v>-</v>
      </c>
      <c r="AV162" s="186" t="str">
        <f t="shared" ref="AV162" ca="1" si="1310">IF($D162="-","-",IF(LEN(N162)=0,"", INDEX($AT$7:$AT$15,MATCH(IF($V162-INDEX(GridXRange,Q162)&lt;0,"Negative",IF($V162-INDEX(GridXRange,Q162)&gt;0,"Positive","Zero")) &amp; " - " &amp;IF($W162-INDEX(GridYRange,Q162)&lt;0,"Negative",IF($W162-INDEX(GridYRange,Q162)&gt;0,"Positive","Zero")),$AS$7:$AS$15,0))))</f>
        <v>-</v>
      </c>
      <c r="AW162" s="186" t="str">
        <f t="shared" ref="AW162" ca="1" si="1311">IF($D162="-","-",IF(LEN(O162)=0,"", INDEX($AT$7:$AT$15,MATCH(IF($V162-INDEX(GridXRange,R162)&lt;0,"Negative",IF($V162-INDEX(GridXRange,R162)&gt;0,"Positive","Zero")) &amp; " - " &amp;IF($W162-INDEX(GridYRange,R162)&lt;0,"Negative",IF($W162-INDEX(GridYRange,R162)&gt;0,"Positive","Zero")),$AS$7:$AS$15,0))))</f>
        <v>-</v>
      </c>
      <c r="AX162" s="187"/>
      <c r="AY162" s="188"/>
      <c r="AZ162" s="188"/>
      <c r="BA162" s="184"/>
      <c r="BB162" s="187" t="str">
        <f t="shared" ca="1" si="1191"/>
        <v>-</v>
      </c>
      <c r="BC162" s="188" t="str">
        <f t="shared" ca="1" si="1191"/>
        <v>-</v>
      </c>
      <c r="BD162" s="188" t="str">
        <f t="shared" ca="1" si="1191"/>
        <v>-</v>
      </c>
      <c r="BE162" s="189" t="str">
        <f t="shared" ca="1" si="1191"/>
        <v>-</v>
      </c>
      <c r="BK162" s="192" t="str">
        <f t="shared" ref="BK162" ca="1" si="1312">IF($D162="-","-",$BK$5 + (V162-StartGridX) * (GapXDiff + $BW$7))</f>
        <v>-</v>
      </c>
      <c r="BL162" s="192" t="str">
        <f t="shared" ref="BL162" ca="1" si="1313">IF($D162="-","-",$BL$5 + (W162-StartGridY) * (GapYDiff + $BV$7))</f>
        <v>-</v>
      </c>
      <c r="BM162" s="192" t="str">
        <f t="shared" ca="1" si="1090"/>
        <v>-</v>
      </c>
      <c r="BN162" s="192" t="str">
        <f t="shared" ca="1" si="1091"/>
        <v>-</v>
      </c>
      <c r="BO162" s="192" t="str">
        <f t="shared" ca="1" si="1092"/>
        <v>-</v>
      </c>
      <c r="BP162" s="192" t="str">
        <f t="shared" ca="1" si="1093"/>
        <v>-</v>
      </c>
      <c r="BQ162" s="192" t="str">
        <f ca="1">IF($D162="-","-",IF(LEN(K162)=0,1,IFERROR(MATCH(K162,Dashboard!$L$25:$L$31,0),1)))</f>
        <v>-</v>
      </c>
      <c r="CC162" s="143" t="str">
        <f t="shared" ref="CC162" ca="1" si="1314">IF($D162="-","-",IF(COUNTIF(IDSourceRange,E162)&gt;1,1,0))</f>
        <v>-</v>
      </c>
      <c r="CD162" s="143" t="str">
        <f t="shared" ref="CD162" ca="1" si="1315">IF($D162="-","-",  IF(LEN(M162)=0,0,IF(ISERROR(MATCH(M162,IDSourceRange,0)),1,0)) + IF(LEN(N162)=0,0,IF(ISERROR(MATCH(N162,IDSourceRange,0)),1,0)) + IF(LEN(O162)=0,0,IF(ISERROR(MATCH(O162,IDSourceRange,0)),1,0)) )</f>
        <v>-</v>
      </c>
      <c r="CE162" s="143" t="str">
        <f t="shared" ca="1" si="1121"/>
        <v>-</v>
      </c>
      <c r="CF162" s="143" t="s">
        <v>128</v>
      </c>
      <c r="CG162" s="143" t="str">
        <f t="shared" ref="CG162" ca="1" si="1316">IF($D162="-","-",IF(X162="-",0,IF(COUNTIF(GridCombinedRange,X162)&gt;1,1,0)))</f>
        <v>-</v>
      </c>
      <c r="CH162" s="143"/>
      <c r="CI162" s="143"/>
      <c r="CJ162" s="143"/>
      <c r="CK162" s="143"/>
      <c r="CL162" s="143"/>
    </row>
    <row r="163" spans="3:90" x14ac:dyDescent="0.3">
      <c r="C163" s="170">
        <v>157</v>
      </c>
      <c r="D163" s="111" t="str">
        <f ca="1">IF(COUNTA(OFFSET(Dashboard!$B$6,C163,0,1,COUNTA(Dashboard!$B$6:$H$6)))&gt;0,"Yes","-")</f>
        <v>-</v>
      </c>
      <c r="E163" s="170" t="str">
        <f ca="1">IF(D163="-","-",IF(LEN(INDEX(Dashboard!B$6:B$206,$C163+1))=0,"x"&amp;C163&amp;"x","x"&amp;INDEX(Dashboard!B$6:B$206,$C163+1)&amp;"x"))</f>
        <v>-</v>
      </c>
      <c r="F163" s="171" t="str">
        <f ca="1">IF(D163="-","-",IF(LEN(INDEX(Dashboard!$C$6:$C$206,C163+1))=0," ",INDEX(Dashboard!$C$6:$C$206,C163+1)))</f>
        <v>-</v>
      </c>
      <c r="G163" s="219" t="str">
        <f ca="1">IF(OR(D163="-",D163=""),"-",IF(LEN(INDEX(Dashboard!$D$6:$D$228,C163+1))=0,"", "x"&amp;SUBSTITUTE(SUBSTITUTE(INDEX(Dashboard!$D$6:$D$228,C163+1)," ",""),",","x,x")&amp;"x"))</f>
        <v>-</v>
      </c>
      <c r="H163" s="111" t="str">
        <f ca="1">IF(D163="-","-",TRIM(INDEX(Dashboard!$E$6:$E$206,C163+1)))</f>
        <v>-</v>
      </c>
      <c r="I163" s="111" t="str">
        <f ca="1">IF(D163="-","-",IF(LEN(INDEX(Dashboard!$F$6:$F$206,C163+1))=0,$BS$8,IF(ISERROR(MATCH(INDEX(Dashboard!$F$6:$F$206,C163+1),$BS$7:$BS$35,0)),$BS$8,INDEX(Dashboard!$F$6:$F$206,C163+1))))</f>
        <v>-</v>
      </c>
      <c r="J163" s="111" t="str">
        <f ca="1">IF(D163="-","-",SUBSTITUTE(INDEX(Dashboard!$G$6:$G$206,C163+1)," ",""))</f>
        <v>-</v>
      </c>
      <c r="K163" s="111" t="str">
        <f ca="1">IF(D163="-","-",IF(LEN(INDEX(Dashboard!$H$6:$H$206,C163+1))=0,"",INDEX(Dashboard!$H$6:$H$206,C163+1)))</f>
        <v>-</v>
      </c>
      <c r="M163" s="172" t="str">
        <f t="shared" ca="1" si="1187"/>
        <v>-</v>
      </c>
      <c r="N163" s="172" t="str">
        <f t="shared" ca="1" si="1187"/>
        <v>-</v>
      </c>
      <c r="O163" s="172" t="str">
        <f t="shared" ca="1" si="1187"/>
        <v>-</v>
      </c>
      <c r="P163" s="173" t="str">
        <f t="shared" ca="1" si="1080"/>
        <v>-</v>
      </c>
      <c r="Q163" s="172" t="str">
        <f t="shared" ca="1" si="1080"/>
        <v>-</v>
      </c>
      <c r="R163" s="172" t="str">
        <f t="shared" ca="1" si="1080"/>
        <v>-</v>
      </c>
      <c r="S163" s="174" t="str">
        <f t="array" aca="1" ref="S163" ca="1">IF($D163="-","-",SUM(IF(LEN(M163:O163)&gt;0,1,0)))</f>
        <v>-</v>
      </c>
      <c r="T163" s="175" t="str">
        <f t="array" aca="1" ref="T163" ca="1">IF(D163="-","-",SUM(IF(ISERROR(SEARCH(E163,$G$7:$G$206)),0,1)))</f>
        <v>-</v>
      </c>
      <c r="V163" s="204"/>
      <c r="W163" s="127"/>
      <c r="X163" s="177" t="str">
        <f t="shared" si="1097"/>
        <v>-</v>
      </c>
      <c r="Y163" s="178"/>
      <c r="Z163" s="127"/>
      <c r="AB163" s="179" t="str">
        <f t="shared" ca="1" si="1081"/>
        <v>-</v>
      </c>
      <c r="AC163" s="179" t="str">
        <f t="shared" ca="1" si="1081"/>
        <v>-</v>
      </c>
      <c r="AD163" s="179" t="str">
        <f t="shared" ca="1" si="1081"/>
        <v>-</v>
      </c>
      <c r="AJ163" s="181" t="str">
        <f t="shared" ca="1" si="1082"/>
        <v>-</v>
      </c>
      <c r="AK163" s="179" t="str">
        <f t="shared" ca="1" si="1083"/>
        <v>-</v>
      </c>
      <c r="AL163" s="179" t="str">
        <f t="shared" ca="1" si="1083"/>
        <v>-</v>
      </c>
      <c r="AM163" s="179" t="str">
        <f t="shared" ca="1" si="1083"/>
        <v>-</v>
      </c>
      <c r="AO163" s="182" t="str">
        <f t="shared" ca="1" si="1084"/>
        <v>-</v>
      </c>
      <c r="AP163" s="182" t="str">
        <f t="shared" ca="1" si="1084"/>
        <v>-</v>
      </c>
      <c r="AQ163" s="182" t="str">
        <f t="shared" ca="1" si="1084"/>
        <v>-</v>
      </c>
      <c r="AU163" s="185" t="str">
        <f t="shared" ref="AU163" ca="1" si="1317">IF($D163="-","-",IF(LEN(M163)=0,"", INDEX($AT$7:$AT$15,MATCH(IF($V163-INDEX(GridXRange,P163)&lt;0,"Negative",IF($V163-INDEX(GridXRange,P163)&gt;0,"Positive","Zero")) &amp; " - " &amp;IF($W163-INDEX(GridYRange,P163)&lt;0,"Negative",IF($W163-INDEX(GridYRange,P163)&gt;0,"Positive","Zero")),$AS$7:$AS$15,0))))</f>
        <v>-</v>
      </c>
      <c r="AV163" s="186" t="str">
        <f t="shared" ref="AV163" ca="1" si="1318">IF($D163="-","-",IF(LEN(N163)=0,"", INDEX($AT$7:$AT$15,MATCH(IF($V163-INDEX(GridXRange,Q163)&lt;0,"Negative",IF($V163-INDEX(GridXRange,Q163)&gt;0,"Positive","Zero")) &amp; " - " &amp;IF($W163-INDEX(GridYRange,Q163)&lt;0,"Negative",IF($W163-INDEX(GridYRange,Q163)&gt;0,"Positive","Zero")),$AS$7:$AS$15,0))))</f>
        <v>-</v>
      </c>
      <c r="AW163" s="186" t="str">
        <f t="shared" ref="AW163" ca="1" si="1319">IF($D163="-","-",IF(LEN(O163)=0,"", INDEX($AT$7:$AT$15,MATCH(IF($V163-INDEX(GridXRange,R163)&lt;0,"Negative",IF($V163-INDEX(GridXRange,R163)&gt;0,"Positive","Zero")) &amp; " - " &amp;IF($W163-INDEX(GridYRange,R163)&lt;0,"Negative",IF($W163-INDEX(GridYRange,R163)&gt;0,"Positive","Zero")),$AS$7:$AS$15,0))))</f>
        <v>-</v>
      </c>
      <c r="AX163" s="187"/>
      <c r="AY163" s="188"/>
      <c r="AZ163" s="188"/>
      <c r="BA163" s="184"/>
      <c r="BB163" s="187" t="str">
        <f t="shared" ca="1" si="1191"/>
        <v>-</v>
      </c>
      <c r="BC163" s="188" t="str">
        <f t="shared" ca="1" si="1191"/>
        <v>-</v>
      </c>
      <c r="BD163" s="188" t="str">
        <f t="shared" ca="1" si="1191"/>
        <v>-</v>
      </c>
      <c r="BE163" s="189" t="str">
        <f t="shared" ca="1" si="1191"/>
        <v>-</v>
      </c>
      <c r="BK163" s="192" t="str">
        <f t="shared" ref="BK163" ca="1" si="1320">IF($D163="-","-",$BK$5 + (V163-StartGridX) * (GapXDiff + $BW$7))</f>
        <v>-</v>
      </c>
      <c r="BL163" s="192" t="str">
        <f t="shared" ref="BL163" ca="1" si="1321">IF($D163="-","-",$BL$5 + (W163-StartGridY) * (GapYDiff + $BV$7))</f>
        <v>-</v>
      </c>
      <c r="BM163" s="192" t="str">
        <f t="shared" ca="1" si="1090"/>
        <v>-</v>
      </c>
      <c r="BN163" s="192" t="str">
        <f t="shared" ca="1" si="1091"/>
        <v>-</v>
      </c>
      <c r="BO163" s="192" t="str">
        <f t="shared" ca="1" si="1092"/>
        <v>-</v>
      </c>
      <c r="BP163" s="192" t="str">
        <f t="shared" ca="1" si="1093"/>
        <v>-</v>
      </c>
      <c r="BQ163" s="192" t="str">
        <f ca="1">IF($D163="-","-",IF(LEN(K163)=0,1,IFERROR(MATCH(K163,Dashboard!$L$25:$L$31,0),1)))</f>
        <v>-</v>
      </c>
      <c r="CC163" s="143" t="str">
        <f t="shared" ref="CC163" ca="1" si="1322">IF($D163="-","-",IF(COUNTIF(IDSourceRange,E163)&gt;1,1,0))</f>
        <v>-</v>
      </c>
      <c r="CD163" s="143" t="str">
        <f t="shared" ref="CD163" ca="1" si="1323">IF($D163="-","-",  IF(LEN(M163)=0,0,IF(ISERROR(MATCH(M163,IDSourceRange,0)),1,0)) + IF(LEN(N163)=0,0,IF(ISERROR(MATCH(N163,IDSourceRange,0)),1,0)) + IF(LEN(O163)=0,0,IF(ISERROR(MATCH(O163,IDSourceRange,0)),1,0)) )</f>
        <v>-</v>
      </c>
      <c r="CE163" s="143" t="str">
        <f t="shared" ca="1" si="1121"/>
        <v>-</v>
      </c>
      <c r="CF163" s="143" t="s">
        <v>128</v>
      </c>
      <c r="CG163" s="143" t="str">
        <f t="shared" ref="CG163" ca="1" si="1324">IF($D163="-","-",IF(X163="-",0,IF(COUNTIF(GridCombinedRange,X163)&gt;1,1,0)))</f>
        <v>-</v>
      </c>
      <c r="CH163" s="143"/>
      <c r="CI163" s="143"/>
      <c r="CJ163" s="143"/>
      <c r="CK163" s="143"/>
      <c r="CL163" s="143"/>
    </row>
    <row r="164" spans="3:90" x14ac:dyDescent="0.3">
      <c r="C164" s="170">
        <v>158</v>
      </c>
      <c r="D164" s="111" t="str">
        <f ca="1">IF(COUNTA(OFFSET(Dashboard!$B$6,C164,0,1,COUNTA(Dashboard!$B$6:$H$6)))&gt;0,"Yes","-")</f>
        <v>-</v>
      </c>
      <c r="E164" s="170" t="str">
        <f ca="1">IF(D164="-","-",IF(LEN(INDEX(Dashboard!B$6:B$206,$C164+1))=0,"x"&amp;C164&amp;"x","x"&amp;INDEX(Dashboard!B$6:B$206,$C164+1)&amp;"x"))</f>
        <v>-</v>
      </c>
      <c r="F164" s="171" t="str">
        <f ca="1">IF(D164="-","-",IF(LEN(INDEX(Dashboard!$C$6:$C$206,C164+1))=0," ",INDEX(Dashboard!$C$6:$C$206,C164+1)))</f>
        <v>-</v>
      </c>
      <c r="G164" s="219" t="str">
        <f ca="1">IF(OR(D164="-",D164=""),"-",IF(LEN(INDEX(Dashboard!$D$6:$D$228,C164+1))=0,"", "x"&amp;SUBSTITUTE(SUBSTITUTE(INDEX(Dashboard!$D$6:$D$228,C164+1)," ",""),",","x,x")&amp;"x"))</f>
        <v>-</v>
      </c>
      <c r="H164" s="111" t="str">
        <f ca="1">IF(D164="-","-",TRIM(INDEX(Dashboard!$E$6:$E$206,C164+1)))</f>
        <v>-</v>
      </c>
      <c r="I164" s="111" t="str">
        <f ca="1">IF(D164="-","-",IF(LEN(INDEX(Dashboard!$F$6:$F$206,C164+1))=0,$BS$8,IF(ISERROR(MATCH(INDEX(Dashboard!$F$6:$F$206,C164+1),$BS$7:$BS$35,0)),$BS$8,INDEX(Dashboard!$F$6:$F$206,C164+1))))</f>
        <v>-</v>
      </c>
      <c r="J164" s="111" t="str">
        <f ca="1">IF(D164="-","-",SUBSTITUTE(INDEX(Dashboard!$G$6:$G$206,C164+1)," ",""))</f>
        <v>-</v>
      </c>
      <c r="K164" s="111" t="str">
        <f ca="1">IF(D164="-","-",IF(LEN(INDEX(Dashboard!$H$6:$H$206,C164+1))=0,"",INDEX(Dashboard!$H$6:$H$206,C164+1)))</f>
        <v>-</v>
      </c>
      <c r="M164" s="172" t="str">
        <f t="shared" ca="1" si="1187"/>
        <v>-</v>
      </c>
      <c r="N164" s="172" t="str">
        <f t="shared" ca="1" si="1187"/>
        <v>-</v>
      </c>
      <c r="O164" s="172" t="str">
        <f t="shared" ca="1" si="1187"/>
        <v>-</v>
      </c>
      <c r="P164" s="173" t="str">
        <f t="shared" ca="1" si="1080"/>
        <v>-</v>
      </c>
      <c r="Q164" s="172" t="str">
        <f t="shared" ca="1" si="1080"/>
        <v>-</v>
      </c>
      <c r="R164" s="172" t="str">
        <f t="shared" ca="1" si="1080"/>
        <v>-</v>
      </c>
      <c r="S164" s="174" t="str">
        <f t="array" aca="1" ref="S164" ca="1">IF($D164="-","-",SUM(IF(LEN(M164:O164)&gt;0,1,0)))</f>
        <v>-</v>
      </c>
      <c r="T164" s="175" t="str">
        <f t="array" aca="1" ref="T164" ca="1">IF(D164="-","-",SUM(IF(ISERROR(SEARCH(E164,$G$7:$G$206)),0,1)))</f>
        <v>-</v>
      </c>
      <c r="V164" s="204"/>
      <c r="W164" s="127"/>
      <c r="X164" s="177" t="str">
        <f t="shared" si="1097"/>
        <v>-</v>
      </c>
      <c r="Y164" s="178"/>
      <c r="Z164" s="127"/>
      <c r="AB164" s="179" t="str">
        <f t="shared" ca="1" si="1081"/>
        <v>-</v>
      </c>
      <c r="AC164" s="179" t="str">
        <f t="shared" ca="1" si="1081"/>
        <v>-</v>
      </c>
      <c r="AD164" s="179" t="str">
        <f t="shared" ca="1" si="1081"/>
        <v>-</v>
      </c>
      <c r="AJ164" s="181" t="str">
        <f t="shared" ca="1" si="1082"/>
        <v>-</v>
      </c>
      <c r="AK164" s="179" t="str">
        <f t="shared" ca="1" si="1083"/>
        <v>-</v>
      </c>
      <c r="AL164" s="179" t="str">
        <f t="shared" ca="1" si="1083"/>
        <v>-</v>
      </c>
      <c r="AM164" s="179" t="str">
        <f t="shared" ca="1" si="1083"/>
        <v>-</v>
      </c>
      <c r="AO164" s="182" t="str">
        <f t="shared" ca="1" si="1084"/>
        <v>-</v>
      </c>
      <c r="AP164" s="182" t="str">
        <f t="shared" ca="1" si="1084"/>
        <v>-</v>
      </c>
      <c r="AQ164" s="182" t="str">
        <f t="shared" ca="1" si="1084"/>
        <v>-</v>
      </c>
      <c r="AU164" s="185" t="str">
        <f t="shared" ref="AU164" ca="1" si="1325">IF($D164="-","-",IF(LEN(M164)=0,"", INDEX($AT$7:$AT$15,MATCH(IF($V164-INDEX(GridXRange,P164)&lt;0,"Negative",IF($V164-INDEX(GridXRange,P164)&gt;0,"Positive","Zero")) &amp; " - " &amp;IF($W164-INDEX(GridYRange,P164)&lt;0,"Negative",IF($W164-INDEX(GridYRange,P164)&gt;0,"Positive","Zero")),$AS$7:$AS$15,0))))</f>
        <v>-</v>
      </c>
      <c r="AV164" s="186" t="str">
        <f t="shared" ref="AV164" ca="1" si="1326">IF($D164="-","-",IF(LEN(N164)=0,"", INDEX($AT$7:$AT$15,MATCH(IF($V164-INDEX(GridXRange,Q164)&lt;0,"Negative",IF($V164-INDEX(GridXRange,Q164)&gt;0,"Positive","Zero")) &amp; " - " &amp;IF($W164-INDEX(GridYRange,Q164)&lt;0,"Negative",IF($W164-INDEX(GridYRange,Q164)&gt;0,"Positive","Zero")),$AS$7:$AS$15,0))))</f>
        <v>-</v>
      </c>
      <c r="AW164" s="186" t="str">
        <f t="shared" ref="AW164" ca="1" si="1327">IF($D164="-","-",IF(LEN(O164)=0,"", INDEX($AT$7:$AT$15,MATCH(IF($V164-INDEX(GridXRange,R164)&lt;0,"Negative",IF($V164-INDEX(GridXRange,R164)&gt;0,"Positive","Zero")) &amp; " - " &amp;IF($W164-INDEX(GridYRange,R164)&lt;0,"Negative",IF($W164-INDEX(GridYRange,R164)&gt;0,"Positive","Zero")),$AS$7:$AS$15,0))))</f>
        <v>-</v>
      </c>
      <c r="AX164" s="187"/>
      <c r="AY164" s="188"/>
      <c r="AZ164" s="188"/>
      <c r="BA164" s="184"/>
      <c r="BB164" s="187" t="str">
        <f t="shared" ca="1" si="1191"/>
        <v>-</v>
      </c>
      <c r="BC164" s="188" t="str">
        <f t="shared" ca="1" si="1191"/>
        <v>-</v>
      </c>
      <c r="BD164" s="188" t="str">
        <f t="shared" ca="1" si="1191"/>
        <v>-</v>
      </c>
      <c r="BE164" s="189" t="str">
        <f t="shared" ca="1" si="1191"/>
        <v>-</v>
      </c>
      <c r="BK164" s="192" t="str">
        <f t="shared" ref="BK164" ca="1" si="1328">IF($D164="-","-",$BK$5 + (V164-StartGridX) * (GapXDiff + $BW$7))</f>
        <v>-</v>
      </c>
      <c r="BL164" s="192" t="str">
        <f t="shared" ref="BL164" ca="1" si="1329">IF($D164="-","-",$BL$5 + (W164-StartGridY) * (GapYDiff + $BV$7))</f>
        <v>-</v>
      </c>
      <c r="BM164" s="192" t="str">
        <f t="shared" ca="1" si="1090"/>
        <v>-</v>
      </c>
      <c r="BN164" s="192" t="str">
        <f t="shared" ca="1" si="1091"/>
        <v>-</v>
      </c>
      <c r="BO164" s="192" t="str">
        <f t="shared" ca="1" si="1092"/>
        <v>-</v>
      </c>
      <c r="BP164" s="192" t="str">
        <f t="shared" ca="1" si="1093"/>
        <v>-</v>
      </c>
      <c r="BQ164" s="192" t="str">
        <f ca="1">IF($D164="-","-",IF(LEN(K164)=0,1,IFERROR(MATCH(K164,Dashboard!$L$25:$L$31,0),1)))</f>
        <v>-</v>
      </c>
      <c r="CC164" s="143" t="str">
        <f t="shared" ref="CC164" ca="1" si="1330">IF($D164="-","-",IF(COUNTIF(IDSourceRange,E164)&gt;1,1,0))</f>
        <v>-</v>
      </c>
      <c r="CD164" s="143" t="str">
        <f t="shared" ref="CD164" ca="1" si="1331">IF($D164="-","-",  IF(LEN(M164)=0,0,IF(ISERROR(MATCH(M164,IDSourceRange,0)),1,0)) + IF(LEN(N164)=0,0,IF(ISERROR(MATCH(N164,IDSourceRange,0)),1,0)) + IF(LEN(O164)=0,0,IF(ISERROR(MATCH(O164,IDSourceRange,0)),1,0)) )</f>
        <v>-</v>
      </c>
      <c r="CE164" s="143" t="str">
        <f t="shared" ca="1" si="1121"/>
        <v>-</v>
      </c>
      <c r="CF164" s="143" t="s">
        <v>128</v>
      </c>
      <c r="CG164" s="143" t="str">
        <f t="shared" ref="CG164" ca="1" si="1332">IF($D164="-","-",IF(X164="-",0,IF(COUNTIF(GridCombinedRange,X164)&gt;1,1,0)))</f>
        <v>-</v>
      </c>
      <c r="CH164" s="143"/>
      <c r="CI164" s="143"/>
      <c r="CJ164" s="143"/>
      <c r="CK164" s="143"/>
      <c r="CL164" s="143"/>
    </row>
    <row r="165" spans="3:90" x14ac:dyDescent="0.3">
      <c r="C165" s="170">
        <v>159</v>
      </c>
      <c r="D165" s="111" t="str">
        <f ca="1">IF(COUNTA(OFFSET(Dashboard!$B$6,C165,0,1,COUNTA(Dashboard!$B$6:$H$6)))&gt;0,"Yes","-")</f>
        <v>-</v>
      </c>
      <c r="E165" s="170" t="str">
        <f ca="1">IF(D165="-","-",IF(LEN(INDEX(Dashboard!B$6:B$206,$C165+1))=0,"x"&amp;C165&amp;"x","x"&amp;INDEX(Dashboard!B$6:B$206,$C165+1)&amp;"x"))</f>
        <v>-</v>
      </c>
      <c r="F165" s="171" t="str">
        <f ca="1">IF(D165="-","-",IF(LEN(INDEX(Dashboard!$C$6:$C$206,C165+1))=0," ",INDEX(Dashboard!$C$6:$C$206,C165+1)))</f>
        <v>-</v>
      </c>
      <c r="G165" s="219" t="str">
        <f ca="1">IF(OR(D165="-",D165=""),"-",IF(LEN(INDEX(Dashboard!$D$6:$D$228,C165+1))=0,"", "x"&amp;SUBSTITUTE(SUBSTITUTE(INDEX(Dashboard!$D$6:$D$228,C165+1)," ",""),",","x,x")&amp;"x"))</f>
        <v>-</v>
      </c>
      <c r="H165" s="111" t="str">
        <f ca="1">IF(D165="-","-",TRIM(INDEX(Dashboard!$E$6:$E$206,C165+1)))</f>
        <v>-</v>
      </c>
      <c r="I165" s="111" t="str">
        <f ca="1">IF(D165="-","-",IF(LEN(INDEX(Dashboard!$F$6:$F$206,C165+1))=0,$BS$8,IF(ISERROR(MATCH(INDEX(Dashboard!$F$6:$F$206,C165+1),$BS$7:$BS$35,0)),$BS$8,INDEX(Dashboard!$F$6:$F$206,C165+1))))</f>
        <v>-</v>
      </c>
      <c r="J165" s="111" t="str">
        <f ca="1">IF(D165="-","-",SUBSTITUTE(INDEX(Dashboard!$G$6:$G$206,C165+1)," ",""))</f>
        <v>-</v>
      </c>
      <c r="K165" s="111" t="str">
        <f ca="1">IF(D165="-","-",IF(LEN(INDEX(Dashboard!$H$6:$H$206,C165+1))=0,"",INDEX(Dashboard!$H$6:$H$206,C165+1)))</f>
        <v>-</v>
      </c>
      <c r="M165" s="172" t="str">
        <f t="shared" ca="1" si="1187"/>
        <v>-</v>
      </c>
      <c r="N165" s="172" t="str">
        <f t="shared" ca="1" si="1187"/>
        <v>-</v>
      </c>
      <c r="O165" s="172" t="str">
        <f t="shared" ca="1" si="1187"/>
        <v>-</v>
      </c>
      <c r="P165" s="173" t="str">
        <f t="shared" ca="1" si="1080"/>
        <v>-</v>
      </c>
      <c r="Q165" s="172" t="str">
        <f t="shared" ca="1" si="1080"/>
        <v>-</v>
      </c>
      <c r="R165" s="172" t="str">
        <f t="shared" ca="1" si="1080"/>
        <v>-</v>
      </c>
      <c r="S165" s="174" t="str">
        <f t="array" aca="1" ref="S165" ca="1">IF($D165="-","-",SUM(IF(LEN(M165:O165)&gt;0,1,0)))</f>
        <v>-</v>
      </c>
      <c r="T165" s="175" t="str">
        <f t="array" aca="1" ref="T165" ca="1">IF(D165="-","-",SUM(IF(ISERROR(SEARCH(E165,$G$7:$G$206)),0,1)))</f>
        <v>-</v>
      </c>
      <c r="V165" s="204"/>
      <c r="W165" s="127"/>
      <c r="X165" s="177" t="str">
        <f t="shared" si="1097"/>
        <v>-</v>
      </c>
      <c r="Y165" s="178"/>
      <c r="Z165" s="127"/>
      <c r="AB165" s="179" t="str">
        <f t="shared" ca="1" si="1081"/>
        <v>-</v>
      </c>
      <c r="AC165" s="179" t="str">
        <f t="shared" ca="1" si="1081"/>
        <v>-</v>
      </c>
      <c r="AD165" s="179" t="str">
        <f t="shared" ca="1" si="1081"/>
        <v>-</v>
      </c>
      <c r="AJ165" s="181" t="str">
        <f t="shared" ca="1" si="1082"/>
        <v>-</v>
      </c>
      <c r="AK165" s="179" t="str">
        <f t="shared" ca="1" si="1083"/>
        <v>-</v>
      </c>
      <c r="AL165" s="179" t="str">
        <f t="shared" ca="1" si="1083"/>
        <v>-</v>
      </c>
      <c r="AM165" s="179" t="str">
        <f t="shared" ca="1" si="1083"/>
        <v>-</v>
      </c>
      <c r="AO165" s="182" t="str">
        <f t="shared" ca="1" si="1084"/>
        <v>-</v>
      </c>
      <c r="AP165" s="182" t="str">
        <f t="shared" ca="1" si="1084"/>
        <v>-</v>
      </c>
      <c r="AQ165" s="182" t="str">
        <f t="shared" ca="1" si="1084"/>
        <v>-</v>
      </c>
      <c r="AU165" s="185" t="str">
        <f t="shared" ref="AU165" ca="1" si="1333">IF($D165="-","-",IF(LEN(M165)=0,"", INDEX($AT$7:$AT$15,MATCH(IF($V165-INDEX(GridXRange,P165)&lt;0,"Negative",IF($V165-INDEX(GridXRange,P165)&gt;0,"Positive","Zero")) &amp; " - " &amp;IF($W165-INDEX(GridYRange,P165)&lt;0,"Negative",IF($W165-INDEX(GridYRange,P165)&gt;0,"Positive","Zero")),$AS$7:$AS$15,0))))</f>
        <v>-</v>
      </c>
      <c r="AV165" s="186" t="str">
        <f t="shared" ref="AV165" ca="1" si="1334">IF($D165="-","-",IF(LEN(N165)=0,"", INDEX($AT$7:$AT$15,MATCH(IF($V165-INDEX(GridXRange,Q165)&lt;0,"Negative",IF($V165-INDEX(GridXRange,Q165)&gt;0,"Positive","Zero")) &amp; " - " &amp;IF($W165-INDEX(GridYRange,Q165)&lt;0,"Negative",IF($W165-INDEX(GridYRange,Q165)&gt;0,"Positive","Zero")),$AS$7:$AS$15,0))))</f>
        <v>-</v>
      </c>
      <c r="AW165" s="186" t="str">
        <f t="shared" ref="AW165" ca="1" si="1335">IF($D165="-","-",IF(LEN(O165)=0,"", INDEX($AT$7:$AT$15,MATCH(IF($V165-INDEX(GridXRange,R165)&lt;0,"Negative",IF($V165-INDEX(GridXRange,R165)&gt;0,"Positive","Zero")) &amp; " - " &amp;IF($W165-INDEX(GridYRange,R165)&lt;0,"Negative",IF($W165-INDEX(GridYRange,R165)&gt;0,"Positive","Zero")),$AS$7:$AS$15,0))))</f>
        <v>-</v>
      </c>
      <c r="AX165" s="187"/>
      <c r="AY165" s="188"/>
      <c r="AZ165" s="188"/>
      <c r="BA165" s="184"/>
      <c r="BB165" s="187" t="str">
        <f t="shared" ca="1" si="1191"/>
        <v>-</v>
      </c>
      <c r="BC165" s="188" t="str">
        <f t="shared" ca="1" si="1191"/>
        <v>-</v>
      </c>
      <c r="BD165" s="188" t="str">
        <f t="shared" ca="1" si="1191"/>
        <v>-</v>
      </c>
      <c r="BE165" s="189" t="str">
        <f t="shared" ca="1" si="1191"/>
        <v>-</v>
      </c>
      <c r="BK165" s="192" t="str">
        <f t="shared" ref="BK165" ca="1" si="1336">IF($D165="-","-",$BK$5 + (V165-StartGridX) * (GapXDiff + $BW$7))</f>
        <v>-</v>
      </c>
      <c r="BL165" s="192" t="str">
        <f t="shared" ref="BL165" ca="1" si="1337">IF($D165="-","-",$BL$5 + (W165-StartGridY) * (GapYDiff + $BV$7))</f>
        <v>-</v>
      </c>
      <c r="BM165" s="192" t="str">
        <f t="shared" ca="1" si="1090"/>
        <v>-</v>
      </c>
      <c r="BN165" s="192" t="str">
        <f t="shared" ca="1" si="1091"/>
        <v>-</v>
      </c>
      <c r="BO165" s="192" t="str">
        <f t="shared" ca="1" si="1092"/>
        <v>-</v>
      </c>
      <c r="BP165" s="192" t="str">
        <f t="shared" ca="1" si="1093"/>
        <v>-</v>
      </c>
      <c r="BQ165" s="192" t="str">
        <f ca="1">IF($D165="-","-",IF(LEN(K165)=0,1,IFERROR(MATCH(K165,Dashboard!$L$25:$L$31,0),1)))</f>
        <v>-</v>
      </c>
      <c r="CC165" s="143" t="str">
        <f t="shared" ref="CC165" ca="1" si="1338">IF($D165="-","-",IF(COUNTIF(IDSourceRange,E165)&gt;1,1,0))</f>
        <v>-</v>
      </c>
      <c r="CD165" s="143" t="str">
        <f t="shared" ref="CD165" ca="1" si="1339">IF($D165="-","-",  IF(LEN(M165)=0,0,IF(ISERROR(MATCH(M165,IDSourceRange,0)),1,0)) + IF(LEN(N165)=0,0,IF(ISERROR(MATCH(N165,IDSourceRange,0)),1,0)) + IF(LEN(O165)=0,0,IF(ISERROR(MATCH(O165,IDSourceRange,0)),1,0)) )</f>
        <v>-</v>
      </c>
      <c r="CE165" s="143" t="str">
        <f t="shared" ca="1" si="1121"/>
        <v>-</v>
      </c>
      <c r="CF165" s="143" t="s">
        <v>128</v>
      </c>
      <c r="CG165" s="143" t="str">
        <f t="shared" ref="CG165" ca="1" si="1340">IF($D165="-","-",IF(X165="-",0,IF(COUNTIF(GridCombinedRange,X165)&gt;1,1,0)))</f>
        <v>-</v>
      </c>
      <c r="CH165" s="143"/>
      <c r="CI165" s="143"/>
      <c r="CJ165" s="143"/>
      <c r="CK165" s="143"/>
      <c r="CL165" s="143"/>
    </row>
    <row r="166" spans="3:90" x14ac:dyDescent="0.3">
      <c r="C166" s="170">
        <v>160</v>
      </c>
      <c r="D166" s="111" t="str">
        <f ca="1">IF(COUNTA(OFFSET(Dashboard!$B$6,C166,0,1,COUNTA(Dashboard!$B$6:$H$6)))&gt;0,"Yes","-")</f>
        <v>-</v>
      </c>
      <c r="E166" s="170" t="str">
        <f ca="1">IF(D166="-","-",IF(LEN(INDEX(Dashboard!B$6:B$206,$C166+1))=0,"x"&amp;C166&amp;"x","x"&amp;INDEX(Dashboard!B$6:B$206,$C166+1)&amp;"x"))</f>
        <v>-</v>
      </c>
      <c r="F166" s="171" t="str">
        <f ca="1">IF(D166="-","-",IF(LEN(INDEX(Dashboard!$C$6:$C$206,C166+1))=0," ",INDEX(Dashboard!$C$6:$C$206,C166+1)))</f>
        <v>-</v>
      </c>
      <c r="G166" s="219" t="str">
        <f ca="1">IF(OR(D166="-",D166=""),"-",IF(LEN(INDEX(Dashboard!$D$6:$D$228,C166+1))=0,"", "x"&amp;SUBSTITUTE(SUBSTITUTE(INDEX(Dashboard!$D$6:$D$228,C166+1)," ",""),",","x,x")&amp;"x"))</f>
        <v>-</v>
      </c>
      <c r="H166" s="111" t="str">
        <f ca="1">IF(D166="-","-",TRIM(INDEX(Dashboard!$E$6:$E$206,C166+1)))</f>
        <v>-</v>
      </c>
      <c r="I166" s="111" t="str">
        <f ca="1">IF(D166="-","-",IF(LEN(INDEX(Dashboard!$F$6:$F$206,C166+1))=0,$BS$8,IF(ISERROR(MATCH(INDEX(Dashboard!$F$6:$F$206,C166+1),$BS$7:$BS$35,0)),$BS$8,INDEX(Dashboard!$F$6:$F$206,C166+1))))</f>
        <v>-</v>
      </c>
      <c r="J166" s="111" t="str">
        <f ca="1">IF(D166="-","-",SUBSTITUTE(INDEX(Dashboard!$G$6:$G$206,C166+1)," ",""))</f>
        <v>-</v>
      </c>
      <c r="K166" s="111" t="str">
        <f ca="1">IF(D166="-","-",IF(LEN(INDEX(Dashboard!$H$6:$H$206,C166+1))=0,"",INDEX(Dashboard!$H$6:$H$206,C166+1)))</f>
        <v>-</v>
      </c>
      <c r="M166" s="172" t="str">
        <f t="shared" ca="1" si="1187"/>
        <v>-</v>
      </c>
      <c r="N166" s="172" t="str">
        <f t="shared" ca="1" si="1187"/>
        <v>-</v>
      </c>
      <c r="O166" s="172" t="str">
        <f t="shared" ca="1" si="1187"/>
        <v>-</v>
      </c>
      <c r="P166" s="173" t="str">
        <f t="shared" ca="1" si="1080"/>
        <v>-</v>
      </c>
      <c r="Q166" s="172" t="str">
        <f t="shared" ca="1" si="1080"/>
        <v>-</v>
      </c>
      <c r="R166" s="172" t="str">
        <f t="shared" ca="1" si="1080"/>
        <v>-</v>
      </c>
      <c r="S166" s="174" t="str">
        <f t="array" aca="1" ref="S166" ca="1">IF($D166="-","-",SUM(IF(LEN(M166:O166)&gt;0,1,0)))</f>
        <v>-</v>
      </c>
      <c r="T166" s="175" t="str">
        <f t="array" aca="1" ref="T166" ca="1">IF(D166="-","-",SUM(IF(ISERROR(SEARCH(E166,$G$7:$G$206)),0,1)))</f>
        <v>-</v>
      </c>
      <c r="V166" s="204"/>
      <c r="W166" s="127"/>
      <c r="X166" s="177" t="str">
        <f t="shared" si="1097"/>
        <v>-</v>
      </c>
      <c r="Y166" s="178"/>
      <c r="Z166" s="127"/>
      <c r="AB166" s="179" t="str">
        <f t="shared" ca="1" si="1081"/>
        <v>-</v>
      </c>
      <c r="AC166" s="179" t="str">
        <f t="shared" ca="1" si="1081"/>
        <v>-</v>
      </c>
      <c r="AD166" s="179" t="str">
        <f t="shared" ca="1" si="1081"/>
        <v>-</v>
      </c>
      <c r="AJ166" s="181" t="str">
        <f t="shared" ca="1" si="1082"/>
        <v>-</v>
      </c>
      <c r="AK166" s="179" t="str">
        <f t="shared" ca="1" si="1083"/>
        <v>-</v>
      </c>
      <c r="AL166" s="179" t="str">
        <f t="shared" ca="1" si="1083"/>
        <v>-</v>
      </c>
      <c r="AM166" s="179" t="str">
        <f t="shared" ca="1" si="1083"/>
        <v>-</v>
      </c>
      <c r="AO166" s="182" t="str">
        <f t="shared" ca="1" si="1084"/>
        <v>-</v>
      </c>
      <c r="AP166" s="182" t="str">
        <f t="shared" ca="1" si="1084"/>
        <v>-</v>
      </c>
      <c r="AQ166" s="182" t="str">
        <f t="shared" ca="1" si="1084"/>
        <v>-</v>
      </c>
      <c r="AU166" s="185" t="str">
        <f t="shared" ref="AU166" ca="1" si="1341">IF($D166="-","-",IF(LEN(M166)=0,"", INDEX($AT$7:$AT$15,MATCH(IF($V166-INDEX(GridXRange,P166)&lt;0,"Negative",IF($V166-INDEX(GridXRange,P166)&gt;0,"Positive","Zero")) &amp; " - " &amp;IF($W166-INDEX(GridYRange,P166)&lt;0,"Negative",IF($W166-INDEX(GridYRange,P166)&gt;0,"Positive","Zero")),$AS$7:$AS$15,0))))</f>
        <v>-</v>
      </c>
      <c r="AV166" s="186" t="str">
        <f t="shared" ref="AV166" ca="1" si="1342">IF($D166="-","-",IF(LEN(N166)=0,"", INDEX($AT$7:$AT$15,MATCH(IF($V166-INDEX(GridXRange,Q166)&lt;0,"Negative",IF($V166-INDEX(GridXRange,Q166)&gt;0,"Positive","Zero")) &amp; " - " &amp;IF($W166-INDEX(GridYRange,Q166)&lt;0,"Negative",IF($W166-INDEX(GridYRange,Q166)&gt;0,"Positive","Zero")),$AS$7:$AS$15,0))))</f>
        <v>-</v>
      </c>
      <c r="AW166" s="186" t="str">
        <f t="shared" ref="AW166" ca="1" si="1343">IF($D166="-","-",IF(LEN(O166)=0,"", INDEX($AT$7:$AT$15,MATCH(IF($V166-INDEX(GridXRange,R166)&lt;0,"Negative",IF($V166-INDEX(GridXRange,R166)&gt;0,"Positive","Zero")) &amp; " - " &amp;IF($W166-INDEX(GridYRange,R166)&lt;0,"Negative",IF($W166-INDEX(GridYRange,R166)&gt;0,"Positive","Zero")),$AS$7:$AS$15,0))))</f>
        <v>-</v>
      </c>
      <c r="AX166" s="187"/>
      <c r="AY166" s="188"/>
      <c r="AZ166" s="188"/>
      <c r="BA166" s="184"/>
      <c r="BB166" s="187" t="str">
        <f t="shared" ca="1" si="1191"/>
        <v>-</v>
      </c>
      <c r="BC166" s="188" t="str">
        <f t="shared" ca="1" si="1191"/>
        <v>-</v>
      </c>
      <c r="BD166" s="188" t="str">
        <f t="shared" ca="1" si="1191"/>
        <v>-</v>
      </c>
      <c r="BE166" s="189" t="str">
        <f t="shared" ca="1" si="1191"/>
        <v>-</v>
      </c>
      <c r="BK166" s="192" t="str">
        <f t="shared" ref="BK166" ca="1" si="1344">IF($D166="-","-",$BK$5 + (V166-StartGridX) * (GapXDiff + $BW$7))</f>
        <v>-</v>
      </c>
      <c r="BL166" s="192" t="str">
        <f t="shared" ref="BL166" ca="1" si="1345">IF($D166="-","-",$BL$5 + (W166-StartGridY) * (GapYDiff + $BV$7))</f>
        <v>-</v>
      </c>
      <c r="BM166" s="192" t="str">
        <f t="shared" ca="1" si="1090"/>
        <v>-</v>
      </c>
      <c r="BN166" s="192" t="str">
        <f t="shared" ca="1" si="1091"/>
        <v>-</v>
      </c>
      <c r="BO166" s="192" t="str">
        <f t="shared" ca="1" si="1092"/>
        <v>-</v>
      </c>
      <c r="BP166" s="192" t="str">
        <f t="shared" ca="1" si="1093"/>
        <v>-</v>
      </c>
      <c r="BQ166" s="192" t="str">
        <f ca="1">IF($D166="-","-",IF(LEN(K166)=0,1,IFERROR(MATCH(K166,Dashboard!$L$25:$L$31,0),1)))</f>
        <v>-</v>
      </c>
      <c r="CC166" s="143" t="str">
        <f t="shared" ref="CC166" ca="1" si="1346">IF($D166="-","-",IF(COUNTIF(IDSourceRange,E166)&gt;1,1,0))</f>
        <v>-</v>
      </c>
      <c r="CD166" s="143" t="str">
        <f t="shared" ref="CD166" ca="1" si="1347">IF($D166="-","-",  IF(LEN(M166)=0,0,IF(ISERROR(MATCH(M166,IDSourceRange,0)),1,0)) + IF(LEN(N166)=0,0,IF(ISERROR(MATCH(N166,IDSourceRange,0)),1,0)) + IF(LEN(O166)=0,0,IF(ISERROR(MATCH(O166,IDSourceRange,0)),1,0)) )</f>
        <v>-</v>
      </c>
      <c r="CE166" s="143" t="str">
        <f t="shared" ca="1" si="1121"/>
        <v>-</v>
      </c>
      <c r="CF166" s="143" t="s">
        <v>128</v>
      </c>
      <c r="CG166" s="143" t="str">
        <f t="shared" ref="CG166" ca="1" si="1348">IF($D166="-","-",IF(X166="-",0,IF(COUNTIF(GridCombinedRange,X166)&gt;1,1,0)))</f>
        <v>-</v>
      </c>
      <c r="CH166" s="143"/>
      <c r="CI166" s="143"/>
      <c r="CJ166" s="143"/>
      <c r="CK166" s="143"/>
      <c r="CL166" s="143"/>
    </row>
    <row r="167" spans="3:90" x14ac:dyDescent="0.3">
      <c r="C167" s="170">
        <v>161</v>
      </c>
      <c r="D167" s="111" t="str">
        <f ca="1">IF(COUNTA(OFFSET(Dashboard!$B$6,C167,0,1,COUNTA(Dashboard!$B$6:$H$6)))&gt;0,"Yes","-")</f>
        <v>-</v>
      </c>
      <c r="E167" s="170" t="str">
        <f ca="1">IF(D167="-","-",IF(LEN(INDEX(Dashboard!B$6:B$206,$C167+1))=0,"x"&amp;C167&amp;"x","x"&amp;INDEX(Dashboard!B$6:B$206,$C167+1)&amp;"x"))</f>
        <v>-</v>
      </c>
      <c r="F167" s="171" t="str">
        <f ca="1">IF(D167="-","-",IF(LEN(INDEX(Dashboard!$C$6:$C$206,C167+1))=0," ",INDEX(Dashboard!$C$6:$C$206,C167+1)))</f>
        <v>-</v>
      </c>
      <c r="G167" s="219" t="str">
        <f ca="1">IF(OR(D167="-",D167=""),"-",IF(LEN(INDEX(Dashboard!$D$6:$D$228,C167+1))=0,"", "x"&amp;SUBSTITUTE(SUBSTITUTE(INDEX(Dashboard!$D$6:$D$228,C167+1)," ",""),",","x,x")&amp;"x"))</f>
        <v>-</v>
      </c>
      <c r="H167" s="111" t="str">
        <f ca="1">IF(D167="-","-",TRIM(INDEX(Dashboard!$E$6:$E$206,C167+1)))</f>
        <v>-</v>
      </c>
      <c r="I167" s="111" t="str">
        <f ca="1">IF(D167="-","-",IF(LEN(INDEX(Dashboard!$F$6:$F$206,C167+1))=0,$BS$8,IF(ISERROR(MATCH(INDEX(Dashboard!$F$6:$F$206,C167+1),$BS$7:$BS$35,0)),$BS$8,INDEX(Dashboard!$F$6:$F$206,C167+1))))</f>
        <v>-</v>
      </c>
      <c r="J167" s="111" t="str">
        <f ca="1">IF(D167="-","-",SUBSTITUTE(INDEX(Dashboard!$G$6:$G$206,C167+1)," ",""))</f>
        <v>-</v>
      </c>
      <c r="K167" s="111" t="str">
        <f ca="1">IF(D167="-","-",IF(LEN(INDEX(Dashboard!$H$6:$H$206,C167+1))=0,"",INDEX(Dashboard!$H$6:$H$206,C167+1)))</f>
        <v>-</v>
      </c>
      <c r="M167" s="172" t="str">
        <f t="shared" ref="M167:O186" ca="1" si="1349">IF($D167="-","-",TRIM(MID(SUBSTITUTE($G167,",",REPT(" ",LEN($G167))),(M$6-1)*LEN($G167)+1,LEN($G167))))</f>
        <v>-</v>
      </c>
      <c r="N167" s="172" t="str">
        <f t="shared" ca="1" si="1349"/>
        <v>-</v>
      </c>
      <c r="O167" s="172" t="str">
        <f t="shared" ca="1" si="1349"/>
        <v>-</v>
      </c>
      <c r="P167" s="173" t="str">
        <f t="shared" ref="P167:R198" ca="1" si="1350">IF($D167="-","-",IF(LEN(M167)=0,"",MATCH(M167,$E$7:$E$206,0)))</f>
        <v>-</v>
      </c>
      <c r="Q167" s="172" t="str">
        <f t="shared" ca="1" si="1350"/>
        <v>-</v>
      </c>
      <c r="R167" s="172" t="str">
        <f t="shared" ca="1" si="1350"/>
        <v>-</v>
      </c>
      <c r="S167" s="174" t="str">
        <f t="array" aca="1" ref="S167" ca="1">IF($D167="-","-",SUM(IF(LEN(M167:O167)&gt;0,1,0)))</f>
        <v>-</v>
      </c>
      <c r="T167" s="175" t="str">
        <f t="array" aca="1" ref="T167" ca="1">IF(D167="-","-",SUM(IF(ISERROR(SEARCH(E167,$G$7:$G$206)),0,1)))</f>
        <v>-</v>
      </c>
      <c r="V167" s="204"/>
      <c r="W167" s="127"/>
      <c r="X167" s="177" t="str">
        <f t="shared" si="1097"/>
        <v>-</v>
      </c>
      <c r="Y167" s="178"/>
      <c r="Z167" s="127"/>
      <c r="AB167" s="179" t="str">
        <f t="shared" ref="AB167:AD198" ca="1" si="1351">IF($D167="-","-",IF(LEN(M167)=0,"",TRIM(MID(SUBSTITUTE($J167,",",REPT(" ",LEN($J167))),(AB$6-1)*LEN($J167)+1,LEN($J167)))))</f>
        <v>-</v>
      </c>
      <c r="AC167" s="179" t="str">
        <f t="shared" ca="1" si="1351"/>
        <v>-</v>
      </c>
      <c r="AD167" s="179" t="str">
        <f t="shared" ca="1" si="1351"/>
        <v>-</v>
      </c>
      <c r="AJ167" s="181" t="str">
        <f t="shared" ca="1" si="1082"/>
        <v>-</v>
      </c>
      <c r="AK167" s="179" t="str">
        <f t="shared" ca="1" si="1083"/>
        <v>-</v>
      </c>
      <c r="AL167" s="179" t="str">
        <f t="shared" ca="1" si="1083"/>
        <v>-</v>
      </c>
      <c r="AM167" s="179" t="str">
        <f t="shared" ca="1" si="1083"/>
        <v>-</v>
      </c>
      <c r="AO167" s="182" t="str">
        <f t="shared" ref="AO167:AQ198" ca="1" si="1352">IF($D167="-","-",IF(LEN(M167)=0,"",TRIM(MID(SUBSTITUTE($H167,",",REPT(" ",LEN($H167))),(M$6-1)*LEN($H167)+1,LEN($H167)))))</f>
        <v>-</v>
      </c>
      <c r="AP167" s="182" t="str">
        <f t="shared" ca="1" si="1352"/>
        <v>-</v>
      </c>
      <c r="AQ167" s="182" t="str">
        <f t="shared" ca="1" si="1352"/>
        <v>-</v>
      </c>
      <c r="AU167" s="185" t="str">
        <f t="shared" ref="AU167" ca="1" si="1353">IF($D167="-","-",IF(LEN(M167)=0,"", INDEX($AT$7:$AT$15,MATCH(IF($V167-INDEX(GridXRange,P167)&lt;0,"Negative",IF($V167-INDEX(GridXRange,P167)&gt;0,"Positive","Zero")) &amp; " - " &amp;IF($W167-INDEX(GridYRange,P167)&lt;0,"Negative",IF($W167-INDEX(GridYRange,P167)&gt;0,"Positive","Zero")),$AS$7:$AS$15,0))))</f>
        <v>-</v>
      </c>
      <c r="AV167" s="186" t="str">
        <f t="shared" ref="AV167" ca="1" si="1354">IF($D167="-","-",IF(LEN(N167)=0,"", INDEX($AT$7:$AT$15,MATCH(IF($V167-INDEX(GridXRange,Q167)&lt;0,"Negative",IF($V167-INDEX(GridXRange,Q167)&gt;0,"Positive","Zero")) &amp; " - " &amp;IF($W167-INDEX(GridYRange,Q167)&lt;0,"Negative",IF($W167-INDEX(GridYRange,Q167)&gt;0,"Positive","Zero")),$AS$7:$AS$15,0))))</f>
        <v>-</v>
      </c>
      <c r="AW167" s="186" t="str">
        <f t="shared" ref="AW167" ca="1" si="1355">IF($D167="-","-",IF(LEN(O167)=0,"", INDEX($AT$7:$AT$15,MATCH(IF($V167-INDEX(GridXRange,R167)&lt;0,"Negative",IF($V167-INDEX(GridXRange,R167)&gt;0,"Positive","Zero")) &amp; " - " &amp;IF($W167-INDEX(GridYRange,R167)&lt;0,"Negative",IF($W167-INDEX(GridYRange,R167)&gt;0,"Positive","Zero")),$AS$7:$AS$15,0))))</f>
        <v>-</v>
      </c>
      <c r="AX167" s="187"/>
      <c r="AY167" s="188"/>
      <c r="AZ167" s="188"/>
      <c r="BA167" s="184"/>
      <c r="BB167" s="187" t="str">
        <f t="shared" ref="BB167:BE186" ca="1" si="1356">IF($D167="-","-",INDEX($BX$7:$CA$35,MATCH($I167,$BS$7:$BS$35,0),BB$6))</f>
        <v>-</v>
      </c>
      <c r="BC167" s="188" t="str">
        <f t="shared" ca="1" si="1356"/>
        <v>-</v>
      </c>
      <c r="BD167" s="188" t="str">
        <f t="shared" ca="1" si="1356"/>
        <v>-</v>
      </c>
      <c r="BE167" s="189" t="str">
        <f t="shared" ca="1" si="1356"/>
        <v>-</v>
      </c>
      <c r="BK167" s="192" t="str">
        <f t="shared" ref="BK167" ca="1" si="1357">IF($D167="-","-",$BK$5 + (V167-StartGridX) * (GapXDiff + $BW$7))</f>
        <v>-</v>
      </c>
      <c r="BL167" s="192" t="str">
        <f t="shared" ref="BL167" ca="1" si="1358">IF($D167="-","-",$BL$5 + (W167-StartGridY) * (GapYDiff + $BV$7))</f>
        <v>-</v>
      </c>
      <c r="BM167" s="192" t="str">
        <f t="shared" ca="1" si="1090"/>
        <v>-</v>
      </c>
      <c r="BN167" s="192" t="str">
        <f t="shared" ca="1" si="1091"/>
        <v>-</v>
      </c>
      <c r="BO167" s="192" t="str">
        <f t="shared" ca="1" si="1092"/>
        <v>-</v>
      </c>
      <c r="BP167" s="192" t="str">
        <f t="shared" ca="1" si="1093"/>
        <v>-</v>
      </c>
      <c r="BQ167" s="192" t="str">
        <f ca="1">IF($D167="-","-",IF(LEN(K167)=0,1,IFERROR(MATCH(K167,Dashboard!$L$25:$L$31,0),1)))</f>
        <v>-</v>
      </c>
      <c r="CC167" s="143" t="str">
        <f t="shared" ref="CC167" ca="1" si="1359">IF($D167="-","-",IF(COUNTIF(IDSourceRange,E167)&gt;1,1,0))</f>
        <v>-</v>
      </c>
      <c r="CD167" s="143" t="str">
        <f t="shared" ref="CD167" ca="1" si="1360">IF($D167="-","-",  IF(LEN(M167)=0,0,IF(ISERROR(MATCH(M167,IDSourceRange,0)),1,0)) + IF(LEN(N167)=0,0,IF(ISERROR(MATCH(N167,IDSourceRange,0)),1,0)) + IF(LEN(O167)=0,0,IF(ISERROR(MATCH(O167,IDSourceRange,0)),1,0)) )</f>
        <v>-</v>
      </c>
      <c r="CE167" s="143" t="str">
        <f t="shared" ca="1" si="1121"/>
        <v>-</v>
      </c>
      <c r="CF167" s="143" t="s">
        <v>128</v>
      </c>
      <c r="CG167" s="143" t="str">
        <f t="shared" ref="CG167" ca="1" si="1361">IF($D167="-","-",IF(X167="-",0,IF(COUNTIF(GridCombinedRange,X167)&gt;1,1,0)))</f>
        <v>-</v>
      </c>
      <c r="CH167" s="143"/>
      <c r="CI167" s="143"/>
      <c r="CJ167" s="143"/>
      <c r="CK167" s="143"/>
      <c r="CL167" s="143"/>
    </row>
    <row r="168" spans="3:90" x14ac:dyDescent="0.3">
      <c r="C168" s="170">
        <v>162</v>
      </c>
      <c r="D168" s="111" t="str">
        <f ca="1">IF(COUNTA(OFFSET(Dashboard!$B$6,C168,0,1,COUNTA(Dashboard!$B$6:$H$6)))&gt;0,"Yes","-")</f>
        <v>-</v>
      </c>
      <c r="E168" s="170" t="str">
        <f ca="1">IF(D168="-","-",IF(LEN(INDEX(Dashboard!B$6:B$206,$C168+1))=0,"x"&amp;C168&amp;"x","x"&amp;INDEX(Dashboard!B$6:B$206,$C168+1)&amp;"x"))</f>
        <v>-</v>
      </c>
      <c r="F168" s="171" t="str">
        <f ca="1">IF(D168="-","-",IF(LEN(INDEX(Dashboard!$C$6:$C$206,C168+1))=0," ",INDEX(Dashboard!$C$6:$C$206,C168+1)))</f>
        <v>-</v>
      </c>
      <c r="G168" s="219" t="str">
        <f ca="1">IF(OR(D168="-",D168=""),"-",IF(LEN(INDEX(Dashboard!$D$6:$D$228,C168+1))=0,"", "x"&amp;SUBSTITUTE(SUBSTITUTE(INDEX(Dashboard!$D$6:$D$228,C168+1)," ",""),",","x,x")&amp;"x"))</f>
        <v>-</v>
      </c>
      <c r="H168" s="111" t="str">
        <f ca="1">IF(D168="-","-",TRIM(INDEX(Dashboard!$E$6:$E$206,C168+1)))</f>
        <v>-</v>
      </c>
      <c r="I168" s="111" t="str">
        <f ca="1">IF(D168="-","-",IF(LEN(INDEX(Dashboard!$F$6:$F$206,C168+1))=0,$BS$8,IF(ISERROR(MATCH(INDEX(Dashboard!$F$6:$F$206,C168+1),$BS$7:$BS$35,0)),$BS$8,INDEX(Dashboard!$F$6:$F$206,C168+1))))</f>
        <v>-</v>
      </c>
      <c r="J168" s="111" t="str">
        <f ca="1">IF(D168="-","-",SUBSTITUTE(INDEX(Dashboard!$G$6:$G$206,C168+1)," ",""))</f>
        <v>-</v>
      </c>
      <c r="K168" s="111" t="str">
        <f ca="1">IF(D168="-","-",IF(LEN(INDEX(Dashboard!$H$6:$H$206,C168+1))=0,"",INDEX(Dashboard!$H$6:$H$206,C168+1)))</f>
        <v>-</v>
      </c>
      <c r="M168" s="172" t="str">
        <f t="shared" ca="1" si="1349"/>
        <v>-</v>
      </c>
      <c r="N168" s="172" t="str">
        <f t="shared" ca="1" si="1349"/>
        <v>-</v>
      </c>
      <c r="O168" s="172" t="str">
        <f t="shared" ca="1" si="1349"/>
        <v>-</v>
      </c>
      <c r="P168" s="173" t="str">
        <f t="shared" ca="1" si="1350"/>
        <v>-</v>
      </c>
      <c r="Q168" s="172" t="str">
        <f t="shared" ca="1" si="1350"/>
        <v>-</v>
      </c>
      <c r="R168" s="172" t="str">
        <f t="shared" ca="1" si="1350"/>
        <v>-</v>
      </c>
      <c r="S168" s="174" t="str">
        <f t="array" aca="1" ref="S168" ca="1">IF($D168="-","-",SUM(IF(LEN(M168:O168)&gt;0,1,0)))</f>
        <v>-</v>
      </c>
      <c r="T168" s="175" t="str">
        <f t="array" aca="1" ref="T168" ca="1">IF(D168="-","-",SUM(IF(ISERROR(SEARCH(E168,$G$7:$G$206)),0,1)))</f>
        <v>-</v>
      </c>
      <c r="V168" s="204"/>
      <c r="W168" s="127"/>
      <c r="X168" s="177" t="str">
        <f t="shared" si="1097"/>
        <v>-</v>
      </c>
      <c r="Y168" s="178"/>
      <c r="Z168" s="127"/>
      <c r="AB168" s="179" t="str">
        <f t="shared" ca="1" si="1351"/>
        <v>-</v>
      </c>
      <c r="AC168" s="179" t="str">
        <f t="shared" ca="1" si="1351"/>
        <v>-</v>
      </c>
      <c r="AD168" s="179" t="str">
        <f t="shared" ca="1" si="1351"/>
        <v>-</v>
      </c>
      <c r="AJ168" s="181" t="str">
        <f t="shared" ca="1" si="1082"/>
        <v>-</v>
      </c>
      <c r="AK168" s="179" t="str">
        <f t="shared" ca="1" si="1083"/>
        <v>-</v>
      </c>
      <c r="AL168" s="179" t="str">
        <f t="shared" ca="1" si="1083"/>
        <v>-</v>
      </c>
      <c r="AM168" s="179" t="str">
        <f t="shared" ca="1" si="1083"/>
        <v>-</v>
      </c>
      <c r="AO168" s="182" t="str">
        <f t="shared" ca="1" si="1352"/>
        <v>-</v>
      </c>
      <c r="AP168" s="182" t="str">
        <f t="shared" ca="1" si="1352"/>
        <v>-</v>
      </c>
      <c r="AQ168" s="182" t="str">
        <f t="shared" ca="1" si="1352"/>
        <v>-</v>
      </c>
      <c r="AU168" s="185" t="str">
        <f t="shared" ref="AU168" ca="1" si="1362">IF($D168="-","-",IF(LEN(M168)=0,"", INDEX($AT$7:$AT$15,MATCH(IF($V168-INDEX(GridXRange,P168)&lt;0,"Negative",IF($V168-INDEX(GridXRange,P168)&gt;0,"Positive","Zero")) &amp; " - " &amp;IF($W168-INDEX(GridYRange,P168)&lt;0,"Negative",IF($W168-INDEX(GridYRange,P168)&gt;0,"Positive","Zero")),$AS$7:$AS$15,0))))</f>
        <v>-</v>
      </c>
      <c r="AV168" s="186" t="str">
        <f t="shared" ref="AV168" ca="1" si="1363">IF($D168="-","-",IF(LEN(N168)=0,"", INDEX($AT$7:$AT$15,MATCH(IF($V168-INDEX(GridXRange,Q168)&lt;0,"Negative",IF($V168-INDEX(GridXRange,Q168)&gt;0,"Positive","Zero")) &amp; " - " &amp;IF($W168-INDEX(GridYRange,Q168)&lt;0,"Negative",IF($W168-INDEX(GridYRange,Q168)&gt;0,"Positive","Zero")),$AS$7:$AS$15,0))))</f>
        <v>-</v>
      </c>
      <c r="AW168" s="186" t="str">
        <f t="shared" ref="AW168" ca="1" si="1364">IF($D168="-","-",IF(LEN(O168)=0,"", INDEX($AT$7:$AT$15,MATCH(IF($V168-INDEX(GridXRange,R168)&lt;0,"Negative",IF($V168-INDEX(GridXRange,R168)&gt;0,"Positive","Zero")) &amp; " - " &amp;IF($W168-INDEX(GridYRange,R168)&lt;0,"Negative",IF($W168-INDEX(GridYRange,R168)&gt;0,"Positive","Zero")),$AS$7:$AS$15,0))))</f>
        <v>-</v>
      </c>
      <c r="AX168" s="187"/>
      <c r="AY168" s="188"/>
      <c r="AZ168" s="188"/>
      <c r="BA168" s="184"/>
      <c r="BB168" s="187" t="str">
        <f t="shared" ca="1" si="1356"/>
        <v>-</v>
      </c>
      <c r="BC168" s="188" t="str">
        <f t="shared" ca="1" si="1356"/>
        <v>-</v>
      </c>
      <c r="BD168" s="188" t="str">
        <f t="shared" ca="1" si="1356"/>
        <v>-</v>
      </c>
      <c r="BE168" s="189" t="str">
        <f t="shared" ca="1" si="1356"/>
        <v>-</v>
      </c>
      <c r="BK168" s="192" t="str">
        <f t="shared" ref="BK168" ca="1" si="1365">IF($D168="-","-",$BK$5 + (V168-StartGridX) * (GapXDiff + $BW$7))</f>
        <v>-</v>
      </c>
      <c r="BL168" s="192" t="str">
        <f t="shared" ref="BL168" ca="1" si="1366">IF($D168="-","-",$BL$5 + (W168-StartGridY) * (GapYDiff + $BV$7))</f>
        <v>-</v>
      </c>
      <c r="BM168" s="192" t="str">
        <f t="shared" ca="1" si="1090"/>
        <v>-</v>
      </c>
      <c r="BN168" s="192" t="str">
        <f t="shared" ca="1" si="1091"/>
        <v>-</v>
      </c>
      <c r="BO168" s="192" t="str">
        <f t="shared" ca="1" si="1092"/>
        <v>-</v>
      </c>
      <c r="BP168" s="192" t="str">
        <f t="shared" ca="1" si="1093"/>
        <v>-</v>
      </c>
      <c r="BQ168" s="192" t="str">
        <f ca="1">IF($D168="-","-",IF(LEN(K168)=0,1,IFERROR(MATCH(K168,Dashboard!$L$25:$L$31,0),1)))</f>
        <v>-</v>
      </c>
      <c r="CC168" s="143" t="str">
        <f t="shared" ref="CC168" ca="1" si="1367">IF($D168="-","-",IF(COUNTIF(IDSourceRange,E168)&gt;1,1,0))</f>
        <v>-</v>
      </c>
      <c r="CD168" s="143" t="str">
        <f t="shared" ref="CD168" ca="1" si="1368">IF($D168="-","-",  IF(LEN(M168)=0,0,IF(ISERROR(MATCH(M168,IDSourceRange,0)),1,0)) + IF(LEN(N168)=0,0,IF(ISERROR(MATCH(N168,IDSourceRange,0)),1,0)) + IF(LEN(O168)=0,0,IF(ISERROR(MATCH(O168,IDSourceRange,0)),1,0)) )</f>
        <v>-</v>
      </c>
      <c r="CE168" s="143" t="str">
        <f t="shared" ca="1" si="1121"/>
        <v>-</v>
      </c>
      <c r="CF168" s="143" t="s">
        <v>128</v>
      </c>
      <c r="CG168" s="143" t="str">
        <f t="shared" ref="CG168" ca="1" si="1369">IF($D168="-","-",IF(X168="-",0,IF(COUNTIF(GridCombinedRange,X168)&gt;1,1,0)))</f>
        <v>-</v>
      </c>
      <c r="CH168" s="143"/>
      <c r="CI168" s="143"/>
      <c r="CJ168" s="143"/>
      <c r="CK168" s="143"/>
      <c r="CL168" s="143"/>
    </row>
    <row r="169" spans="3:90" x14ac:dyDescent="0.3">
      <c r="C169" s="170">
        <v>163</v>
      </c>
      <c r="D169" s="111" t="str">
        <f ca="1">IF(COUNTA(OFFSET(Dashboard!$B$6,C169,0,1,COUNTA(Dashboard!$B$6:$H$6)))&gt;0,"Yes","-")</f>
        <v>-</v>
      </c>
      <c r="E169" s="170" t="str">
        <f ca="1">IF(D169="-","-",IF(LEN(INDEX(Dashboard!B$6:B$206,$C169+1))=0,"x"&amp;C169&amp;"x","x"&amp;INDEX(Dashboard!B$6:B$206,$C169+1)&amp;"x"))</f>
        <v>-</v>
      </c>
      <c r="F169" s="171" t="str">
        <f ca="1">IF(D169="-","-",IF(LEN(INDEX(Dashboard!$C$6:$C$206,C169+1))=0," ",INDEX(Dashboard!$C$6:$C$206,C169+1)))</f>
        <v>-</v>
      </c>
      <c r="G169" s="219" t="str">
        <f ca="1">IF(OR(D169="-",D169=""),"-",IF(LEN(INDEX(Dashboard!$D$6:$D$228,C169+1))=0,"", "x"&amp;SUBSTITUTE(SUBSTITUTE(INDEX(Dashboard!$D$6:$D$228,C169+1)," ",""),",","x,x")&amp;"x"))</f>
        <v>-</v>
      </c>
      <c r="H169" s="111" t="str">
        <f ca="1">IF(D169="-","-",TRIM(INDEX(Dashboard!$E$6:$E$206,C169+1)))</f>
        <v>-</v>
      </c>
      <c r="I169" s="111" t="str">
        <f ca="1">IF(D169="-","-",IF(LEN(INDEX(Dashboard!$F$6:$F$206,C169+1))=0,$BS$8,IF(ISERROR(MATCH(INDEX(Dashboard!$F$6:$F$206,C169+1),$BS$7:$BS$35,0)),$BS$8,INDEX(Dashboard!$F$6:$F$206,C169+1))))</f>
        <v>-</v>
      </c>
      <c r="J169" s="111" t="str">
        <f ca="1">IF(D169="-","-",SUBSTITUTE(INDEX(Dashboard!$G$6:$G$206,C169+1)," ",""))</f>
        <v>-</v>
      </c>
      <c r="K169" s="111" t="str">
        <f ca="1">IF(D169="-","-",IF(LEN(INDEX(Dashboard!$H$6:$H$206,C169+1))=0,"",INDEX(Dashboard!$H$6:$H$206,C169+1)))</f>
        <v>-</v>
      </c>
      <c r="M169" s="172" t="str">
        <f t="shared" ca="1" si="1349"/>
        <v>-</v>
      </c>
      <c r="N169" s="172" t="str">
        <f t="shared" ca="1" si="1349"/>
        <v>-</v>
      </c>
      <c r="O169" s="172" t="str">
        <f t="shared" ca="1" si="1349"/>
        <v>-</v>
      </c>
      <c r="P169" s="173" t="str">
        <f t="shared" ca="1" si="1350"/>
        <v>-</v>
      </c>
      <c r="Q169" s="172" t="str">
        <f t="shared" ca="1" si="1350"/>
        <v>-</v>
      </c>
      <c r="R169" s="172" t="str">
        <f t="shared" ca="1" si="1350"/>
        <v>-</v>
      </c>
      <c r="S169" s="174" t="str">
        <f t="array" aca="1" ref="S169" ca="1">IF($D169="-","-",SUM(IF(LEN(M169:O169)&gt;0,1,0)))</f>
        <v>-</v>
      </c>
      <c r="T169" s="175" t="str">
        <f t="array" aca="1" ref="T169" ca="1">IF(D169="-","-",SUM(IF(ISERROR(SEARCH(E169,$G$7:$G$206)),0,1)))</f>
        <v>-</v>
      </c>
      <c r="V169" s="204"/>
      <c r="W169" s="127"/>
      <c r="X169" s="177" t="str">
        <f t="shared" si="1097"/>
        <v>-</v>
      </c>
      <c r="Y169" s="178"/>
      <c r="Z169" s="127"/>
      <c r="AB169" s="179" t="str">
        <f t="shared" ca="1" si="1351"/>
        <v>-</v>
      </c>
      <c r="AC169" s="179" t="str">
        <f t="shared" ca="1" si="1351"/>
        <v>-</v>
      </c>
      <c r="AD169" s="179" t="str">
        <f t="shared" ca="1" si="1351"/>
        <v>-</v>
      </c>
      <c r="AJ169" s="181" t="str">
        <f t="shared" ca="1" si="1082"/>
        <v>-</v>
      </c>
      <c r="AK169" s="179" t="str">
        <f t="shared" ca="1" si="1083"/>
        <v>-</v>
      </c>
      <c r="AL169" s="179" t="str">
        <f t="shared" ca="1" si="1083"/>
        <v>-</v>
      </c>
      <c r="AM169" s="179" t="str">
        <f t="shared" ca="1" si="1083"/>
        <v>-</v>
      </c>
      <c r="AO169" s="182" t="str">
        <f t="shared" ca="1" si="1352"/>
        <v>-</v>
      </c>
      <c r="AP169" s="182" t="str">
        <f t="shared" ca="1" si="1352"/>
        <v>-</v>
      </c>
      <c r="AQ169" s="182" t="str">
        <f t="shared" ca="1" si="1352"/>
        <v>-</v>
      </c>
      <c r="AU169" s="185" t="str">
        <f t="shared" ref="AU169" ca="1" si="1370">IF($D169="-","-",IF(LEN(M169)=0,"", INDEX($AT$7:$AT$15,MATCH(IF($V169-INDEX(GridXRange,P169)&lt;0,"Negative",IF($V169-INDEX(GridXRange,P169)&gt;0,"Positive","Zero")) &amp; " - " &amp;IF($W169-INDEX(GridYRange,P169)&lt;0,"Negative",IF($W169-INDEX(GridYRange,P169)&gt;0,"Positive","Zero")),$AS$7:$AS$15,0))))</f>
        <v>-</v>
      </c>
      <c r="AV169" s="186" t="str">
        <f t="shared" ref="AV169" ca="1" si="1371">IF($D169="-","-",IF(LEN(N169)=0,"", INDEX($AT$7:$AT$15,MATCH(IF($V169-INDEX(GridXRange,Q169)&lt;0,"Negative",IF($V169-INDEX(GridXRange,Q169)&gt;0,"Positive","Zero")) &amp; " - " &amp;IF($W169-INDEX(GridYRange,Q169)&lt;0,"Negative",IF($W169-INDEX(GridYRange,Q169)&gt;0,"Positive","Zero")),$AS$7:$AS$15,0))))</f>
        <v>-</v>
      </c>
      <c r="AW169" s="186" t="str">
        <f t="shared" ref="AW169" ca="1" si="1372">IF($D169="-","-",IF(LEN(O169)=0,"", INDEX($AT$7:$AT$15,MATCH(IF($V169-INDEX(GridXRange,R169)&lt;0,"Negative",IF($V169-INDEX(GridXRange,R169)&gt;0,"Positive","Zero")) &amp; " - " &amp;IF($W169-INDEX(GridYRange,R169)&lt;0,"Negative",IF($W169-INDEX(GridYRange,R169)&gt;0,"Positive","Zero")),$AS$7:$AS$15,0))))</f>
        <v>-</v>
      </c>
      <c r="AX169" s="187"/>
      <c r="AY169" s="188"/>
      <c r="AZ169" s="188"/>
      <c r="BA169" s="184"/>
      <c r="BB169" s="187" t="str">
        <f t="shared" ca="1" si="1356"/>
        <v>-</v>
      </c>
      <c r="BC169" s="188" t="str">
        <f t="shared" ca="1" si="1356"/>
        <v>-</v>
      </c>
      <c r="BD169" s="188" t="str">
        <f t="shared" ca="1" si="1356"/>
        <v>-</v>
      </c>
      <c r="BE169" s="189" t="str">
        <f t="shared" ca="1" si="1356"/>
        <v>-</v>
      </c>
      <c r="BK169" s="192" t="str">
        <f t="shared" ref="BK169" ca="1" si="1373">IF($D169="-","-",$BK$5 + (V169-StartGridX) * (GapXDiff + $BW$7))</f>
        <v>-</v>
      </c>
      <c r="BL169" s="192" t="str">
        <f t="shared" ref="BL169" ca="1" si="1374">IF($D169="-","-",$BL$5 + (W169-StartGridY) * (GapYDiff + $BV$7))</f>
        <v>-</v>
      </c>
      <c r="BM169" s="192" t="str">
        <f t="shared" ca="1" si="1090"/>
        <v>-</v>
      </c>
      <c r="BN169" s="192" t="str">
        <f t="shared" ca="1" si="1091"/>
        <v>-</v>
      </c>
      <c r="BO169" s="192" t="str">
        <f t="shared" ca="1" si="1092"/>
        <v>-</v>
      </c>
      <c r="BP169" s="192" t="str">
        <f t="shared" ca="1" si="1093"/>
        <v>-</v>
      </c>
      <c r="BQ169" s="192" t="str">
        <f ca="1">IF($D169="-","-",IF(LEN(K169)=0,1,IFERROR(MATCH(K169,Dashboard!$L$25:$L$31,0),1)))</f>
        <v>-</v>
      </c>
      <c r="CC169" s="143" t="str">
        <f t="shared" ref="CC169" ca="1" si="1375">IF($D169="-","-",IF(COUNTIF(IDSourceRange,E169)&gt;1,1,0))</f>
        <v>-</v>
      </c>
      <c r="CD169" s="143" t="str">
        <f t="shared" ref="CD169" ca="1" si="1376">IF($D169="-","-",  IF(LEN(M169)=0,0,IF(ISERROR(MATCH(M169,IDSourceRange,0)),1,0)) + IF(LEN(N169)=0,0,IF(ISERROR(MATCH(N169,IDSourceRange,0)),1,0)) + IF(LEN(O169)=0,0,IF(ISERROR(MATCH(O169,IDSourceRange,0)),1,0)) )</f>
        <v>-</v>
      </c>
      <c r="CE169" s="143" t="str">
        <f t="shared" ca="1" si="1121"/>
        <v>-</v>
      </c>
      <c r="CF169" s="143" t="s">
        <v>128</v>
      </c>
      <c r="CG169" s="143" t="str">
        <f t="shared" ref="CG169" ca="1" si="1377">IF($D169="-","-",IF(X169="-",0,IF(COUNTIF(GridCombinedRange,X169)&gt;1,1,0)))</f>
        <v>-</v>
      </c>
      <c r="CH169" s="143"/>
      <c r="CI169" s="143"/>
      <c r="CJ169" s="143"/>
      <c r="CK169" s="143"/>
      <c r="CL169" s="143"/>
    </row>
    <row r="170" spans="3:90" x14ac:dyDescent="0.3">
      <c r="C170" s="170">
        <v>164</v>
      </c>
      <c r="D170" s="111" t="str">
        <f ca="1">IF(COUNTA(OFFSET(Dashboard!$B$6,C170,0,1,COUNTA(Dashboard!$B$6:$H$6)))&gt;0,"Yes","-")</f>
        <v>-</v>
      </c>
      <c r="E170" s="170" t="str">
        <f ca="1">IF(D170="-","-",IF(LEN(INDEX(Dashboard!B$6:B$206,$C170+1))=0,"x"&amp;C170&amp;"x","x"&amp;INDEX(Dashboard!B$6:B$206,$C170+1)&amp;"x"))</f>
        <v>-</v>
      </c>
      <c r="F170" s="171" t="str">
        <f ca="1">IF(D170="-","-",IF(LEN(INDEX(Dashboard!$C$6:$C$206,C170+1))=0," ",INDEX(Dashboard!$C$6:$C$206,C170+1)))</f>
        <v>-</v>
      </c>
      <c r="G170" s="219" t="str">
        <f ca="1">IF(OR(D170="-",D170=""),"-",IF(LEN(INDEX(Dashboard!$D$6:$D$228,C170+1))=0,"", "x"&amp;SUBSTITUTE(SUBSTITUTE(INDEX(Dashboard!$D$6:$D$228,C170+1)," ",""),",","x,x")&amp;"x"))</f>
        <v>-</v>
      </c>
      <c r="H170" s="111" t="str">
        <f ca="1">IF(D170="-","-",TRIM(INDEX(Dashboard!$E$6:$E$206,C170+1)))</f>
        <v>-</v>
      </c>
      <c r="I170" s="111" t="str">
        <f ca="1">IF(D170="-","-",IF(LEN(INDEX(Dashboard!$F$6:$F$206,C170+1))=0,$BS$8,IF(ISERROR(MATCH(INDEX(Dashboard!$F$6:$F$206,C170+1),$BS$7:$BS$35,0)),$BS$8,INDEX(Dashboard!$F$6:$F$206,C170+1))))</f>
        <v>-</v>
      </c>
      <c r="J170" s="111" t="str">
        <f ca="1">IF(D170="-","-",SUBSTITUTE(INDEX(Dashboard!$G$6:$G$206,C170+1)," ",""))</f>
        <v>-</v>
      </c>
      <c r="K170" s="111" t="str">
        <f ca="1">IF(D170="-","-",IF(LEN(INDEX(Dashboard!$H$6:$H$206,C170+1))=0,"",INDEX(Dashboard!$H$6:$H$206,C170+1)))</f>
        <v>-</v>
      </c>
      <c r="M170" s="172" t="str">
        <f t="shared" ca="1" si="1349"/>
        <v>-</v>
      </c>
      <c r="N170" s="172" t="str">
        <f t="shared" ca="1" si="1349"/>
        <v>-</v>
      </c>
      <c r="O170" s="172" t="str">
        <f t="shared" ca="1" si="1349"/>
        <v>-</v>
      </c>
      <c r="P170" s="173" t="str">
        <f t="shared" ca="1" si="1350"/>
        <v>-</v>
      </c>
      <c r="Q170" s="172" t="str">
        <f t="shared" ca="1" si="1350"/>
        <v>-</v>
      </c>
      <c r="R170" s="172" t="str">
        <f t="shared" ca="1" si="1350"/>
        <v>-</v>
      </c>
      <c r="S170" s="174" t="str">
        <f t="array" aca="1" ref="S170" ca="1">IF($D170="-","-",SUM(IF(LEN(M170:O170)&gt;0,1,0)))</f>
        <v>-</v>
      </c>
      <c r="T170" s="175" t="str">
        <f t="array" aca="1" ref="T170" ca="1">IF(D170="-","-",SUM(IF(ISERROR(SEARCH(E170,$G$7:$G$206)),0,1)))</f>
        <v>-</v>
      </c>
      <c r="V170" s="204"/>
      <c r="W170" s="127"/>
      <c r="X170" s="177" t="str">
        <f t="shared" si="1097"/>
        <v>-</v>
      </c>
      <c r="Y170" s="178"/>
      <c r="Z170" s="127"/>
      <c r="AB170" s="179" t="str">
        <f t="shared" ca="1" si="1351"/>
        <v>-</v>
      </c>
      <c r="AC170" s="179" t="str">
        <f t="shared" ca="1" si="1351"/>
        <v>-</v>
      </c>
      <c r="AD170" s="179" t="str">
        <f t="shared" ca="1" si="1351"/>
        <v>-</v>
      </c>
      <c r="AJ170" s="181" t="str">
        <f t="shared" ca="1" si="1082"/>
        <v>-</v>
      </c>
      <c r="AK170" s="179" t="str">
        <f t="shared" ca="1" si="1083"/>
        <v>-</v>
      </c>
      <c r="AL170" s="179" t="str">
        <f t="shared" ca="1" si="1083"/>
        <v>-</v>
      </c>
      <c r="AM170" s="179" t="str">
        <f t="shared" ca="1" si="1083"/>
        <v>-</v>
      </c>
      <c r="AO170" s="182" t="str">
        <f t="shared" ca="1" si="1352"/>
        <v>-</v>
      </c>
      <c r="AP170" s="182" t="str">
        <f t="shared" ca="1" si="1352"/>
        <v>-</v>
      </c>
      <c r="AQ170" s="182" t="str">
        <f t="shared" ca="1" si="1352"/>
        <v>-</v>
      </c>
      <c r="AU170" s="185" t="str">
        <f t="shared" ref="AU170" ca="1" si="1378">IF($D170="-","-",IF(LEN(M170)=0,"", INDEX($AT$7:$AT$15,MATCH(IF($V170-INDEX(GridXRange,P170)&lt;0,"Negative",IF($V170-INDEX(GridXRange,P170)&gt;0,"Positive","Zero")) &amp; " - " &amp;IF($W170-INDEX(GridYRange,P170)&lt;0,"Negative",IF($W170-INDEX(GridYRange,P170)&gt;0,"Positive","Zero")),$AS$7:$AS$15,0))))</f>
        <v>-</v>
      </c>
      <c r="AV170" s="186" t="str">
        <f t="shared" ref="AV170" ca="1" si="1379">IF($D170="-","-",IF(LEN(N170)=0,"", INDEX($AT$7:$AT$15,MATCH(IF($V170-INDEX(GridXRange,Q170)&lt;0,"Negative",IF($V170-INDEX(GridXRange,Q170)&gt;0,"Positive","Zero")) &amp; " - " &amp;IF($W170-INDEX(GridYRange,Q170)&lt;0,"Negative",IF($W170-INDEX(GridYRange,Q170)&gt;0,"Positive","Zero")),$AS$7:$AS$15,0))))</f>
        <v>-</v>
      </c>
      <c r="AW170" s="186" t="str">
        <f t="shared" ref="AW170" ca="1" si="1380">IF($D170="-","-",IF(LEN(O170)=0,"", INDEX($AT$7:$AT$15,MATCH(IF($V170-INDEX(GridXRange,R170)&lt;0,"Negative",IF($V170-INDEX(GridXRange,R170)&gt;0,"Positive","Zero")) &amp; " - " &amp;IF($W170-INDEX(GridYRange,R170)&lt;0,"Negative",IF($W170-INDEX(GridYRange,R170)&gt;0,"Positive","Zero")),$AS$7:$AS$15,0))))</f>
        <v>-</v>
      </c>
      <c r="AX170" s="187"/>
      <c r="AY170" s="188"/>
      <c r="AZ170" s="188"/>
      <c r="BA170" s="184"/>
      <c r="BB170" s="187" t="str">
        <f t="shared" ca="1" si="1356"/>
        <v>-</v>
      </c>
      <c r="BC170" s="188" t="str">
        <f t="shared" ca="1" si="1356"/>
        <v>-</v>
      </c>
      <c r="BD170" s="188" t="str">
        <f t="shared" ca="1" si="1356"/>
        <v>-</v>
      </c>
      <c r="BE170" s="189" t="str">
        <f t="shared" ca="1" si="1356"/>
        <v>-</v>
      </c>
      <c r="BK170" s="192" t="str">
        <f t="shared" ref="BK170" ca="1" si="1381">IF($D170="-","-",$BK$5 + (V170-StartGridX) * (GapXDiff + $BW$7))</f>
        <v>-</v>
      </c>
      <c r="BL170" s="192" t="str">
        <f t="shared" ref="BL170" ca="1" si="1382">IF($D170="-","-",$BL$5 + (W170-StartGridY) * (GapYDiff + $BV$7))</f>
        <v>-</v>
      </c>
      <c r="BM170" s="192" t="str">
        <f t="shared" ca="1" si="1090"/>
        <v>-</v>
      </c>
      <c r="BN170" s="192" t="str">
        <f t="shared" ca="1" si="1091"/>
        <v>-</v>
      </c>
      <c r="BO170" s="192" t="str">
        <f t="shared" ca="1" si="1092"/>
        <v>-</v>
      </c>
      <c r="BP170" s="192" t="str">
        <f t="shared" ca="1" si="1093"/>
        <v>-</v>
      </c>
      <c r="BQ170" s="192" t="str">
        <f ca="1">IF($D170="-","-",IF(LEN(K170)=0,1,IFERROR(MATCH(K170,Dashboard!$L$25:$L$31,0),1)))</f>
        <v>-</v>
      </c>
      <c r="CC170" s="143" t="str">
        <f t="shared" ref="CC170" ca="1" si="1383">IF($D170="-","-",IF(COUNTIF(IDSourceRange,E170)&gt;1,1,0))</f>
        <v>-</v>
      </c>
      <c r="CD170" s="143" t="str">
        <f t="shared" ref="CD170" ca="1" si="1384">IF($D170="-","-",  IF(LEN(M170)=0,0,IF(ISERROR(MATCH(M170,IDSourceRange,0)),1,0)) + IF(LEN(N170)=0,0,IF(ISERROR(MATCH(N170,IDSourceRange,0)),1,0)) + IF(LEN(O170)=0,0,IF(ISERROR(MATCH(O170,IDSourceRange,0)),1,0)) )</f>
        <v>-</v>
      </c>
      <c r="CE170" s="143" t="str">
        <f t="shared" ca="1" si="1121"/>
        <v>-</v>
      </c>
      <c r="CF170" s="143" t="s">
        <v>128</v>
      </c>
      <c r="CG170" s="143" t="str">
        <f t="shared" ref="CG170" ca="1" si="1385">IF($D170="-","-",IF(X170="-",0,IF(COUNTIF(GridCombinedRange,X170)&gt;1,1,0)))</f>
        <v>-</v>
      </c>
      <c r="CH170" s="143"/>
      <c r="CI170" s="143"/>
      <c r="CJ170" s="143"/>
      <c r="CK170" s="143"/>
      <c r="CL170" s="143"/>
    </row>
    <row r="171" spans="3:90" x14ac:dyDescent="0.3">
      <c r="C171" s="170">
        <v>165</v>
      </c>
      <c r="D171" s="111" t="str">
        <f ca="1">IF(COUNTA(OFFSET(Dashboard!$B$6,C171,0,1,COUNTA(Dashboard!$B$6:$H$6)))&gt;0,"Yes","-")</f>
        <v>-</v>
      </c>
      <c r="E171" s="170" t="str">
        <f ca="1">IF(D171="-","-",IF(LEN(INDEX(Dashboard!B$6:B$206,$C171+1))=0,"x"&amp;C171&amp;"x","x"&amp;INDEX(Dashboard!B$6:B$206,$C171+1)&amp;"x"))</f>
        <v>-</v>
      </c>
      <c r="F171" s="171" t="str">
        <f ca="1">IF(D171="-","-",IF(LEN(INDEX(Dashboard!$C$6:$C$206,C171+1))=0," ",INDEX(Dashboard!$C$6:$C$206,C171+1)))</f>
        <v>-</v>
      </c>
      <c r="G171" s="219" t="str">
        <f ca="1">IF(OR(D171="-",D171=""),"-",IF(LEN(INDEX(Dashboard!$D$6:$D$228,C171+1))=0,"", "x"&amp;SUBSTITUTE(SUBSTITUTE(INDEX(Dashboard!$D$6:$D$228,C171+1)," ",""),",","x,x")&amp;"x"))</f>
        <v>-</v>
      </c>
      <c r="H171" s="111" t="str">
        <f ca="1">IF(D171="-","-",TRIM(INDEX(Dashboard!$E$6:$E$206,C171+1)))</f>
        <v>-</v>
      </c>
      <c r="I171" s="111" t="str">
        <f ca="1">IF(D171="-","-",IF(LEN(INDEX(Dashboard!$F$6:$F$206,C171+1))=0,$BS$8,IF(ISERROR(MATCH(INDEX(Dashboard!$F$6:$F$206,C171+1),$BS$7:$BS$35,0)),$BS$8,INDEX(Dashboard!$F$6:$F$206,C171+1))))</f>
        <v>-</v>
      </c>
      <c r="J171" s="111" t="str">
        <f ca="1">IF(D171="-","-",SUBSTITUTE(INDEX(Dashboard!$G$6:$G$206,C171+1)," ",""))</f>
        <v>-</v>
      </c>
      <c r="K171" s="111" t="str">
        <f ca="1">IF(D171="-","-",IF(LEN(INDEX(Dashboard!$H$6:$H$206,C171+1))=0,"",INDEX(Dashboard!$H$6:$H$206,C171+1)))</f>
        <v>-</v>
      </c>
      <c r="M171" s="172" t="str">
        <f t="shared" ca="1" si="1349"/>
        <v>-</v>
      </c>
      <c r="N171" s="172" t="str">
        <f t="shared" ca="1" si="1349"/>
        <v>-</v>
      </c>
      <c r="O171" s="172" t="str">
        <f t="shared" ca="1" si="1349"/>
        <v>-</v>
      </c>
      <c r="P171" s="173" t="str">
        <f t="shared" ca="1" si="1350"/>
        <v>-</v>
      </c>
      <c r="Q171" s="172" t="str">
        <f t="shared" ca="1" si="1350"/>
        <v>-</v>
      </c>
      <c r="R171" s="172" t="str">
        <f t="shared" ca="1" si="1350"/>
        <v>-</v>
      </c>
      <c r="S171" s="174" t="str">
        <f t="array" aca="1" ref="S171" ca="1">IF($D171="-","-",SUM(IF(LEN(M171:O171)&gt;0,1,0)))</f>
        <v>-</v>
      </c>
      <c r="T171" s="175" t="str">
        <f t="array" aca="1" ref="T171" ca="1">IF(D171="-","-",SUM(IF(ISERROR(SEARCH(E171,$G$7:$G$206)),0,1)))</f>
        <v>-</v>
      </c>
      <c r="V171" s="204"/>
      <c r="W171" s="127"/>
      <c r="X171" s="177" t="str">
        <f t="shared" si="1097"/>
        <v>-</v>
      </c>
      <c r="Y171" s="178"/>
      <c r="Z171" s="127"/>
      <c r="AB171" s="179" t="str">
        <f t="shared" ca="1" si="1351"/>
        <v>-</v>
      </c>
      <c r="AC171" s="179" t="str">
        <f t="shared" ca="1" si="1351"/>
        <v>-</v>
      </c>
      <c r="AD171" s="179" t="str">
        <f t="shared" ca="1" si="1351"/>
        <v>-</v>
      </c>
      <c r="AJ171" s="181" t="str">
        <f t="shared" ca="1" si="1082"/>
        <v>-</v>
      </c>
      <c r="AK171" s="179" t="str">
        <f t="shared" ca="1" si="1083"/>
        <v>-</v>
      </c>
      <c r="AL171" s="179" t="str">
        <f t="shared" ca="1" si="1083"/>
        <v>-</v>
      </c>
      <c r="AM171" s="179" t="str">
        <f t="shared" ca="1" si="1083"/>
        <v>-</v>
      </c>
      <c r="AO171" s="182" t="str">
        <f t="shared" ca="1" si="1352"/>
        <v>-</v>
      </c>
      <c r="AP171" s="182" t="str">
        <f t="shared" ca="1" si="1352"/>
        <v>-</v>
      </c>
      <c r="AQ171" s="182" t="str">
        <f t="shared" ca="1" si="1352"/>
        <v>-</v>
      </c>
      <c r="AU171" s="185" t="str">
        <f t="shared" ref="AU171" ca="1" si="1386">IF($D171="-","-",IF(LEN(M171)=0,"", INDEX($AT$7:$AT$15,MATCH(IF($V171-INDEX(GridXRange,P171)&lt;0,"Negative",IF($V171-INDEX(GridXRange,P171)&gt;0,"Positive","Zero")) &amp; " - " &amp;IF($W171-INDEX(GridYRange,P171)&lt;0,"Negative",IF($W171-INDEX(GridYRange,P171)&gt;0,"Positive","Zero")),$AS$7:$AS$15,0))))</f>
        <v>-</v>
      </c>
      <c r="AV171" s="186" t="str">
        <f t="shared" ref="AV171" ca="1" si="1387">IF($D171="-","-",IF(LEN(N171)=0,"", INDEX($AT$7:$AT$15,MATCH(IF($V171-INDEX(GridXRange,Q171)&lt;0,"Negative",IF($V171-INDEX(GridXRange,Q171)&gt;0,"Positive","Zero")) &amp; " - " &amp;IF($W171-INDEX(GridYRange,Q171)&lt;0,"Negative",IF($W171-INDEX(GridYRange,Q171)&gt;0,"Positive","Zero")),$AS$7:$AS$15,0))))</f>
        <v>-</v>
      </c>
      <c r="AW171" s="186" t="str">
        <f t="shared" ref="AW171" ca="1" si="1388">IF($D171="-","-",IF(LEN(O171)=0,"", INDEX($AT$7:$AT$15,MATCH(IF($V171-INDEX(GridXRange,R171)&lt;0,"Negative",IF($V171-INDEX(GridXRange,R171)&gt;0,"Positive","Zero")) &amp; " - " &amp;IF($W171-INDEX(GridYRange,R171)&lt;0,"Negative",IF($W171-INDEX(GridYRange,R171)&gt;0,"Positive","Zero")),$AS$7:$AS$15,0))))</f>
        <v>-</v>
      </c>
      <c r="AX171" s="187"/>
      <c r="AY171" s="188"/>
      <c r="AZ171" s="188"/>
      <c r="BA171" s="184"/>
      <c r="BB171" s="187" t="str">
        <f t="shared" ca="1" si="1356"/>
        <v>-</v>
      </c>
      <c r="BC171" s="188" t="str">
        <f t="shared" ca="1" si="1356"/>
        <v>-</v>
      </c>
      <c r="BD171" s="188" t="str">
        <f t="shared" ca="1" si="1356"/>
        <v>-</v>
      </c>
      <c r="BE171" s="189" t="str">
        <f t="shared" ca="1" si="1356"/>
        <v>-</v>
      </c>
      <c r="BK171" s="192" t="str">
        <f t="shared" ref="BK171" ca="1" si="1389">IF($D171="-","-",$BK$5 + (V171-StartGridX) * (GapXDiff + $BW$7))</f>
        <v>-</v>
      </c>
      <c r="BL171" s="192" t="str">
        <f t="shared" ref="BL171" ca="1" si="1390">IF($D171="-","-",$BL$5 + (W171-StartGridY) * (GapYDiff + $BV$7))</f>
        <v>-</v>
      </c>
      <c r="BM171" s="192" t="str">
        <f t="shared" ca="1" si="1090"/>
        <v>-</v>
      </c>
      <c r="BN171" s="192" t="str">
        <f t="shared" ca="1" si="1091"/>
        <v>-</v>
      </c>
      <c r="BO171" s="192" t="str">
        <f t="shared" ca="1" si="1092"/>
        <v>-</v>
      </c>
      <c r="BP171" s="192" t="str">
        <f t="shared" ca="1" si="1093"/>
        <v>-</v>
      </c>
      <c r="BQ171" s="192" t="str">
        <f ca="1">IF($D171="-","-",IF(LEN(K171)=0,1,IFERROR(MATCH(K171,Dashboard!$L$25:$L$31,0),1)))</f>
        <v>-</v>
      </c>
      <c r="CC171" s="143" t="str">
        <f t="shared" ref="CC171" ca="1" si="1391">IF($D171="-","-",IF(COUNTIF(IDSourceRange,E171)&gt;1,1,0))</f>
        <v>-</v>
      </c>
      <c r="CD171" s="143" t="str">
        <f t="shared" ref="CD171" ca="1" si="1392">IF($D171="-","-",  IF(LEN(M171)=0,0,IF(ISERROR(MATCH(M171,IDSourceRange,0)),1,0)) + IF(LEN(N171)=0,0,IF(ISERROR(MATCH(N171,IDSourceRange,0)),1,0)) + IF(LEN(O171)=0,0,IF(ISERROR(MATCH(O171,IDSourceRange,0)),1,0)) )</f>
        <v>-</v>
      </c>
      <c r="CE171" s="143" t="str">
        <f t="shared" ca="1" si="1121"/>
        <v>-</v>
      </c>
      <c r="CF171" s="143" t="s">
        <v>128</v>
      </c>
      <c r="CG171" s="143" t="str">
        <f t="shared" ref="CG171" ca="1" si="1393">IF($D171="-","-",IF(X171="-",0,IF(COUNTIF(GridCombinedRange,X171)&gt;1,1,0)))</f>
        <v>-</v>
      </c>
      <c r="CH171" s="143"/>
      <c r="CI171" s="143"/>
      <c r="CJ171" s="143"/>
      <c r="CK171" s="143"/>
      <c r="CL171" s="143"/>
    </row>
    <row r="172" spans="3:90" x14ac:dyDescent="0.3">
      <c r="C172" s="170">
        <v>166</v>
      </c>
      <c r="D172" s="111" t="str">
        <f ca="1">IF(COUNTA(OFFSET(Dashboard!$B$6,C172,0,1,COUNTA(Dashboard!$B$6:$H$6)))&gt;0,"Yes","-")</f>
        <v>-</v>
      </c>
      <c r="E172" s="170" t="str">
        <f ca="1">IF(D172="-","-",IF(LEN(INDEX(Dashboard!B$6:B$206,$C172+1))=0,"x"&amp;C172&amp;"x","x"&amp;INDEX(Dashboard!B$6:B$206,$C172+1)&amp;"x"))</f>
        <v>-</v>
      </c>
      <c r="F172" s="171" t="str">
        <f ca="1">IF(D172="-","-",IF(LEN(INDEX(Dashboard!$C$6:$C$206,C172+1))=0," ",INDEX(Dashboard!$C$6:$C$206,C172+1)))</f>
        <v>-</v>
      </c>
      <c r="G172" s="219" t="str">
        <f ca="1">IF(OR(D172="-",D172=""),"-",IF(LEN(INDEX(Dashboard!$D$6:$D$228,C172+1))=0,"", "x"&amp;SUBSTITUTE(SUBSTITUTE(INDEX(Dashboard!$D$6:$D$228,C172+1)," ",""),",","x,x")&amp;"x"))</f>
        <v>-</v>
      </c>
      <c r="H172" s="111" t="str">
        <f ca="1">IF(D172="-","-",TRIM(INDEX(Dashboard!$E$6:$E$206,C172+1)))</f>
        <v>-</v>
      </c>
      <c r="I172" s="111" t="str">
        <f ca="1">IF(D172="-","-",IF(LEN(INDEX(Dashboard!$F$6:$F$206,C172+1))=0,$BS$8,IF(ISERROR(MATCH(INDEX(Dashboard!$F$6:$F$206,C172+1),$BS$7:$BS$35,0)),$BS$8,INDEX(Dashboard!$F$6:$F$206,C172+1))))</f>
        <v>-</v>
      </c>
      <c r="J172" s="111" t="str">
        <f ca="1">IF(D172="-","-",SUBSTITUTE(INDEX(Dashboard!$G$6:$G$206,C172+1)," ",""))</f>
        <v>-</v>
      </c>
      <c r="K172" s="111" t="str">
        <f ca="1">IF(D172="-","-",IF(LEN(INDEX(Dashboard!$H$6:$H$206,C172+1))=0,"",INDEX(Dashboard!$H$6:$H$206,C172+1)))</f>
        <v>-</v>
      </c>
      <c r="M172" s="172" t="str">
        <f t="shared" ca="1" si="1349"/>
        <v>-</v>
      </c>
      <c r="N172" s="172" t="str">
        <f t="shared" ca="1" si="1349"/>
        <v>-</v>
      </c>
      <c r="O172" s="172" t="str">
        <f t="shared" ca="1" si="1349"/>
        <v>-</v>
      </c>
      <c r="P172" s="173" t="str">
        <f t="shared" ca="1" si="1350"/>
        <v>-</v>
      </c>
      <c r="Q172" s="172" t="str">
        <f t="shared" ca="1" si="1350"/>
        <v>-</v>
      </c>
      <c r="R172" s="172" t="str">
        <f t="shared" ca="1" si="1350"/>
        <v>-</v>
      </c>
      <c r="S172" s="174" t="str">
        <f t="array" aca="1" ref="S172" ca="1">IF($D172="-","-",SUM(IF(LEN(M172:O172)&gt;0,1,0)))</f>
        <v>-</v>
      </c>
      <c r="T172" s="175" t="str">
        <f t="array" aca="1" ref="T172" ca="1">IF(D172="-","-",SUM(IF(ISERROR(SEARCH(E172,$G$7:$G$206)),0,1)))</f>
        <v>-</v>
      </c>
      <c r="V172" s="204"/>
      <c r="W172" s="127"/>
      <c r="X172" s="177" t="str">
        <f t="shared" si="1097"/>
        <v>-</v>
      </c>
      <c r="Y172" s="178"/>
      <c r="Z172" s="127"/>
      <c r="AB172" s="179" t="str">
        <f t="shared" ca="1" si="1351"/>
        <v>-</v>
      </c>
      <c r="AC172" s="179" t="str">
        <f t="shared" ca="1" si="1351"/>
        <v>-</v>
      </c>
      <c r="AD172" s="179" t="str">
        <f t="shared" ca="1" si="1351"/>
        <v>-</v>
      </c>
      <c r="AJ172" s="181" t="str">
        <f t="shared" ca="1" si="1082"/>
        <v>-</v>
      </c>
      <c r="AK172" s="179" t="str">
        <f t="shared" ca="1" si="1083"/>
        <v>-</v>
      </c>
      <c r="AL172" s="179" t="str">
        <f t="shared" ca="1" si="1083"/>
        <v>-</v>
      </c>
      <c r="AM172" s="179" t="str">
        <f t="shared" ca="1" si="1083"/>
        <v>-</v>
      </c>
      <c r="AO172" s="182" t="str">
        <f t="shared" ca="1" si="1352"/>
        <v>-</v>
      </c>
      <c r="AP172" s="182" t="str">
        <f t="shared" ca="1" si="1352"/>
        <v>-</v>
      </c>
      <c r="AQ172" s="182" t="str">
        <f t="shared" ca="1" si="1352"/>
        <v>-</v>
      </c>
      <c r="AU172" s="185" t="str">
        <f t="shared" ref="AU172" ca="1" si="1394">IF($D172="-","-",IF(LEN(M172)=0,"", INDEX($AT$7:$AT$15,MATCH(IF($V172-INDEX(GridXRange,P172)&lt;0,"Negative",IF($V172-INDEX(GridXRange,P172)&gt;0,"Positive","Zero")) &amp; " - " &amp;IF($W172-INDEX(GridYRange,P172)&lt;0,"Negative",IF($W172-INDEX(GridYRange,P172)&gt;0,"Positive","Zero")),$AS$7:$AS$15,0))))</f>
        <v>-</v>
      </c>
      <c r="AV172" s="186" t="str">
        <f t="shared" ref="AV172" ca="1" si="1395">IF($D172="-","-",IF(LEN(N172)=0,"", INDEX($AT$7:$AT$15,MATCH(IF($V172-INDEX(GridXRange,Q172)&lt;0,"Negative",IF($V172-INDEX(GridXRange,Q172)&gt;0,"Positive","Zero")) &amp; " - " &amp;IF($W172-INDEX(GridYRange,Q172)&lt;0,"Negative",IF($W172-INDEX(GridYRange,Q172)&gt;0,"Positive","Zero")),$AS$7:$AS$15,0))))</f>
        <v>-</v>
      </c>
      <c r="AW172" s="186" t="str">
        <f t="shared" ref="AW172" ca="1" si="1396">IF($D172="-","-",IF(LEN(O172)=0,"", INDEX($AT$7:$AT$15,MATCH(IF($V172-INDEX(GridXRange,R172)&lt;0,"Negative",IF($V172-INDEX(GridXRange,R172)&gt;0,"Positive","Zero")) &amp; " - " &amp;IF($W172-INDEX(GridYRange,R172)&lt;0,"Negative",IF($W172-INDEX(GridYRange,R172)&gt;0,"Positive","Zero")),$AS$7:$AS$15,0))))</f>
        <v>-</v>
      </c>
      <c r="AX172" s="187"/>
      <c r="AY172" s="188"/>
      <c r="AZ172" s="188"/>
      <c r="BA172" s="184"/>
      <c r="BB172" s="187" t="str">
        <f t="shared" ca="1" si="1356"/>
        <v>-</v>
      </c>
      <c r="BC172" s="188" t="str">
        <f t="shared" ca="1" si="1356"/>
        <v>-</v>
      </c>
      <c r="BD172" s="188" t="str">
        <f t="shared" ca="1" si="1356"/>
        <v>-</v>
      </c>
      <c r="BE172" s="189" t="str">
        <f t="shared" ca="1" si="1356"/>
        <v>-</v>
      </c>
      <c r="BK172" s="192" t="str">
        <f t="shared" ref="BK172" ca="1" si="1397">IF($D172="-","-",$BK$5 + (V172-StartGridX) * (GapXDiff + $BW$7))</f>
        <v>-</v>
      </c>
      <c r="BL172" s="192" t="str">
        <f t="shared" ref="BL172" ca="1" si="1398">IF($D172="-","-",$BL$5 + (W172-StartGridY) * (GapYDiff + $BV$7))</f>
        <v>-</v>
      </c>
      <c r="BM172" s="192" t="str">
        <f t="shared" ca="1" si="1090"/>
        <v>-</v>
      </c>
      <c r="BN172" s="192" t="str">
        <f t="shared" ca="1" si="1091"/>
        <v>-</v>
      </c>
      <c r="BO172" s="192" t="str">
        <f t="shared" ca="1" si="1092"/>
        <v>-</v>
      </c>
      <c r="BP172" s="192" t="str">
        <f t="shared" ca="1" si="1093"/>
        <v>-</v>
      </c>
      <c r="BQ172" s="192" t="str">
        <f ca="1">IF($D172="-","-",IF(LEN(K172)=0,1,IFERROR(MATCH(K172,Dashboard!$L$25:$L$31,0),1)))</f>
        <v>-</v>
      </c>
      <c r="CC172" s="143" t="str">
        <f t="shared" ref="CC172" ca="1" si="1399">IF($D172="-","-",IF(COUNTIF(IDSourceRange,E172)&gt;1,1,0))</f>
        <v>-</v>
      </c>
      <c r="CD172" s="143" t="str">
        <f t="shared" ref="CD172" ca="1" si="1400">IF($D172="-","-",  IF(LEN(M172)=0,0,IF(ISERROR(MATCH(M172,IDSourceRange,0)),1,0)) + IF(LEN(N172)=0,0,IF(ISERROR(MATCH(N172,IDSourceRange,0)),1,0)) + IF(LEN(O172)=0,0,IF(ISERROR(MATCH(O172,IDSourceRange,0)),1,0)) )</f>
        <v>-</v>
      </c>
      <c r="CE172" s="143" t="str">
        <f t="shared" ca="1" si="1121"/>
        <v>-</v>
      </c>
      <c r="CF172" s="143" t="s">
        <v>128</v>
      </c>
      <c r="CG172" s="143" t="str">
        <f t="shared" ref="CG172" ca="1" si="1401">IF($D172="-","-",IF(X172="-",0,IF(COUNTIF(GridCombinedRange,X172)&gt;1,1,0)))</f>
        <v>-</v>
      </c>
      <c r="CH172" s="143"/>
      <c r="CI172" s="143"/>
      <c r="CJ172" s="143"/>
      <c r="CK172" s="143"/>
      <c r="CL172" s="143"/>
    </row>
    <row r="173" spans="3:90" x14ac:dyDescent="0.3">
      <c r="C173" s="170">
        <v>167</v>
      </c>
      <c r="D173" s="111" t="str">
        <f ca="1">IF(COUNTA(OFFSET(Dashboard!$B$6,C173,0,1,COUNTA(Dashboard!$B$6:$H$6)))&gt;0,"Yes","-")</f>
        <v>-</v>
      </c>
      <c r="E173" s="170" t="str">
        <f ca="1">IF(D173="-","-",IF(LEN(INDEX(Dashboard!B$6:B$206,$C173+1))=0,"x"&amp;C173&amp;"x","x"&amp;INDEX(Dashboard!B$6:B$206,$C173+1)&amp;"x"))</f>
        <v>-</v>
      </c>
      <c r="F173" s="171" t="str">
        <f ca="1">IF(D173="-","-",IF(LEN(INDEX(Dashboard!$C$6:$C$206,C173+1))=0," ",INDEX(Dashboard!$C$6:$C$206,C173+1)))</f>
        <v>-</v>
      </c>
      <c r="G173" s="219" t="str">
        <f ca="1">IF(OR(D173="-",D173=""),"-",IF(LEN(INDEX(Dashboard!$D$6:$D$228,C173+1))=0,"", "x"&amp;SUBSTITUTE(SUBSTITUTE(INDEX(Dashboard!$D$6:$D$228,C173+1)," ",""),",","x,x")&amp;"x"))</f>
        <v>-</v>
      </c>
      <c r="H173" s="111" t="str">
        <f ca="1">IF(D173="-","-",TRIM(INDEX(Dashboard!$E$6:$E$206,C173+1)))</f>
        <v>-</v>
      </c>
      <c r="I173" s="111" t="str">
        <f ca="1">IF(D173="-","-",IF(LEN(INDEX(Dashboard!$F$6:$F$206,C173+1))=0,$BS$8,IF(ISERROR(MATCH(INDEX(Dashboard!$F$6:$F$206,C173+1),$BS$7:$BS$35,0)),$BS$8,INDEX(Dashboard!$F$6:$F$206,C173+1))))</f>
        <v>-</v>
      </c>
      <c r="J173" s="111" t="str">
        <f ca="1">IF(D173="-","-",SUBSTITUTE(INDEX(Dashboard!$G$6:$G$206,C173+1)," ",""))</f>
        <v>-</v>
      </c>
      <c r="K173" s="111" t="str">
        <f ca="1">IF(D173="-","-",IF(LEN(INDEX(Dashboard!$H$6:$H$206,C173+1))=0,"",INDEX(Dashboard!$H$6:$H$206,C173+1)))</f>
        <v>-</v>
      </c>
      <c r="M173" s="172" t="str">
        <f t="shared" ca="1" si="1349"/>
        <v>-</v>
      </c>
      <c r="N173" s="172" t="str">
        <f t="shared" ca="1" si="1349"/>
        <v>-</v>
      </c>
      <c r="O173" s="172" t="str">
        <f t="shared" ca="1" si="1349"/>
        <v>-</v>
      </c>
      <c r="P173" s="173" t="str">
        <f t="shared" ca="1" si="1350"/>
        <v>-</v>
      </c>
      <c r="Q173" s="172" t="str">
        <f t="shared" ca="1" si="1350"/>
        <v>-</v>
      </c>
      <c r="R173" s="172" t="str">
        <f t="shared" ca="1" si="1350"/>
        <v>-</v>
      </c>
      <c r="S173" s="174" t="str">
        <f t="array" aca="1" ref="S173" ca="1">IF($D173="-","-",SUM(IF(LEN(M173:O173)&gt;0,1,0)))</f>
        <v>-</v>
      </c>
      <c r="T173" s="175" t="str">
        <f t="array" aca="1" ref="T173" ca="1">IF(D173="-","-",SUM(IF(ISERROR(SEARCH(E173,$G$7:$G$206)),0,1)))</f>
        <v>-</v>
      </c>
      <c r="V173" s="204"/>
      <c r="W173" s="127"/>
      <c r="X173" s="177" t="str">
        <f t="shared" si="1097"/>
        <v>-</v>
      </c>
      <c r="Y173" s="178"/>
      <c r="Z173" s="127"/>
      <c r="AB173" s="179" t="str">
        <f t="shared" ca="1" si="1351"/>
        <v>-</v>
      </c>
      <c r="AC173" s="179" t="str">
        <f t="shared" ca="1" si="1351"/>
        <v>-</v>
      </c>
      <c r="AD173" s="179" t="str">
        <f t="shared" ca="1" si="1351"/>
        <v>-</v>
      </c>
      <c r="AJ173" s="181" t="str">
        <f t="shared" ca="1" si="1082"/>
        <v>-</v>
      </c>
      <c r="AK173" s="179" t="str">
        <f t="shared" ca="1" si="1083"/>
        <v>-</v>
      </c>
      <c r="AL173" s="179" t="str">
        <f t="shared" ca="1" si="1083"/>
        <v>-</v>
      </c>
      <c r="AM173" s="179" t="str">
        <f t="shared" ca="1" si="1083"/>
        <v>-</v>
      </c>
      <c r="AO173" s="182" t="str">
        <f t="shared" ca="1" si="1352"/>
        <v>-</v>
      </c>
      <c r="AP173" s="182" t="str">
        <f t="shared" ca="1" si="1352"/>
        <v>-</v>
      </c>
      <c r="AQ173" s="182" t="str">
        <f t="shared" ca="1" si="1352"/>
        <v>-</v>
      </c>
      <c r="AU173" s="185" t="str">
        <f t="shared" ref="AU173" ca="1" si="1402">IF($D173="-","-",IF(LEN(M173)=0,"", INDEX($AT$7:$AT$15,MATCH(IF($V173-INDEX(GridXRange,P173)&lt;0,"Negative",IF($V173-INDEX(GridXRange,P173)&gt;0,"Positive","Zero")) &amp; " - " &amp;IF($W173-INDEX(GridYRange,P173)&lt;0,"Negative",IF($W173-INDEX(GridYRange,P173)&gt;0,"Positive","Zero")),$AS$7:$AS$15,0))))</f>
        <v>-</v>
      </c>
      <c r="AV173" s="186" t="str">
        <f t="shared" ref="AV173" ca="1" si="1403">IF($D173="-","-",IF(LEN(N173)=0,"", INDEX($AT$7:$AT$15,MATCH(IF($V173-INDEX(GridXRange,Q173)&lt;0,"Negative",IF($V173-INDEX(GridXRange,Q173)&gt;0,"Positive","Zero")) &amp; " - " &amp;IF($W173-INDEX(GridYRange,Q173)&lt;0,"Negative",IF($W173-INDEX(GridYRange,Q173)&gt;0,"Positive","Zero")),$AS$7:$AS$15,0))))</f>
        <v>-</v>
      </c>
      <c r="AW173" s="186" t="str">
        <f t="shared" ref="AW173" ca="1" si="1404">IF($D173="-","-",IF(LEN(O173)=0,"", INDEX($AT$7:$AT$15,MATCH(IF($V173-INDEX(GridXRange,R173)&lt;0,"Negative",IF($V173-INDEX(GridXRange,R173)&gt;0,"Positive","Zero")) &amp; " - " &amp;IF($W173-INDEX(GridYRange,R173)&lt;0,"Negative",IF($W173-INDEX(GridYRange,R173)&gt;0,"Positive","Zero")),$AS$7:$AS$15,0))))</f>
        <v>-</v>
      </c>
      <c r="AX173" s="187"/>
      <c r="AY173" s="188"/>
      <c r="AZ173" s="188"/>
      <c r="BA173" s="184"/>
      <c r="BB173" s="187" t="str">
        <f t="shared" ca="1" si="1356"/>
        <v>-</v>
      </c>
      <c r="BC173" s="188" t="str">
        <f t="shared" ca="1" si="1356"/>
        <v>-</v>
      </c>
      <c r="BD173" s="188" t="str">
        <f t="shared" ca="1" si="1356"/>
        <v>-</v>
      </c>
      <c r="BE173" s="189" t="str">
        <f t="shared" ca="1" si="1356"/>
        <v>-</v>
      </c>
      <c r="BK173" s="192" t="str">
        <f t="shared" ref="BK173" ca="1" si="1405">IF($D173="-","-",$BK$5 + (V173-StartGridX) * (GapXDiff + $BW$7))</f>
        <v>-</v>
      </c>
      <c r="BL173" s="192" t="str">
        <f t="shared" ref="BL173" ca="1" si="1406">IF($D173="-","-",$BL$5 + (W173-StartGridY) * (GapYDiff + $BV$7))</f>
        <v>-</v>
      </c>
      <c r="BM173" s="192" t="str">
        <f t="shared" ca="1" si="1090"/>
        <v>-</v>
      </c>
      <c r="BN173" s="192" t="str">
        <f t="shared" ca="1" si="1091"/>
        <v>-</v>
      </c>
      <c r="BO173" s="192" t="str">
        <f t="shared" ca="1" si="1092"/>
        <v>-</v>
      </c>
      <c r="BP173" s="192" t="str">
        <f t="shared" ca="1" si="1093"/>
        <v>-</v>
      </c>
      <c r="BQ173" s="192" t="str">
        <f ca="1">IF($D173="-","-",IF(LEN(K173)=0,1,IFERROR(MATCH(K173,Dashboard!$L$25:$L$31,0),1)))</f>
        <v>-</v>
      </c>
      <c r="CC173" s="143" t="str">
        <f t="shared" ref="CC173" ca="1" si="1407">IF($D173="-","-",IF(COUNTIF(IDSourceRange,E173)&gt;1,1,0))</f>
        <v>-</v>
      </c>
      <c r="CD173" s="143" t="str">
        <f t="shared" ref="CD173" ca="1" si="1408">IF($D173="-","-",  IF(LEN(M173)=0,0,IF(ISERROR(MATCH(M173,IDSourceRange,0)),1,0)) + IF(LEN(N173)=0,0,IF(ISERROR(MATCH(N173,IDSourceRange,0)),1,0)) + IF(LEN(O173)=0,0,IF(ISERROR(MATCH(O173,IDSourceRange,0)),1,0)) )</f>
        <v>-</v>
      </c>
      <c r="CE173" s="143" t="str">
        <f t="shared" ca="1" si="1121"/>
        <v>-</v>
      </c>
      <c r="CF173" s="143" t="s">
        <v>128</v>
      </c>
      <c r="CG173" s="143" t="str">
        <f t="shared" ref="CG173" ca="1" si="1409">IF($D173="-","-",IF(X173="-",0,IF(COUNTIF(GridCombinedRange,X173)&gt;1,1,0)))</f>
        <v>-</v>
      </c>
      <c r="CH173" s="143"/>
      <c r="CI173" s="143"/>
      <c r="CJ173" s="143"/>
      <c r="CK173" s="143"/>
      <c r="CL173" s="143"/>
    </row>
    <row r="174" spans="3:90" x14ac:dyDescent="0.3">
      <c r="C174" s="170">
        <v>168</v>
      </c>
      <c r="D174" s="111" t="str">
        <f ca="1">IF(COUNTA(OFFSET(Dashboard!$B$6,C174,0,1,COUNTA(Dashboard!$B$6:$H$6)))&gt;0,"Yes","-")</f>
        <v>-</v>
      </c>
      <c r="E174" s="170" t="str">
        <f ca="1">IF(D174="-","-",IF(LEN(INDEX(Dashboard!B$6:B$206,$C174+1))=0,"x"&amp;C174&amp;"x","x"&amp;INDEX(Dashboard!B$6:B$206,$C174+1)&amp;"x"))</f>
        <v>-</v>
      </c>
      <c r="F174" s="171" t="str">
        <f ca="1">IF(D174="-","-",IF(LEN(INDEX(Dashboard!$C$6:$C$206,C174+1))=0," ",INDEX(Dashboard!$C$6:$C$206,C174+1)))</f>
        <v>-</v>
      </c>
      <c r="G174" s="219" t="str">
        <f ca="1">IF(OR(D174="-",D174=""),"-",IF(LEN(INDEX(Dashboard!$D$6:$D$228,C174+1))=0,"", "x"&amp;SUBSTITUTE(SUBSTITUTE(INDEX(Dashboard!$D$6:$D$228,C174+1)," ",""),",","x,x")&amp;"x"))</f>
        <v>-</v>
      </c>
      <c r="H174" s="111" t="str">
        <f ca="1">IF(D174="-","-",TRIM(INDEX(Dashboard!$E$6:$E$206,C174+1)))</f>
        <v>-</v>
      </c>
      <c r="I174" s="111" t="str">
        <f ca="1">IF(D174="-","-",IF(LEN(INDEX(Dashboard!$F$6:$F$206,C174+1))=0,$BS$8,IF(ISERROR(MATCH(INDEX(Dashboard!$F$6:$F$206,C174+1),$BS$7:$BS$35,0)),$BS$8,INDEX(Dashboard!$F$6:$F$206,C174+1))))</f>
        <v>-</v>
      </c>
      <c r="J174" s="111" t="str">
        <f ca="1">IF(D174="-","-",SUBSTITUTE(INDEX(Dashboard!$G$6:$G$206,C174+1)," ",""))</f>
        <v>-</v>
      </c>
      <c r="K174" s="111" t="str">
        <f ca="1">IF(D174="-","-",IF(LEN(INDEX(Dashboard!$H$6:$H$206,C174+1))=0,"",INDEX(Dashboard!$H$6:$H$206,C174+1)))</f>
        <v>-</v>
      </c>
      <c r="M174" s="172" t="str">
        <f t="shared" ca="1" si="1349"/>
        <v>-</v>
      </c>
      <c r="N174" s="172" t="str">
        <f t="shared" ca="1" si="1349"/>
        <v>-</v>
      </c>
      <c r="O174" s="172" t="str">
        <f t="shared" ca="1" si="1349"/>
        <v>-</v>
      </c>
      <c r="P174" s="173" t="str">
        <f t="shared" ca="1" si="1350"/>
        <v>-</v>
      </c>
      <c r="Q174" s="172" t="str">
        <f t="shared" ca="1" si="1350"/>
        <v>-</v>
      </c>
      <c r="R174" s="172" t="str">
        <f t="shared" ca="1" si="1350"/>
        <v>-</v>
      </c>
      <c r="S174" s="174" t="str">
        <f t="array" aca="1" ref="S174" ca="1">IF($D174="-","-",SUM(IF(LEN(M174:O174)&gt;0,1,0)))</f>
        <v>-</v>
      </c>
      <c r="T174" s="175" t="str">
        <f t="array" aca="1" ref="T174" ca="1">IF(D174="-","-",SUM(IF(ISERROR(SEARCH(E174,$G$7:$G$206)),0,1)))</f>
        <v>-</v>
      </c>
      <c r="V174" s="204"/>
      <c r="W174" s="127"/>
      <c r="X174" s="177" t="str">
        <f t="shared" si="1097"/>
        <v>-</v>
      </c>
      <c r="Y174" s="178"/>
      <c r="Z174" s="127"/>
      <c r="AB174" s="179" t="str">
        <f t="shared" ca="1" si="1351"/>
        <v>-</v>
      </c>
      <c r="AC174" s="179" t="str">
        <f t="shared" ca="1" si="1351"/>
        <v>-</v>
      </c>
      <c r="AD174" s="179" t="str">
        <f t="shared" ca="1" si="1351"/>
        <v>-</v>
      </c>
      <c r="AJ174" s="181" t="str">
        <f t="shared" ca="1" si="1082"/>
        <v>-</v>
      </c>
      <c r="AK174" s="179" t="str">
        <f t="shared" ca="1" si="1083"/>
        <v>-</v>
      </c>
      <c r="AL174" s="179" t="str">
        <f t="shared" ca="1" si="1083"/>
        <v>-</v>
      </c>
      <c r="AM174" s="179" t="str">
        <f t="shared" ca="1" si="1083"/>
        <v>-</v>
      </c>
      <c r="AO174" s="182" t="str">
        <f t="shared" ca="1" si="1352"/>
        <v>-</v>
      </c>
      <c r="AP174" s="182" t="str">
        <f t="shared" ca="1" si="1352"/>
        <v>-</v>
      </c>
      <c r="AQ174" s="182" t="str">
        <f t="shared" ca="1" si="1352"/>
        <v>-</v>
      </c>
      <c r="AU174" s="185" t="str">
        <f t="shared" ref="AU174" ca="1" si="1410">IF($D174="-","-",IF(LEN(M174)=0,"", INDEX($AT$7:$AT$15,MATCH(IF($V174-INDEX(GridXRange,P174)&lt;0,"Negative",IF($V174-INDEX(GridXRange,P174)&gt;0,"Positive","Zero")) &amp; " - " &amp;IF($W174-INDEX(GridYRange,P174)&lt;0,"Negative",IF($W174-INDEX(GridYRange,P174)&gt;0,"Positive","Zero")),$AS$7:$AS$15,0))))</f>
        <v>-</v>
      </c>
      <c r="AV174" s="186" t="str">
        <f t="shared" ref="AV174" ca="1" si="1411">IF($D174="-","-",IF(LEN(N174)=0,"", INDEX($AT$7:$AT$15,MATCH(IF($V174-INDEX(GridXRange,Q174)&lt;0,"Negative",IF($V174-INDEX(GridXRange,Q174)&gt;0,"Positive","Zero")) &amp; " - " &amp;IF($W174-INDEX(GridYRange,Q174)&lt;0,"Negative",IF($W174-INDEX(GridYRange,Q174)&gt;0,"Positive","Zero")),$AS$7:$AS$15,0))))</f>
        <v>-</v>
      </c>
      <c r="AW174" s="186" t="str">
        <f t="shared" ref="AW174" ca="1" si="1412">IF($D174="-","-",IF(LEN(O174)=0,"", INDEX($AT$7:$AT$15,MATCH(IF($V174-INDEX(GridXRange,R174)&lt;0,"Negative",IF($V174-INDEX(GridXRange,R174)&gt;0,"Positive","Zero")) &amp; " - " &amp;IF($W174-INDEX(GridYRange,R174)&lt;0,"Negative",IF($W174-INDEX(GridYRange,R174)&gt;0,"Positive","Zero")),$AS$7:$AS$15,0))))</f>
        <v>-</v>
      </c>
      <c r="AX174" s="187"/>
      <c r="AY174" s="188"/>
      <c r="AZ174" s="188"/>
      <c r="BA174" s="184"/>
      <c r="BB174" s="187" t="str">
        <f t="shared" ca="1" si="1356"/>
        <v>-</v>
      </c>
      <c r="BC174" s="188" t="str">
        <f t="shared" ca="1" si="1356"/>
        <v>-</v>
      </c>
      <c r="BD174" s="188" t="str">
        <f t="shared" ca="1" si="1356"/>
        <v>-</v>
      </c>
      <c r="BE174" s="189" t="str">
        <f t="shared" ca="1" si="1356"/>
        <v>-</v>
      </c>
      <c r="BK174" s="192" t="str">
        <f t="shared" ref="BK174" ca="1" si="1413">IF($D174="-","-",$BK$5 + (V174-StartGridX) * (GapXDiff + $BW$7))</f>
        <v>-</v>
      </c>
      <c r="BL174" s="192" t="str">
        <f t="shared" ref="BL174" ca="1" si="1414">IF($D174="-","-",$BL$5 + (W174-StartGridY) * (GapYDiff + $BV$7))</f>
        <v>-</v>
      </c>
      <c r="BM174" s="192" t="str">
        <f t="shared" ca="1" si="1090"/>
        <v>-</v>
      </c>
      <c r="BN174" s="192" t="str">
        <f t="shared" ca="1" si="1091"/>
        <v>-</v>
      </c>
      <c r="BO174" s="192" t="str">
        <f t="shared" ca="1" si="1092"/>
        <v>-</v>
      </c>
      <c r="BP174" s="192" t="str">
        <f t="shared" ca="1" si="1093"/>
        <v>-</v>
      </c>
      <c r="BQ174" s="192" t="str">
        <f ca="1">IF($D174="-","-",IF(LEN(K174)=0,1,IFERROR(MATCH(K174,Dashboard!$L$25:$L$31,0),1)))</f>
        <v>-</v>
      </c>
      <c r="CC174" s="143" t="str">
        <f t="shared" ref="CC174" ca="1" si="1415">IF($D174="-","-",IF(COUNTIF(IDSourceRange,E174)&gt;1,1,0))</f>
        <v>-</v>
      </c>
      <c r="CD174" s="143" t="str">
        <f t="shared" ref="CD174" ca="1" si="1416">IF($D174="-","-",  IF(LEN(M174)=0,0,IF(ISERROR(MATCH(M174,IDSourceRange,0)),1,0)) + IF(LEN(N174)=0,0,IF(ISERROR(MATCH(N174,IDSourceRange,0)),1,0)) + IF(LEN(O174)=0,0,IF(ISERROR(MATCH(O174,IDSourceRange,0)),1,0)) )</f>
        <v>-</v>
      </c>
      <c r="CE174" s="143" t="str">
        <f t="shared" ca="1" si="1121"/>
        <v>-</v>
      </c>
      <c r="CF174" s="143" t="s">
        <v>128</v>
      </c>
      <c r="CG174" s="143" t="str">
        <f t="shared" ref="CG174" ca="1" si="1417">IF($D174="-","-",IF(X174="-",0,IF(COUNTIF(GridCombinedRange,X174)&gt;1,1,0)))</f>
        <v>-</v>
      </c>
      <c r="CH174" s="143"/>
      <c r="CI174" s="143"/>
      <c r="CJ174" s="143"/>
      <c r="CK174" s="143"/>
      <c r="CL174" s="143"/>
    </row>
    <row r="175" spans="3:90" x14ac:dyDescent="0.3">
      <c r="C175" s="170">
        <v>169</v>
      </c>
      <c r="D175" s="111" t="str">
        <f ca="1">IF(COUNTA(OFFSET(Dashboard!$B$6,C175,0,1,COUNTA(Dashboard!$B$6:$H$6)))&gt;0,"Yes","-")</f>
        <v>-</v>
      </c>
      <c r="E175" s="170" t="str">
        <f ca="1">IF(D175="-","-",IF(LEN(INDEX(Dashboard!B$6:B$206,$C175+1))=0,"x"&amp;C175&amp;"x","x"&amp;INDEX(Dashboard!B$6:B$206,$C175+1)&amp;"x"))</f>
        <v>-</v>
      </c>
      <c r="F175" s="171" t="str">
        <f ca="1">IF(D175="-","-",IF(LEN(INDEX(Dashboard!$C$6:$C$206,C175+1))=0," ",INDEX(Dashboard!$C$6:$C$206,C175+1)))</f>
        <v>-</v>
      </c>
      <c r="G175" s="219" t="str">
        <f ca="1">IF(OR(D175="-",D175=""),"-",IF(LEN(INDEX(Dashboard!$D$6:$D$228,C175+1))=0,"", "x"&amp;SUBSTITUTE(SUBSTITUTE(INDEX(Dashboard!$D$6:$D$228,C175+1)," ",""),",","x,x")&amp;"x"))</f>
        <v>-</v>
      </c>
      <c r="H175" s="111" t="str">
        <f ca="1">IF(D175="-","-",TRIM(INDEX(Dashboard!$E$6:$E$206,C175+1)))</f>
        <v>-</v>
      </c>
      <c r="I175" s="111" t="str">
        <f ca="1">IF(D175="-","-",IF(LEN(INDEX(Dashboard!$F$6:$F$206,C175+1))=0,$BS$8,IF(ISERROR(MATCH(INDEX(Dashboard!$F$6:$F$206,C175+1),$BS$7:$BS$35,0)),$BS$8,INDEX(Dashboard!$F$6:$F$206,C175+1))))</f>
        <v>-</v>
      </c>
      <c r="J175" s="111" t="str">
        <f ca="1">IF(D175="-","-",SUBSTITUTE(INDEX(Dashboard!$G$6:$G$206,C175+1)," ",""))</f>
        <v>-</v>
      </c>
      <c r="K175" s="111" t="str">
        <f ca="1">IF(D175="-","-",IF(LEN(INDEX(Dashboard!$H$6:$H$206,C175+1))=0,"",INDEX(Dashboard!$H$6:$H$206,C175+1)))</f>
        <v>-</v>
      </c>
      <c r="M175" s="172" t="str">
        <f t="shared" ca="1" si="1349"/>
        <v>-</v>
      </c>
      <c r="N175" s="172" t="str">
        <f t="shared" ca="1" si="1349"/>
        <v>-</v>
      </c>
      <c r="O175" s="172" t="str">
        <f t="shared" ca="1" si="1349"/>
        <v>-</v>
      </c>
      <c r="P175" s="173" t="str">
        <f t="shared" ca="1" si="1350"/>
        <v>-</v>
      </c>
      <c r="Q175" s="172" t="str">
        <f t="shared" ca="1" si="1350"/>
        <v>-</v>
      </c>
      <c r="R175" s="172" t="str">
        <f t="shared" ca="1" si="1350"/>
        <v>-</v>
      </c>
      <c r="S175" s="174" t="str">
        <f t="array" aca="1" ref="S175" ca="1">IF($D175="-","-",SUM(IF(LEN(M175:O175)&gt;0,1,0)))</f>
        <v>-</v>
      </c>
      <c r="T175" s="175" t="str">
        <f t="array" aca="1" ref="T175" ca="1">IF(D175="-","-",SUM(IF(ISERROR(SEARCH(E175,$G$7:$G$206)),0,1)))</f>
        <v>-</v>
      </c>
      <c r="V175" s="204"/>
      <c r="W175" s="127"/>
      <c r="X175" s="177" t="str">
        <f t="shared" si="1097"/>
        <v>-</v>
      </c>
      <c r="Y175" s="178"/>
      <c r="Z175" s="127"/>
      <c r="AB175" s="179" t="str">
        <f t="shared" ca="1" si="1351"/>
        <v>-</v>
      </c>
      <c r="AC175" s="179" t="str">
        <f t="shared" ca="1" si="1351"/>
        <v>-</v>
      </c>
      <c r="AD175" s="179" t="str">
        <f t="shared" ca="1" si="1351"/>
        <v>-</v>
      </c>
      <c r="AJ175" s="181" t="str">
        <f t="shared" ca="1" si="1082"/>
        <v>-</v>
      </c>
      <c r="AK175" s="179" t="str">
        <f t="shared" ca="1" si="1083"/>
        <v>-</v>
      </c>
      <c r="AL175" s="179" t="str">
        <f t="shared" ca="1" si="1083"/>
        <v>-</v>
      </c>
      <c r="AM175" s="179" t="str">
        <f t="shared" ca="1" si="1083"/>
        <v>-</v>
      </c>
      <c r="AO175" s="182" t="str">
        <f t="shared" ca="1" si="1352"/>
        <v>-</v>
      </c>
      <c r="AP175" s="182" t="str">
        <f t="shared" ca="1" si="1352"/>
        <v>-</v>
      </c>
      <c r="AQ175" s="182" t="str">
        <f t="shared" ca="1" si="1352"/>
        <v>-</v>
      </c>
      <c r="AU175" s="185" t="str">
        <f t="shared" ref="AU175" ca="1" si="1418">IF($D175="-","-",IF(LEN(M175)=0,"", INDEX($AT$7:$AT$15,MATCH(IF($V175-INDEX(GridXRange,P175)&lt;0,"Negative",IF($V175-INDEX(GridXRange,P175)&gt;0,"Positive","Zero")) &amp; " - " &amp;IF($W175-INDEX(GridYRange,P175)&lt;0,"Negative",IF($W175-INDEX(GridYRange,P175)&gt;0,"Positive","Zero")),$AS$7:$AS$15,0))))</f>
        <v>-</v>
      </c>
      <c r="AV175" s="186" t="str">
        <f t="shared" ref="AV175" ca="1" si="1419">IF($D175="-","-",IF(LEN(N175)=0,"", INDEX($AT$7:$AT$15,MATCH(IF($V175-INDEX(GridXRange,Q175)&lt;0,"Negative",IF($V175-INDEX(GridXRange,Q175)&gt;0,"Positive","Zero")) &amp; " - " &amp;IF($W175-INDEX(GridYRange,Q175)&lt;0,"Negative",IF($W175-INDEX(GridYRange,Q175)&gt;0,"Positive","Zero")),$AS$7:$AS$15,0))))</f>
        <v>-</v>
      </c>
      <c r="AW175" s="186" t="str">
        <f t="shared" ref="AW175" ca="1" si="1420">IF($D175="-","-",IF(LEN(O175)=0,"", INDEX($AT$7:$AT$15,MATCH(IF($V175-INDEX(GridXRange,R175)&lt;0,"Negative",IF($V175-INDEX(GridXRange,R175)&gt;0,"Positive","Zero")) &amp; " - " &amp;IF($W175-INDEX(GridYRange,R175)&lt;0,"Negative",IF($W175-INDEX(GridYRange,R175)&gt;0,"Positive","Zero")),$AS$7:$AS$15,0))))</f>
        <v>-</v>
      </c>
      <c r="AX175" s="187"/>
      <c r="AY175" s="188"/>
      <c r="AZ175" s="188"/>
      <c r="BA175" s="184"/>
      <c r="BB175" s="187" t="str">
        <f t="shared" ca="1" si="1356"/>
        <v>-</v>
      </c>
      <c r="BC175" s="188" t="str">
        <f t="shared" ca="1" si="1356"/>
        <v>-</v>
      </c>
      <c r="BD175" s="188" t="str">
        <f t="shared" ca="1" si="1356"/>
        <v>-</v>
      </c>
      <c r="BE175" s="189" t="str">
        <f t="shared" ca="1" si="1356"/>
        <v>-</v>
      </c>
      <c r="BK175" s="192" t="str">
        <f t="shared" ref="BK175" ca="1" si="1421">IF($D175="-","-",$BK$5 + (V175-StartGridX) * (GapXDiff + $BW$7))</f>
        <v>-</v>
      </c>
      <c r="BL175" s="192" t="str">
        <f t="shared" ref="BL175" ca="1" si="1422">IF($D175="-","-",$BL$5 + (W175-StartGridY) * (GapYDiff + $BV$7))</f>
        <v>-</v>
      </c>
      <c r="BM175" s="192" t="str">
        <f t="shared" ca="1" si="1090"/>
        <v>-</v>
      </c>
      <c r="BN175" s="192" t="str">
        <f t="shared" ca="1" si="1091"/>
        <v>-</v>
      </c>
      <c r="BO175" s="192" t="str">
        <f t="shared" ca="1" si="1092"/>
        <v>-</v>
      </c>
      <c r="BP175" s="192" t="str">
        <f t="shared" ca="1" si="1093"/>
        <v>-</v>
      </c>
      <c r="BQ175" s="192" t="str">
        <f ca="1">IF($D175="-","-",IF(LEN(K175)=0,1,IFERROR(MATCH(K175,Dashboard!$L$25:$L$31,0),1)))</f>
        <v>-</v>
      </c>
      <c r="CC175" s="143" t="str">
        <f t="shared" ref="CC175" ca="1" si="1423">IF($D175="-","-",IF(COUNTIF(IDSourceRange,E175)&gt;1,1,0))</f>
        <v>-</v>
      </c>
      <c r="CD175" s="143" t="str">
        <f t="shared" ref="CD175" ca="1" si="1424">IF($D175="-","-",  IF(LEN(M175)=0,0,IF(ISERROR(MATCH(M175,IDSourceRange,0)),1,0)) + IF(LEN(N175)=0,0,IF(ISERROR(MATCH(N175,IDSourceRange,0)),1,0)) + IF(LEN(O175)=0,0,IF(ISERROR(MATCH(O175,IDSourceRange,0)),1,0)) )</f>
        <v>-</v>
      </c>
      <c r="CE175" s="143" t="str">
        <f t="shared" ca="1" si="1121"/>
        <v>-</v>
      </c>
      <c r="CF175" s="143" t="s">
        <v>128</v>
      </c>
      <c r="CG175" s="143" t="str">
        <f t="shared" ref="CG175" ca="1" si="1425">IF($D175="-","-",IF(X175="-",0,IF(COUNTIF(GridCombinedRange,X175)&gt;1,1,0)))</f>
        <v>-</v>
      </c>
      <c r="CH175" s="143"/>
      <c r="CI175" s="143"/>
      <c r="CJ175" s="143"/>
      <c r="CK175" s="143"/>
      <c r="CL175" s="143"/>
    </row>
    <row r="176" spans="3:90" x14ac:dyDescent="0.3">
      <c r="C176" s="170">
        <v>170</v>
      </c>
      <c r="D176" s="111" t="str">
        <f ca="1">IF(COUNTA(OFFSET(Dashboard!$B$6,C176,0,1,COUNTA(Dashboard!$B$6:$H$6)))&gt;0,"Yes","-")</f>
        <v>-</v>
      </c>
      <c r="E176" s="170" t="str">
        <f ca="1">IF(D176="-","-",IF(LEN(INDEX(Dashboard!B$6:B$206,$C176+1))=0,"x"&amp;C176&amp;"x","x"&amp;INDEX(Dashboard!B$6:B$206,$C176+1)&amp;"x"))</f>
        <v>-</v>
      </c>
      <c r="F176" s="171" t="str">
        <f ca="1">IF(D176="-","-",IF(LEN(INDEX(Dashboard!$C$6:$C$206,C176+1))=0," ",INDEX(Dashboard!$C$6:$C$206,C176+1)))</f>
        <v>-</v>
      </c>
      <c r="G176" s="219" t="str">
        <f ca="1">IF(OR(D176="-",D176=""),"-",IF(LEN(INDEX(Dashboard!$D$6:$D$228,C176+1))=0,"", "x"&amp;SUBSTITUTE(SUBSTITUTE(INDEX(Dashboard!$D$6:$D$228,C176+1)," ",""),",","x,x")&amp;"x"))</f>
        <v>-</v>
      </c>
      <c r="H176" s="111" t="str">
        <f ca="1">IF(D176="-","-",TRIM(INDEX(Dashboard!$E$6:$E$206,C176+1)))</f>
        <v>-</v>
      </c>
      <c r="I176" s="111" t="str">
        <f ca="1">IF(D176="-","-",IF(LEN(INDEX(Dashboard!$F$6:$F$206,C176+1))=0,$BS$8,IF(ISERROR(MATCH(INDEX(Dashboard!$F$6:$F$206,C176+1),$BS$7:$BS$35,0)),$BS$8,INDEX(Dashboard!$F$6:$F$206,C176+1))))</f>
        <v>-</v>
      </c>
      <c r="J176" s="111" t="str">
        <f ca="1">IF(D176="-","-",SUBSTITUTE(INDEX(Dashboard!$G$6:$G$206,C176+1)," ",""))</f>
        <v>-</v>
      </c>
      <c r="K176" s="111" t="str">
        <f ca="1">IF(D176="-","-",IF(LEN(INDEX(Dashboard!$H$6:$H$206,C176+1))=0,"",INDEX(Dashboard!$H$6:$H$206,C176+1)))</f>
        <v>-</v>
      </c>
      <c r="M176" s="172" t="str">
        <f t="shared" ca="1" si="1349"/>
        <v>-</v>
      </c>
      <c r="N176" s="172" t="str">
        <f t="shared" ca="1" si="1349"/>
        <v>-</v>
      </c>
      <c r="O176" s="172" t="str">
        <f t="shared" ca="1" si="1349"/>
        <v>-</v>
      </c>
      <c r="P176" s="173" t="str">
        <f t="shared" ca="1" si="1350"/>
        <v>-</v>
      </c>
      <c r="Q176" s="172" t="str">
        <f t="shared" ca="1" si="1350"/>
        <v>-</v>
      </c>
      <c r="R176" s="172" t="str">
        <f t="shared" ca="1" si="1350"/>
        <v>-</v>
      </c>
      <c r="S176" s="174" t="str">
        <f t="array" aca="1" ref="S176" ca="1">IF($D176="-","-",SUM(IF(LEN(M176:O176)&gt;0,1,0)))</f>
        <v>-</v>
      </c>
      <c r="T176" s="175" t="str">
        <f t="array" aca="1" ref="T176" ca="1">IF(D176="-","-",SUM(IF(ISERROR(SEARCH(E176,$G$7:$G$206)),0,1)))</f>
        <v>-</v>
      </c>
      <c r="V176" s="204"/>
      <c r="W176" s="127"/>
      <c r="X176" s="177" t="str">
        <f t="shared" si="1097"/>
        <v>-</v>
      </c>
      <c r="Y176" s="178"/>
      <c r="Z176" s="127"/>
      <c r="AB176" s="179" t="str">
        <f t="shared" ca="1" si="1351"/>
        <v>-</v>
      </c>
      <c r="AC176" s="179" t="str">
        <f t="shared" ca="1" si="1351"/>
        <v>-</v>
      </c>
      <c r="AD176" s="179" t="str">
        <f t="shared" ca="1" si="1351"/>
        <v>-</v>
      </c>
      <c r="AJ176" s="181" t="str">
        <f t="shared" ca="1" si="1082"/>
        <v>-</v>
      </c>
      <c r="AK176" s="179" t="str">
        <f t="shared" ca="1" si="1083"/>
        <v>-</v>
      </c>
      <c r="AL176" s="179" t="str">
        <f t="shared" ca="1" si="1083"/>
        <v>-</v>
      </c>
      <c r="AM176" s="179" t="str">
        <f t="shared" ca="1" si="1083"/>
        <v>-</v>
      </c>
      <c r="AO176" s="182" t="str">
        <f t="shared" ca="1" si="1352"/>
        <v>-</v>
      </c>
      <c r="AP176" s="182" t="str">
        <f t="shared" ca="1" si="1352"/>
        <v>-</v>
      </c>
      <c r="AQ176" s="182" t="str">
        <f t="shared" ca="1" si="1352"/>
        <v>-</v>
      </c>
      <c r="AU176" s="185" t="str">
        <f t="shared" ref="AU176" ca="1" si="1426">IF($D176="-","-",IF(LEN(M176)=0,"", INDEX($AT$7:$AT$15,MATCH(IF($V176-INDEX(GridXRange,P176)&lt;0,"Negative",IF($V176-INDEX(GridXRange,P176)&gt;0,"Positive","Zero")) &amp; " - " &amp;IF($W176-INDEX(GridYRange,P176)&lt;0,"Negative",IF($W176-INDEX(GridYRange,P176)&gt;0,"Positive","Zero")),$AS$7:$AS$15,0))))</f>
        <v>-</v>
      </c>
      <c r="AV176" s="186" t="str">
        <f t="shared" ref="AV176" ca="1" si="1427">IF($D176="-","-",IF(LEN(N176)=0,"", INDEX($AT$7:$AT$15,MATCH(IF($V176-INDEX(GridXRange,Q176)&lt;0,"Negative",IF($V176-INDEX(GridXRange,Q176)&gt;0,"Positive","Zero")) &amp; " - " &amp;IF($W176-INDEX(GridYRange,Q176)&lt;0,"Negative",IF($W176-INDEX(GridYRange,Q176)&gt;0,"Positive","Zero")),$AS$7:$AS$15,0))))</f>
        <v>-</v>
      </c>
      <c r="AW176" s="186" t="str">
        <f t="shared" ref="AW176" ca="1" si="1428">IF($D176="-","-",IF(LEN(O176)=0,"", INDEX($AT$7:$AT$15,MATCH(IF($V176-INDEX(GridXRange,R176)&lt;0,"Negative",IF($V176-INDEX(GridXRange,R176)&gt;0,"Positive","Zero")) &amp; " - " &amp;IF($W176-INDEX(GridYRange,R176)&lt;0,"Negative",IF($W176-INDEX(GridYRange,R176)&gt;0,"Positive","Zero")),$AS$7:$AS$15,0))))</f>
        <v>-</v>
      </c>
      <c r="AX176" s="187"/>
      <c r="AY176" s="188"/>
      <c r="AZ176" s="188"/>
      <c r="BA176" s="184"/>
      <c r="BB176" s="187" t="str">
        <f t="shared" ca="1" si="1356"/>
        <v>-</v>
      </c>
      <c r="BC176" s="188" t="str">
        <f t="shared" ca="1" si="1356"/>
        <v>-</v>
      </c>
      <c r="BD176" s="188" t="str">
        <f t="shared" ca="1" si="1356"/>
        <v>-</v>
      </c>
      <c r="BE176" s="189" t="str">
        <f t="shared" ca="1" si="1356"/>
        <v>-</v>
      </c>
      <c r="BK176" s="192" t="str">
        <f t="shared" ref="BK176" ca="1" si="1429">IF($D176="-","-",$BK$5 + (V176-StartGridX) * (GapXDiff + $BW$7))</f>
        <v>-</v>
      </c>
      <c r="BL176" s="192" t="str">
        <f t="shared" ref="BL176" ca="1" si="1430">IF($D176="-","-",$BL$5 + (W176-StartGridY) * (GapYDiff + $BV$7))</f>
        <v>-</v>
      </c>
      <c r="BM176" s="192" t="str">
        <f t="shared" ca="1" si="1090"/>
        <v>-</v>
      </c>
      <c r="BN176" s="192" t="str">
        <f t="shared" ca="1" si="1091"/>
        <v>-</v>
      </c>
      <c r="BO176" s="192" t="str">
        <f t="shared" ca="1" si="1092"/>
        <v>-</v>
      </c>
      <c r="BP176" s="192" t="str">
        <f t="shared" ca="1" si="1093"/>
        <v>-</v>
      </c>
      <c r="BQ176" s="192" t="str">
        <f ca="1">IF($D176="-","-",IF(LEN(K176)=0,1,IFERROR(MATCH(K176,Dashboard!$L$25:$L$31,0),1)))</f>
        <v>-</v>
      </c>
      <c r="CC176" s="143" t="str">
        <f t="shared" ref="CC176" ca="1" si="1431">IF($D176="-","-",IF(COUNTIF(IDSourceRange,E176)&gt;1,1,0))</f>
        <v>-</v>
      </c>
      <c r="CD176" s="143" t="str">
        <f t="shared" ref="CD176" ca="1" si="1432">IF($D176="-","-",  IF(LEN(M176)=0,0,IF(ISERROR(MATCH(M176,IDSourceRange,0)),1,0)) + IF(LEN(N176)=0,0,IF(ISERROR(MATCH(N176,IDSourceRange,0)),1,0)) + IF(LEN(O176)=0,0,IF(ISERROR(MATCH(O176,IDSourceRange,0)),1,0)) )</f>
        <v>-</v>
      </c>
      <c r="CE176" s="143" t="str">
        <f t="shared" ca="1" si="1121"/>
        <v>-</v>
      </c>
      <c r="CF176" s="143" t="s">
        <v>128</v>
      </c>
      <c r="CG176" s="143" t="str">
        <f t="shared" ref="CG176" ca="1" si="1433">IF($D176="-","-",IF(X176="-",0,IF(COUNTIF(GridCombinedRange,X176)&gt;1,1,0)))</f>
        <v>-</v>
      </c>
      <c r="CH176" s="143"/>
      <c r="CI176" s="143"/>
      <c r="CJ176" s="143"/>
      <c r="CK176" s="143"/>
      <c r="CL176" s="143"/>
    </row>
    <row r="177" spans="3:90" x14ac:dyDescent="0.3">
      <c r="C177" s="170">
        <v>171</v>
      </c>
      <c r="D177" s="111" t="str">
        <f ca="1">IF(COUNTA(OFFSET(Dashboard!$B$6,C177,0,1,COUNTA(Dashboard!$B$6:$H$6)))&gt;0,"Yes","-")</f>
        <v>-</v>
      </c>
      <c r="E177" s="170" t="str">
        <f ca="1">IF(D177="-","-",IF(LEN(INDEX(Dashboard!B$6:B$206,$C177+1))=0,"x"&amp;C177&amp;"x","x"&amp;INDEX(Dashboard!B$6:B$206,$C177+1)&amp;"x"))</f>
        <v>-</v>
      </c>
      <c r="F177" s="171" t="str">
        <f ca="1">IF(D177="-","-",IF(LEN(INDEX(Dashboard!$C$6:$C$206,C177+1))=0," ",INDEX(Dashboard!$C$6:$C$206,C177+1)))</f>
        <v>-</v>
      </c>
      <c r="G177" s="219" t="str">
        <f ca="1">IF(OR(D177="-",D177=""),"-",IF(LEN(INDEX(Dashboard!$D$6:$D$228,C177+1))=0,"", "x"&amp;SUBSTITUTE(SUBSTITUTE(INDEX(Dashboard!$D$6:$D$228,C177+1)," ",""),",","x,x")&amp;"x"))</f>
        <v>-</v>
      </c>
      <c r="H177" s="111" t="str">
        <f ca="1">IF(D177="-","-",TRIM(INDEX(Dashboard!$E$6:$E$206,C177+1)))</f>
        <v>-</v>
      </c>
      <c r="I177" s="111" t="str">
        <f ca="1">IF(D177="-","-",IF(LEN(INDEX(Dashboard!$F$6:$F$206,C177+1))=0,$BS$8,IF(ISERROR(MATCH(INDEX(Dashboard!$F$6:$F$206,C177+1),$BS$7:$BS$35,0)),$BS$8,INDEX(Dashboard!$F$6:$F$206,C177+1))))</f>
        <v>-</v>
      </c>
      <c r="J177" s="111" t="str">
        <f ca="1">IF(D177="-","-",SUBSTITUTE(INDEX(Dashboard!$G$6:$G$206,C177+1)," ",""))</f>
        <v>-</v>
      </c>
      <c r="K177" s="111" t="str">
        <f ca="1">IF(D177="-","-",IF(LEN(INDEX(Dashboard!$H$6:$H$206,C177+1))=0,"",INDEX(Dashboard!$H$6:$H$206,C177+1)))</f>
        <v>-</v>
      </c>
      <c r="M177" s="172" t="str">
        <f t="shared" ca="1" si="1349"/>
        <v>-</v>
      </c>
      <c r="N177" s="172" t="str">
        <f t="shared" ca="1" si="1349"/>
        <v>-</v>
      </c>
      <c r="O177" s="172" t="str">
        <f t="shared" ca="1" si="1349"/>
        <v>-</v>
      </c>
      <c r="P177" s="173" t="str">
        <f t="shared" ca="1" si="1350"/>
        <v>-</v>
      </c>
      <c r="Q177" s="172" t="str">
        <f t="shared" ca="1" si="1350"/>
        <v>-</v>
      </c>
      <c r="R177" s="172" t="str">
        <f t="shared" ca="1" si="1350"/>
        <v>-</v>
      </c>
      <c r="S177" s="174" t="str">
        <f t="array" aca="1" ref="S177" ca="1">IF($D177="-","-",SUM(IF(LEN(M177:O177)&gt;0,1,0)))</f>
        <v>-</v>
      </c>
      <c r="T177" s="175" t="str">
        <f t="array" aca="1" ref="T177" ca="1">IF(D177="-","-",SUM(IF(ISERROR(SEARCH(E177,$G$7:$G$206)),0,1)))</f>
        <v>-</v>
      </c>
      <c r="V177" s="204"/>
      <c r="W177" s="127"/>
      <c r="X177" s="177" t="str">
        <f t="shared" si="1097"/>
        <v>-</v>
      </c>
      <c r="Y177" s="178"/>
      <c r="Z177" s="127"/>
      <c r="AB177" s="179" t="str">
        <f t="shared" ca="1" si="1351"/>
        <v>-</v>
      </c>
      <c r="AC177" s="179" t="str">
        <f t="shared" ca="1" si="1351"/>
        <v>-</v>
      </c>
      <c r="AD177" s="179" t="str">
        <f t="shared" ca="1" si="1351"/>
        <v>-</v>
      </c>
      <c r="AJ177" s="181" t="str">
        <f t="shared" ca="1" si="1082"/>
        <v>-</v>
      </c>
      <c r="AK177" s="179" t="str">
        <f t="shared" ca="1" si="1083"/>
        <v>-</v>
      </c>
      <c r="AL177" s="179" t="str">
        <f t="shared" ca="1" si="1083"/>
        <v>-</v>
      </c>
      <c r="AM177" s="179" t="str">
        <f t="shared" ca="1" si="1083"/>
        <v>-</v>
      </c>
      <c r="AO177" s="182" t="str">
        <f t="shared" ca="1" si="1352"/>
        <v>-</v>
      </c>
      <c r="AP177" s="182" t="str">
        <f t="shared" ca="1" si="1352"/>
        <v>-</v>
      </c>
      <c r="AQ177" s="182" t="str">
        <f t="shared" ca="1" si="1352"/>
        <v>-</v>
      </c>
      <c r="AU177" s="185" t="str">
        <f t="shared" ref="AU177" ca="1" si="1434">IF($D177="-","-",IF(LEN(M177)=0,"", INDEX($AT$7:$AT$15,MATCH(IF($V177-INDEX(GridXRange,P177)&lt;0,"Negative",IF($V177-INDEX(GridXRange,P177)&gt;0,"Positive","Zero")) &amp; " - " &amp;IF($W177-INDEX(GridYRange,P177)&lt;0,"Negative",IF($W177-INDEX(GridYRange,P177)&gt;0,"Positive","Zero")),$AS$7:$AS$15,0))))</f>
        <v>-</v>
      </c>
      <c r="AV177" s="186" t="str">
        <f t="shared" ref="AV177" ca="1" si="1435">IF($D177="-","-",IF(LEN(N177)=0,"", INDEX($AT$7:$AT$15,MATCH(IF($V177-INDEX(GridXRange,Q177)&lt;0,"Negative",IF($V177-INDEX(GridXRange,Q177)&gt;0,"Positive","Zero")) &amp; " - " &amp;IF($W177-INDEX(GridYRange,Q177)&lt;0,"Negative",IF($W177-INDEX(GridYRange,Q177)&gt;0,"Positive","Zero")),$AS$7:$AS$15,0))))</f>
        <v>-</v>
      </c>
      <c r="AW177" s="186" t="str">
        <f t="shared" ref="AW177" ca="1" si="1436">IF($D177="-","-",IF(LEN(O177)=0,"", INDEX($AT$7:$AT$15,MATCH(IF($V177-INDEX(GridXRange,R177)&lt;0,"Negative",IF($V177-INDEX(GridXRange,R177)&gt;0,"Positive","Zero")) &amp; " - " &amp;IF($W177-INDEX(GridYRange,R177)&lt;0,"Negative",IF($W177-INDEX(GridYRange,R177)&gt;0,"Positive","Zero")),$AS$7:$AS$15,0))))</f>
        <v>-</v>
      </c>
      <c r="AX177" s="187"/>
      <c r="AY177" s="188"/>
      <c r="AZ177" s="188"/>
      <c r="BA177" s="184"/>
      <c r="BB177" s="187" t="str">
        <f t="shared" ca="1" si="1356"/>
        <v>-</v>
      </c>
      <c r="BC177" s="188" t="str">
        <f t="shared" ca="1" si="1356"/>
        <v>-</v>
      </c>
      <c r="BD177" s="188" t="str">
        <f t="shared" ca="1" si="1356"/>
        <v>-</v>
      </c>
      <c r="BE177" s="189" t="str">
        <f t="shared" ca="1" si="1356"/>
        <v>-</v>
      </c>
      <c r="BK177" s="192" t="str">
        <f t="shared" ref="BK177" ca="1" si="1437">IF($D177="-","-",$BK$5 + (V177-StartGridX) * (GapXDiff + $BW$7))</f>
        <v>-</v>
      </c>
      <c r="BL177" s="192" t="str">
        <f t="shared" ref="BL177" ca="1" si="1438">IF($D177="-","-",$BL$5 + (W177-StartGridY) * (GapYDiff + $BV$7))</f>
        <v>-</v>
      </c>
      <c r="BM177" s="192" t="str">
        <f t="shared" ca="1" si="1090"/>
        <v>-</v>
      </c>
      <c r="BN177" s="192" t="str">
        <f t="shared" ca="1" si="1091"/>
        <v>-</v>
      </c>
      <c r="BO177" s="192" t="str">
        <f t="shared" ca="1" si="1092"/>
        <v>-</v>
      </c>
      <c r="BP177" s="192" t="str">
        <f t="shared" ca="1" si="1093"/>
        <v>-</v>
      </c>
      <c r="BQ177" s="192" t="str">
        <f ca="1">IF($D177="-","-",IF(LEN(K177)=0,1,IFERROR(MATCH(K177,Dashboard!$L$25:$L$31,0),1)))</f>
        <v>-</v>
      </c>
      <c r="CC177" s="143" t="str">
        <f t="shared" ref="CC177" ca="1" si="1439">IF($D177="-","-",IF(COUNTIF(IDSourceRange,E177)&gt;1,1,0))</f>
        <v>-</v>
      </c>
      <c r="CD177" s="143" t="str">
        <f t="shared" ref="CD177" ca="1" si="1440">IF($D177="-","-",  IF(LEN(M177)=0,0,IF(ISERROR(MATCH(M177,IDSourceRange,0)),1,0)) + IF(LEN(N177)=0,0,IF(ISERROR(MATCH(N177,IDSourceRange,0)),1,0)) + IF(LEN(O177)=0,0,IF(ISERROR(MATCH(O177,IDSourceRange,0)),1,0)) )</f>
        <v>-</v>
      </c>
      <c r="CE177" s="143" t="str">
        <f t="shared" ca="1" si="1121"/>
        <v>-</v>
      </c>
      <c r="CF177" s="143" t="s">
        <v>128</v>
      </c>
      <c r="CG177" s="143" t="str">
        <f t="shared" ref="CG177" ca="1" si="1441">IF($D177="-","-",IF(X177="-",0,IF(COUNTIF(GridCombinedRange,X177)&gt;1,1,0)))</f>
        <v>-</v>
      </c>
      <c r="CH177" s="143"/>
      <c r="CI177" s="143"/>
      <c r="CJ177" s="143"/>
      <c r="CK177" s="143"/>
      <c r="CL177" s="143"/>
    </row>
    <row r="178" spans="3:90" x14ac:dyDescent="0.3">
      <c r="C178" s="170">
        <v>172</v>
      </c>
      <c r="D178" s="111" t="str">
        <f ca="1">IF(COUNTA(OFFSET(Dashboard!$B$6,C178,0,1,COUNTA(Dashboard!$B$6:$H$6)))&gt;0,"Yes","-")</f>
        <v>-</v>
      </c>
      <c r="E178" s="170" t="str">
        <f ca="1">IF(D178="-","-",IF(LEN(INDEX(Dashboard!B$6:B$206,$C178+1))=0,"x"&amp;C178&amp;"x","x"&amp;INDEX(Dashboard!B$6:B$206,$C178+1)&amp;"x"))</f>
        <v>-</v>
      </c>
      <c r="F178" s="171" t="str">
        <f ca="1">IF(D178="-","-",IF(LEN(INDEX(Dashboard!$C$6:$C$206,C178+1))=0," ",INDEX(Dashboard!$C$6:$C$206,C178+1)))</f>
        <v>-</v>
      </c>
      <c r="G178" s="219" t="str">
        <f ca="1">IF(OR(D178="-",D178=""),"-",IF(LEN(INDEX(Dashboard!$D$6:$D$228,C178+1))=0,"", "x"&amp;SUBSTITUTE(SUBSTITUTE(INDEX(Dashboard!$D$6:$D$228,C178+1)," ",""),",","x,x")&amp;"x"))</f>
        <v>-</v>
      </c>
      <c r="H178" s="111" t="str">
        <f ca="1">IF(D178="-","-",TRIM(INDEX(Dashboard!$E$6:$E$206,C178+1)))</f>
        <v>-</v>
      </c>
      <c r="I178" s="111" t="str">
        <f ca="1">IF(D178="-","-",IF(LEN(INDEX(Dashboard!$F$6:$F$206,C178+1))=0,$BS$8,IF(ISERROR(MATCH(INDEX(Dashboard!$F$6:$F$206,C178+1),$BS$7:$BS$35,0)),$BS$8,INDEX(Dashboard!$F$6:$F$206,C178+1))))</f>
        <v>-</v>
      </c>
      <c r="J178" s="111" t="str">
        <f ca="1">IF(D178="-","-",SUBSTITUTE(INDEX(Dashboard!$G$6:$G$206,C178+1)," ",""))</f>
        <v>-</v>
      </c>
      <c r="K178" s="111" t="str">
        <f ca="1">IF(D178="-","-",IF(LEN(INDEX(Dashboard!$H$6:$H$206,C178+1))=0,"",INDEX(Dashboard!$H$6:$H$206,C178+1)))</f>
        <v>-</v>
      </c>
      <c r="M178" s="172" t="str">
        <f t="shared" ca="1" si="1349"/>
        <v>-</v>
      </c>
      <c r="N178" s="172" t="str">
        <f t="shared" ca="1" si="1349"/>
        <v>-</v>
      </c>
      <c r="O178" s="172" t="str">
        <f t="shared" ca="1" si="1349"/>
        <v>-</v>
      </c>
      <c r="P178" s="173" t="str">
        <f t="shared" ca="1" si="1350"/>
        <v>-</v>
      </c>
      <c r="Q178" s="172" t="str">
        <f t="shared" ca="1" si="1350"/>
        <v>-</v>
      </c>
      <c r="R178" s="172" t="str">
        <f t="shared" ca="1" si="1350"/>
        <v>-</v>
      </c>
      <c r="S178" s="174" t="str">
        <f t="array" aca="1" ref="S178" ca="1">IF($D178="-","-",SUM(IF(LEN(M178:O178)&gt;0,1,0)))</f>
        <v>-</v>
      </c>
      <c r="T178" s="175" t="str">
        <f t="array" aca="1" ref="T178" ca="1">IF(D178="-","-",SUM(IF(ISERROR(SEARCH(E178,$G$7:$G$206)),0,1)))</f>
        <v>-</v>
      </c>
      <c r="V178" s="204"/>
      <c r="W178" s="127"/>
      <c r="X178" s="177" t="str">
        <f t="shared" si="1097"/>
        <v>-</v>
      </c>
      <c r="Y178" s="178"/>
      <c r="Z178" s="127"/>
      <c r="AB178" s="179" t="str">
        <f t="shared" ca="1" si="1351"/>
        <v>-</v>
      </c>
      <c r="AC178" s="179" t="str">
        <f t="shared" ca="1" si="1351"/>
        <v>-</v>
      </c>
      <c r="AD178" s="179" t="str">
        <f t="shared" ca="1" si="1351"/>
        <v>-</v>
      </c>
      <c r="AJ178" s="181" t="str">
        <f t="shared" ca="1" si="1082"/>
        <v>-</v>
      </c>
      <c r="AK178" s="179" t="str">
        <f t="shared" ca="1" si="1083"/>
        <v>-</v>
      </c>
      <c r="AL178" s="179" t="str">
        <f t="shared" ca="1" si="1083"/>
        <v>-</v>
      </c>
      <c r="AM178" s="179" t="str">
        <f t="shared" ca="1" si="1083"/>
        <v>-</v>
      </c>
      <c r="AO178" s="182" t="str">
        <f t="shared" ca="1" si="1352"/>
        <v>-</v>
      </c>
      <c r="AP178" s="182" t="str">
        <f t="shared" ca="1" si="1352"/>
        <v>-</v>
      </c>
      <c r="AQ178" s="182" t="str">
        <f t="shared" ca="1" si="1352"/>
        <v>-</v>
      </c>
      <c r="AU178" s="185" t="str">
        <f t="shared" ref="AU178" ca="1" si="1442">IF($D178="-","-",IF(LEN(M178)=0,"", INDEX($AT$7:$AT$15,MATCH(IF($V178-INDEX(GridXRange,P178)&lt;0,"Negative",IF($V178-INDEX(GridXRange,P178)&gt;0,"Positive","Zero")) &amp; " - " &amp;IF($W178-INDEX(GridYRange,P178)&lt;0,"Negative",IF($W178-INDEX(GridYRange,P178)&gt;0,"Positive","Zero")),$AS$7:$AS$15,0))))</f>
        <v>-</v>
      </c>
      <c r="AV178" s="186" t="str">
        <f t="shared" ref="AV178" ca="1" si="1443">IF($D178="-","-",IF(LEN(N178)=0,"", INDEX($AT$7:$AT$15,MATCH(IF($V178-INDEX(GridXRange,Q178)&lt;0,"Negative",IF($V178-INDEX(GridXRange,Q178)&gt;0,"Positive","Zero")) &amp; " - " &amp;IF($W178-INDEX(GridYRange,Q178)&lt;0,"Negative",IF($W178-INDEX(GridYRange,Q178)&gt;0,"Positive","Zero")),$AS$7:$AS$15,0))))</f>
        <v>-</v>
      </c>
      <c r="AW178" s="186" t="str">
        <f t="shared" ref="AW178" ca="1" si="1444">IF($D178="-","-",IF(LEN(O178)=0,"", INDEX($AT$7:$AT$15,MATCH(IF($V178-INDEX(GridXRange,R178)&lt;0,"Negative",IF($V178-INDEX(GridXRange,R178)&gt;0,"Positive","Zero")) &amp; " - " &amp;IF($W178-INDEX(GridYRange,R178)&lt;0,"Negative",IF($W178-INDEX(GridYRange,R178)&gt;0,"Positive","Zero")),$AS$7:$AS$15,0))))</f>
        <v>-</v>
      </c>
      <c r="AX178" s="187"/>
      <c r="AY178" s="188"/>
      <c r="AZ178" s="188"/>
      <c r="BA178" s="184"/>
      <c r="BB178" s="187" t="str">
        <f t="shared" ca="1" si="1356"/>
        <v>-</v>
      </c>
      <c r="BC178" s="188" t="str">
        <f t="shared" ca="1" si="1356"/>
        <v>-</v>
      </c>
      <c r="BD178" s="188" t="str">
        <f t="shared" ca="1" si="1356"/>
        <v>-</v>
      </c>
      <c r="BE178" s="189" t="str">
        <f t="shared" ca="1" si="1356"/>
        <v>-</v>
      </c>
      <c r="BK178" s="192" t="str">
        <f t="shared" ref="BK178" ca="1" si="1445">IF($D178="-","-",$BK$5 + (V178-StartGridX) * (GapXDiff + $BW$7))</f>
        <v>-</v>
      </c>
      <c r="BL178" s="192" t="str">
        <f t="shared" ref="BL178" ca="1" si="1446">IF($D178="-","-",$BL$5 + (W178-StartGridY) * (GapYDiff + $BV$7))</f>
        <v>-</v>
      </c>
      <c r="BM178" s="192" t="str">
        <f t="shared" ca="1" si="1090"/>
        <v>-</v>
      </c>
      <c r="BN178" s="192" t="str">
        <f t="shared" ca="1" si="1091"/>
        <v>-</v>
      </c>
      <c r="BO178" s="192" t="str">
        <f t="shared" ca="1" si="1092"/>
        <v>-</v>
      </c>
      <c r="BP178" s="192" t="str">
        <f t="shared" ca="1" si="1093"/>
        <v>-</v>
      </c>
      <c r="BQ178" s="192" t="str">
        <f ca="1">IF($D178="-","-",IF(LEN(K178)=0,1,IFERROR(MATCH(K178,Dashboard!$L$25:$L$31,0),1)))</f>
        <v>-</v>
      </c>
      <c r="CC178" s="143" t="str">
        <f t="shared" ref="CC178" ca="1" si="1447">IF($D178="-","-",IF(COUNTIF(IDSourceRange,E178)&gt;1,1,0))</f>
        <v>-</v>
      </c>
      <c r="CD178" s="143" t="str">
        <f t="shared" ref="CD178" ca="1" si="1448">IF($D178="-","-",  IF(LEN(M178)=0,0,IF(ISERROR(MATCH(M178,IDSourceRange,0)),1,0)) + IF(LEN(N178)=0,0,IF(ISERROR(MATCH(N178,IDSourceRange,0)),1,0)) + IF(LEN(O178)=0,0,IF(ISERROR(MATCH(O178,IDSourceRange,0)),1,0)) )</f>
        <v>-</v>
      </c>
      <c r="CE178" s="143" t="str">
        <f t="shared" ca="1" si="1121"/>
        <v>-</v>
      </c>
      <c r="CF178" s="143" t="s">
        <v>128</v>
      </c>
      <c r="CG178" s="143" t="str">
        <f t="shared" ref="CG178" ca="1" si="1449">IF($D178="-","-",IF(X178="-",0,IF(COUNTIF(GridCombinedRange,X178)&gt;1,1,0)))</f>
        <v>-</v>
      </c>
      <c r="CH178" s="143"/>
      <c r="CI178" s="143"/>
      <c r="CJ178" s="143"/>
      <c r="CK178" s="143"/>
      <c r="CL178" s="143"/>
    </row>
    <row r="179" spans="3:90" x14ac:dyDescent="0.3">
      <c r="C179" s="170">
        <v>173</v>
      </c>
      <c r="D179" s="111" t="str">
        <f ca="1">IF(COUNTA(OFFSET(Dashboard!$B$6,C179,0,1,COUNTA(Dashboard!$B$6:$H$6)))&gt;0,"Yes","-")</f>
        <v>-</v>
      </c>
      <c r="E179" s="170" t="str">
        <f ca="1">IF(D179="-","-",IF(LEN(INDEX(Dashboard!B$6:B$206,$C179+1))=0,"x"&amp;C179&amp;"x","x"&amp;INDEX(Dashboard!B$6:B$206,$C179+1)&amp;"x"))</f>
        <v>-</v>
      </c>
      <c r="F179" s="171" t="str">
        <f ca="1">IF(D179="-","-",IF(LEN(INDEX(Dashboard!$C$6:$C$206,C179+1))=0," ",INDEX(Dashboard!$C$6:$C$206,C179+1)))</f>
        <v>-</v>
      </c>
      <c r="G179" s="219" t="str">
        <f ca="1">IF(OR(D179="-",D179=""),"-",IF(LEN(INDEX(Dashboard!$D$6:$D$228,C179+1))=0,"", "x"&amp;SUBSTITUTE(SUBSTITUTE(INDEX(Dashboard!$D$6:$D$228,C179+1)," ",""),",","x,x")&amp;"x"))</f>
        <v>-</v>
      </c>
      <c r="H179" s="111" t="str">
        <f ca="1">IF(D179="-","-",TRIM(INDEX(Dashboard!$E$6:$E$206,C179+1)))</f>
        <v>-</v>
      </c>
      <c r="I179" s="111" t="str">
        <f ca="1">IF(D179="-","-",IF(LEN(INDEX(Dashboard!$F$6:$F$206,C179+1))=0,$BS$8,IF(ISERROR(MATCH(INDEX(Dashboard!$F$6:$F$206,C179+1),$BS$7:$BS$35,0)),$BS$8,INDEX(Dashboard!$F$6:$F$206,C179+1))))</f>
        <v>-</v>
      </c>
      <c r="J179" s="111" t="str">
        <f ca="1">IF(D179="-","-",SUBSTITUTE(INDEX(Dashboard!$G$6:$G$206,C179+1)," ",""))</f>
        <v>-</v>
      </c>
      <c r="K179" s="111" t="str">
        <f ca="1">IF(D179="-","-",IF(LEN(INDEX(Dashboard!$H$6:$H$206,C179+1))=0,"",INDEX(Dashboard!$H$6:$H$206,C179+1)))</f>
        <v>-</v>
      </c>
      <c r="M179" s="172" t="str">
        <f t="shared" ca="1" si="1349"/>
        <v>-</v>
      </c>
      <c r="N179" s="172" t="str">
        <f t="shared" ca="1" si="1349"/>
        <v>-</v>
      </c>
      <c r="O179" s="172" t="str">
        <f t="shared" ca="1" si="1349"/>
        <v>-</v>
      </c>
      <c r="P179" s="173" t="str">
        <f t="shared" ca="1" si="1350"/>
        <v>-</v>
      </c>
      <c r="Q179" s="172" t="str">
        <f t="shared" ca="1" si="1350"/>
        <v>-</v>
      </c>
      <c r="R179" s="172" t="str">
        <f t="shared" ca="1" si="1350"/>
        <v>-</v>
      </c>
      <c r="S179" s="174" t="str">
        <f t="array" aca="1" ref="S179" ca="1">IF($D179="-","-",SUM(IF(LEN(M179:O179)&gt;0,1,0)))</f>
        <v>-</v>
      </c>
      <c r="T179" s="175" t="str">
        <f t="array" aca="1" ref="T179" ca="1">IF(D179="-","-",SUM(IF(ISERROR(SEARCH(E179,$G$7:$G$206)),0,1)))</f>
        <v>-</v>
      </c>
      <c r="V179" s="204"/>
      <c r="W179" s="127"/>
      <c r="X179" s="177" t="str">
        <f t="shared" si="1097"/>
        <v>-</v>
      </c>
      <c r="Y179" s="178"/>
      <c r="Z179" s="127"/>
      <c r="AB179" s="179" t="str">
        <f t="shared" ca="1" si="1351"/>
        <v>-</v>
      </c>
      <c r="AC179" s="179" t="str">
        <f t="shared" ca="1" si="1351"/>
        <v>-</v>
      </c>
      <c r="AD179" s="179" t="str">
        <f t="shared" ca="1" si="1351"/>
        <v>-</v>
      </c>
      <c r="AJ179" s="181" t="str">
        <f t="shared" ca="1" si="1082"/>
        <v>-</v>
      </c>
      <c r="AK179" s="179" t="str">
        <f t="shared" ca="1" si="1083"/>
        <v>-</v>
      </c>
      <c r="AL179" s="179" t="str">
        <f t="shared" ca="1" si="1083"/>
        <v>-</v>
      </c>
      <c r="AM179" s="179" t="str">
        <f t="shared" ca="1" si="1083"/>
        <v>-</v>
      </c>
      <c r="AO179" s="182" t="str">
        <f t="shared" ca="1" si="1352"/>
        <v>-</v>
      </c>
      <c r="AP179" s="182" t="str">
        <f t="shared" ca="1" si="1352"/>
        <v>-</v>
      </c>
      <c r="AQ179" s="182" t="str">
        <f t="shared" ca="1" si="1352"/>
        <v>-</v>
      </c>
      <c r="AU179" s="185" t="str">
        <f t="shared" ref="AU179" ca="1" si="1450">IF($D179="-","-",IF(LEN(M179)=0,"", INDEX($AT$7:$AT$15,MATCH(IF($V179-INDEX(GridXRange,P179)&lt;0,"Negative",IF($V179-INDEX(GridXRange,P179)&gt;0,"Positive","Zero")) &amp; " - " &amp;IF($W179-INDEX(GridYRange,P179)&lt;0,"Negative",IF($W179-INDEX(GridYRange,P179)&gt;0,"Positive","Zero")),$AS$7:$AS$15,0))))</f>
        <v>-</v>
      </c>
      <c r="AV179" s="186" t="str">
        <f t="shared" ref="AV179" ca="1" si="1451">IF($D179="-","-",IF(LEN(N179)=0,"", INDEX($AT$7:$AT$15,MATCH(IF($V179-INDEX(GridXRange,Q179)&lt;0,"Negative",IF($V179-INDEX(GridXRange,Q179)&gt;0,"Positive","Zero")) &amp; " - " &amp;IF($W179-INDEX(GridYRange,Q179)&lt;0,"Negative",IF($W179-INDEX(GridYRange,Q179)&gt;0,"Positive","Zero")),$AS$7:$AS$15,0))))</f>
        <v>-</v>
      </c>
      <c r="AW179" s="186" t="str">
        <f t="shared" ref="AW179" ca="1" si="1452">IF($D179="-","-",IF(LEN(O179)=0,"", INDEX($AT$7:$AT$15,MATCH(IF($V179-INDEX(GridXRange,R179)&lt;0,"Negative",IF($V179-INDEX(GridXRange,R179)&gt;0,"Positive","Zero")) &amp; " - " &amp;IF($W179-INDEX(GridYRange,R179)&lt;0,"Negative",IF($W179-INDEX(GridYRange,R179)&gt;0,"Positive","Zero")),$AS$7:$AS$15,0))))</f>
        <v>-</v>
      </c>
      <c r="AX179" s="187"/>
      <c r="AY179" s="188"/>
      <c r="AZ179" s="188"/>
      <c r="BA179" s="184"/>
      <c r="BB179" s="187" t="str">
        <f t="shared" ca="1" si="1356"/>
        <v>-</v>
      </c>
      <c r="BC179" s="188" t="str">
        <f t="shared" ca="1" si="1356"/>
        <v>-</v>
      </c>
      <c r="BD179" s="188" t="str">
        <f t="shared" ca="1" si="1356"/>
        <v>-</v>
      </c>
      <c r="BE179" s="189" t="str">
        <f t="shared" ca="1" si="1356"/>
        <v>-</v>
      </c>
      <c r="BK179" s="192" t="str">
        <f t="shared" ref="BK179" ca="1" si="1453">IF($D179="-","-",$BK$5 + (V179-StartGridX) * (GapXDiff + $BW$7))</f>
        <v>-</v>
      </c>
      <c r="BL179" s="192" t="str">
        <f t="shared" ref="BL179" ca="1" si="1454">IF($D179="-","-",$BL$5 + (W179-StartGridY) * (GapYDiff + $BV$7))</f>
        <v>-</v>
      </c>
      <c r="BM179" s="192" t="str">
        <f t="shared" ca="1" si="1090"/>
        <v>-</v>
      </c>
      <c r="BN179" s="192" t="str">
        <f t="shared" ca="1" si="1091"/>
        <v>-</v>
      </c>
      <c r="BO179" s="192" t="str">
        <f t="shared" ca="1" si="1092"/>
        <v>-</v>
      </c>
      <c r="BP179" s="192" t="str">
        <f t="shared" ca="1" si="1093"/>
        <v>-</v>
      </c>
      <c r="BQ179" s="192" t="str">
        <f ca="1">IF($D179="-","-",IF(LEN(K179)=0,1,IFERROR(MATCH(K179,Dashboard!$L$25:$L$31,0),1)))</f>
        <v>-</v>
      </c>
      <c r="CC179" s="143" t="str">
        <f t="shared" ref="CC179" ca="1" si="1455">IF($D179="-","-",IF(COUNTIF(IDSourceRange,E179)&gt;1,1,0))</f>
        <v>-</v>
      </c>
      <c r="CD179" s="143" t="str">
        <f t="shared" ref="CD179" ca="1" si="1456">IF($D179="-","-",  IF(LEN(M179)=0,0,IF(ISERROR(MATCH(M179,IDSourceRange,0)),1,0)) + IF(LEN(N179)=0,0,IF(ISERROR(MATCH(N179,IDSourceRange,0)),1,0)) + IF(LEN(O179)=0,0,IF(ISERROR(MATCH(O179,IDSourceRange,0)),1,0)) )</f>
        <v>-</v>
      </c>
      <c r="CE179" s="143" t="str">
        <f t="shared" ca="1" si="1121"/>
        <v>-</v>
      </c>
      <c r="CF179" s="143" t="s">
        <v>128</v>
      </c>
      <c r="CG179" s="143" t="str">
        <f t="shared" ref="CG179" ca="1" si="1457">IF($D179="-","-",IF(X179="-",0,IF(COUNTIF(GridCombinedRange,X179)&gt;1,1,0)))</f>
        <v>-</v>
      </c>
      <c r="CH179" s="143"/>
      <c r="CI179" s="143"/>
      <c r="CJ179" s="143"/>
      <c r="CK179" s="143"/>
      <c r="CL179" s="143"/>
    </row>
    <row r="180" spans="3:90" x14ac:dyDescent="0.3">
      <c r="C180" s="170">
        <v>174</v>
      </c>
      <c r="D180" s="111" t="str">
        <f ca="1">IF(COUNTA(OFFSET(Dashboard!$B$6,C180,0,1,COUNTA(Dashboard!$B$6:$H$6)))&gt;0,"Yes","-")</f>
        <v>-</v>
      </c>
      <c r="E180" s="170" t="str">
        <f ca="1">IF(D180="-","-",IF(LEN(INDEX(Dashboard!B$6:B$206,$C180+1))=0,"x"&amp;C180&amp;"x","x"&amp;INDEX(Dashboard!B$6:B$206,$C180+1)&amp;"x"))</f>
        <v>-</v>
      </c>
      <c r="F180" s="171" t="str">
        <f ca="1">IF(D180="-","-",IF(LEN(INDEX(Dashboard!$C$6:$C$206,C180+1))=0," ",INDEX(Dashboard!$C$6:$C$206,C180+1)))</f>
        <v>-</v>
      </c>
      <c r="G180" s="219" t="str">
        <f ca="1">IF(OR(D180="-",D180=""),"-",IF(LEN(INDEX(Dashboard!$D$6:$D$228,C180+1))=0,"", "x"&amp;SUBSTITUTE(SUBSTITUTE(INDEX(Dashboard!$D$6:$D$228,C180+1)," ",""),",","x,x")&amp;"x"))</f>
        <v>-</v>
      </c>
      <c r="H180" s="111" t="str">
        <f ca="1">IF(D180="-","-",TRIM(INDEX(Dashboard!$E$6:$E$206,C180+1)))</f>
        <v>-</v>
      </c>
      <c r="I180" s="111" t="str">
        <f ca="1">IF(D180="-","-",IF(LEN(INDEX(Dashboard!$F$6:$F$206,C180+1))=0,$BS$8,IF(ISERROR(MATCH(INDEX(Dashboard!$F$6:$F$206,C180+1),$BS$7:$BS$35,0)),$BS$8,INDEX(Dashboard!$F$6:$F$206,C180+1))))</f>
        <v>-</v>
      </c>
      <c r="J180" s="111" t="str">
        <f ca="1">IF(D180="-","-",SUBSTITUTE(INDEX(Dashboard!$G$6:$G$206,C180+1)," ",""))</f>
        <v>-</v>
      </c>
      <c r="K180" s="219" t="str">
        <f ca="1">IF(D180="-","-",IF(LEN(INDEX(Dashboard!$H$6:$H$228,C180+1))=0,"",INDEX(Dashboard!$H$6:$H$228,C180+1)))</f>
        <v>-</v>
      </c>
      <c r="M180" s="172" t="str">
        <f t="shared" ca="1" si="1349"/>
        <v>-</v>
      </c>
      <c r="N180" s="172" t="str">
        <f t="shared" ca="1" si="1349"/>
        <v>-</v>
      </c>
      <c r="O180" s="172" t="str">
        <f t="shared" ca="1" si="1349"/>
        <v>-</v>
      </c>
      <c r="P180" s="173" t="str">
        <f t="shared" ca="1" si="1350"/>
        <v>-</v>
      </c>
      <c r="Q180" s="172" t="str">
        <f t="shared" ca="1" si="1350"/>
        <v>-</v>
      </c>
      <c r="R180" s="172" t="str">
        <f t="shared" ca="1" si="1350"/>
        <v>-</v>
      </c>
      <c r="S180" s="174" t="str">
        <f t="array" aca="1" ref="S180" ca="1">IF($D180="-","-",SUM(IF(LEN(M180:O180)&gt;0,1,0)))</f>
        <v>-</v>
      </c>
      <c r="T180" s="175" t="str">
        <f t="array" aca="1" ref="T180" ca="1">IF(D180="-","-",SUM(IF(ISERROR(SEARCH(E180,$G$7:$G$206)),0,1)))</f>
        <v>-</v>
      </c>
      <c r="V180" s="204"/>
      <c r="W180" s="127"/>
      <c r="X180" s="177" t="str">
        <f t="shared" si="1097"/>
        <v>-</v>
      </c>
      <c r="Y180" s="178"/>
      <c r="Z180" s="127"/>
      <c r="AB180" s="179" t="str">
        <f t="shared" ca="1" si="1351"/>
        <v>-</v>
      </c>
      <c r="AC180" s="179" t="str">
        <f t="shared" ca="1" si="1351"/>
        <v>-</v>
      </c>
      <c r="AD180" s="179" t="str">
        <f t="shared" ca="1" si="1351"/>
        <v>-</v>
      </c>
      <c r="AJ180" s="181" t="str">
        <f t="shared" ca="1" si="1082"/>
        <v>-</v>
      </c>
      <c r="AK180" s="179" t="str">
        <f t="shared" ca="1" si="1083"/>
        <v>-</v>
      </c>
      <c r="AL180" s="179" t="str">
        <f t="shared" ca="1" si="1083"/>
        <v>-</v>
      </c>
      <c r="AM180" s="179" t="str">
        <f t="shared" ca="1" si="1083"/>
        <v>-</v>
      </c>
      <c r="AO180" s="182" t="str">
        <f t="shared" ca="1" si="1352"/>
        <v>-</v>
      </c>
      <c r="AP180" s="182" t="str">
        <f t="shared" ca="1" si="1352"/>
        <v>-</v>
      </c>
      <c r="AQ180" s="182" t="str">
        <f t="shared" ca="1" si="1352"/>
        <v>-</v>
      </c>
      <c r="AU180" s="185" t="str">
        <f t="shared" ref="AU180" ca="1" si="1458">IF($D180="-","-",IF(LEN(M180)=0,"", INDEX($AT$7:$AT$15,MATCH(IF($V180-INDEX(GridXRange,P180)&lt;0,"Negative",IF($V180-INDEX(GridXRange,P180)&gt;0,"Positive","Zero")) &amp; " - " &amp;IF($W180-INDEX(GridYRange,P180)&lt;0,"Negative",IF($W180-INDEX(GridYRange,P180)&gt;0,"Positive","Zero")),$AS$7:$AS$15,0))))</f>
        <v>-</v>
      </c>
      <c r="AV180" s="186" t="str">
        <f t="shared" ref="AV180" ca="1" si="1459">IF($D180="-","-",IF(LEN(N180)=0,"", INDEX($AT$7:$AT$15,MATCH(IF($V180-INDEX(GridXRange,Q180)&lt;0,"Negative",IF($V180-INDEX(GridXRange,Q180)&gt;0,"Positive","Zero")) &amp; " - " &amp;IF($W180-INDEX(GridYRange,Q180)&lt;0,"Negative",IF($W180-INDEX(GridYRange,Q180)&gt;0,"Positive","Zero")),$AS$7:$AS$15,0))))</f>
        <v>-</v>
      </c>
      <c r="AW180" s="186" t="str">
        <f t="shared" ref="AW180" ca="1" si="1460">IF($D180="-","-",IF(LEN(O180)=0,"", INDEX($AT$7:$AT$15,MATCH(IF($V180-INDEX(GridXRange,R180)&lt;0,"Negative",IF($V180-INDEX(GridXRange,R180)&gt;0,"Positive","Zero")) &amp; " - " &amp;IF($W180-INDEX(GridYRange,R180)&lt;0,"Negative",IF($W180-INDEX(GridYRange,R180)&gt;0,"Positive","Zero")),$AS$7:$AS$15,0))))</f>
        <v>-</v>
      </c>
      <c r="AX180" s="187"/>
      <c r="AY180" s="188"/>
      <c r="AZ180" s="188"/>
      <c r="BA180" s="184"/>
      <c r="BB180" s="187" t="str">
        <f t="shared" ca="1" si="1356"/>
        <v>-</v>
      </c>
      <c r="BC180" s="188" t="str">
        <f t="shared" ca="1" si="1356"/>
        <v>-</v>
      </c>
      <c r="BD180" s="188" t="str">
        <f t="shared" ca="1" si="1356"/>
        <v>-</v>
      </c>
      <c r="BE180" s="189" t="str">
        <f t="shared" ca="1" si="1356"/>
        <v>-</v>
      </c>
      <c r="BK180" s="192" t="str">
        <f t="shared" ref="BK180" ca="1" si="1461">IF($D180="-","-",$BK$5 + (V180-StartGridX) * (GapXDiff + $BW$7))</f>
        <v>-</v>
      </c>
      <c r="BL180" s="192" t="str">
        <f t="shared" ref="BL180" ca="1" si="1462">IF($D180="-","-",$BL$5 + (W180-StartGridY) * (GapYDiff + $BV$7))</f>
        <v>-</v>
      </c>
      <c r="BM180" s="192" t="str">
        <f t="shared" ca="1" si="1090"/>
        <v>-</v>
      </c>
      <c r="BN180" s="192" t="str">
        <f t="shared" ca="1" si="1091"/>
        <v>-</v>
      </c>
      <c r="BO180" s="192" t="str">
        <f t="shared" ca="1" si="1092"/>
        <v>-</v>
      </c>
      <c r="BP180" s="192" t="str">
        <f t="shared" ca="1" si="1093"/>
        <v>-</v>
      </c>
      <c r="BQ180" s="192" t="str">
        <f ca="1">IF($D180="-","-",IF(LEN(K180)=0,1,IFERROR(MATCH(K180,Dashboard!$L$25:$L$31,0),1)))</f>
        <v>-</v>
      </c>
      <c r="CC180" s="143" t="str">
        <f t="shared" ref="CC180" ca="1" si="1463">IF($D180="-","-",IF(COUNTIF(IDSourceRange,E180)&gt;1,1,0))</f>
        <v>-</v>
      </c>
      <c r="CD180" s="143" t="str">
        <f t="shared" ref="CD180" ca="1" si="1464">IF($D180="-","-",  IF(LEN(M180)=0,0,IF(ISERROR(MATCH(M180,IDSourceRange,0)),1,0)) + IF(LEN(N180)=0,0,IF(ISERROR(MATCH(N180,IDSourceRange,0)),1,0)) + IF(LEN(O180)=0,0,IF(ISERROR(MATCH(O180,IDSourceRange,0)),1,0)) )</f>
        <v>-</v>
      </c>
      <c r="CE180" s="143" t="str">
        <f t="shared" ca="1" si="1121"/>
        <v>-</v>
      </c>
      <c r="CF180" s="143" t="s">
        <v>128</v>
      </c>
      <c r="CG180" s="143" t="str">
        <f t="shared" ref="CG180" ca="1" si="1465">IF($D180="-","-",IF(X180="-",0,IF(COUNTIF(GridCombinedRange,X180)&gt;1,1,0)))</f>
        <v>-</v>
      </c>
      <c r="CH180" s="143"/>
      <c r="CI180" s="143"/>
      <c r="CJ180" s="143"/>
      <c r="CK180" s="143"/>
      <c r="CL180" s="143"/>
    </row>
    <row r="181" spans="3:90" x14ac:dyDescent="0.3">
      <c r="C181" s="170">
        <v>175</v>
      </c>
      <c r="D181" s="111" t="str">
        <f ca="1">IF(COUNTA(OFFSET(Dashboard!$B$6,C181,0,1,COUNTA(Dashboard!$B$6:$H$6)))&gt;0,"Yes","-")</f>
        <v>-</v>
      </c>
      <c r="E181" s="170" t="str">
        <f ca="1">IF(D181="-","-",IF(LEN(INDEX(Dashboard!B$6:B$206,$C181+1))=0,"x"&amp;C181&amp;"x","x"&amp;INDEX(Dashboard!B$6:B$206,$C181+1)&amp;"x"))</f>
        <v>-</v>
      </c>
      <c r="F181" s="171" t="str">
        <f ca="1">IF(D181="-","-",IF(LEN(INDEX(Dashboard!$C$6:$C$206,C181+1))=0," ",INDEX(Dashboard!$C$6:$C$206,C181+1)))</f>
        <v>-</v>
      </c>
      <c r="G181" s="219" t="str">
        <f ca="1">IF(OR(D181="-",D181=""),"-",IF(LEN(INDEX(Dashboard!$D$6:$D$228,C181+1))=0,"", "x"&amp;SUBSTITUTE(SUBSTITUTE(INDEX(Dashboard!$D$6:$D$228,C181+1)," ",""),",","x,x")&amp;"x"))</f>
        <v>-</v>
      </c>
      <c r="H181" s="111" t="str">
        <f ca="1">IF(D181="-","-",TRIM(INDEX(Dashboard!$E$6:$E$206,C181+1)))</f>
        <v>-</v>
      </c>
      <c r="I181" s="111" t="str">
        <f ca="1">IF(D181="-","-",IF(LEN(INDEX(Dashboard!$F$6:$F$206,C181+1))=0,$BS$8,IF(ISERROR(MATCH(INDEX(Dashboard!$F$6:$F$206,C181+1),$BS$7:$BS$35,0)),$BS$8,INDEX(Dashboard!$F$6:$F$206,C181+1))))</f>
        <v>-</v>
      </c>
      <c r="J181" s="111" t="str">
        <f ca="1">IF(D181="-","-",SUBSTITUTE(INDEX(Dashboard!$G$6:$G$206,C181+1)," ",""))</f>
        <v>-</v>
      </c>
      <c r="K181" s="111" t="str">
        <f ca="1">IF(D181="-","-",IF(LEN(INDEX(Dashboard!$H$6:$H$206,C181+1))=0,"",INDEX(Dashboard!$H$6:$H$206,C181+1)))</f>
        <v>-</v>
      </c>
      <c r="M181" s="172" t="str">
        <f t="shared" ca="1" si="1349"/>
        <v>-</v>
      </c>
      <c r="N181" s="172" t="str">
        <f t="shared" ca="1" si="1349"/>
        <v>-</v>
      </c>
      <c r="O181" s="172" t="str">
        <f t="shared" ca="1" si="1349"/>
        <v>-</v>
      </c>
      <c r="P181" s="173" t="str">
        <f t="shared" ca="1" si="1350"/>
        <v>-</v>
      </c>
      <c r="Q181" s="172" t="str">
        <f t="shared" ca="1" si="1350"/>
        <v>-</v>
      </c>
      <c r="R181" s="172" t="str">
        <f t="shared" ca="1" si="1350"/>
        <v>-</v>
      </c>
      <c r="S181" s="174" t="str">
        <f t="array" aca="1" ref="S181" ca="1">IF($D181="-","-",SUM(IF(LEN(M181:O181)&gt;0,1,0)))</f>
        <v>-</v>
      </c>
      <c r="T181" s="175" t="str">
        <f t="array" aca="1" ref="T181" ca="1">IF(D181="-","-",SUM(IF(ISERROR(SEARCH(E181,$G$7:$G$206)),0,1)))</f>
        <v>-</v>
      </c>
      <c r="V181" s="204"/>
      <c r="W181" s="127"/>
      <c r="X181" s="177" t="str">
        <f t="shared" si="1097"/>
        <v>-</v>
      </c>
      <c r="Y181" s="178"/>
      <c r="Z181" s="127"/>
      <c r="AB181" s="179" t="str">
        <f t="shared" ca="1" si="1351"/>
        <v>-</v>
      </c>
      <c r="AC181" s="179" t="str">
        <f t="shared" ca="1" si="1351"/>
        <v>-</v>
      </c>
      <c r="AD181" s="179" t="str">
        <f t="shared" ca="1" si="1351"/>
        <v>-</v>
      </c>
      <c r="AJ181" s="181" t="str">
        <f t="shared" ca="1" si="1082"/>
        <v>-</v>
      </c>
      <c r="AK181" s="179" t="str">
        <f t="shared" ca="1" si="1083"/>
        <v>-</v>
      </c>
      <c r="AL181" s="179" t="str">
        <f t="shared" ca="1" si="1083"/>
        <v>-</v>
      </c>
      <c r="AM181" s="179" t="str">
        <f t="shared" ca="1" si="1083"/>
        <v>-</v>
      </c>
      <c r="AO181" s="182" t="str">
        <f t="shared" ca="1" si="1352"/>
        <v>-</v>
      </c>
      <c r="AP181" s="182" t="str">
        <f t="shared" ca="1" si="1352"/>
        <v>-</v>
      </c>
      <c r="AQ181" s="182" t="str">
        <f t="shared" ca="1" si="1352"/>
        <v>-</v>
      </c>
      <c r="AU181" s="185" t="str">
        <f t="shared" ref="AU181" ca="1" si="1466">IF($D181="-","-",IF(LEN(M181)=0,"", INDEX($AT$7:$AT$15,MATCH(IF($V181-INDEX(GridXRange,P181)&lt;0,"Negative",IF($V181-INDEX(GridXRange,P181)&gt;0,"Positive","Zero")) &amp; " - " &amp;IF($W181-INDEX(GridYRange,P181)&lt;0,"Negative",IF($W181-INDEX(GridYRange,P181)&gt;0,"Positive","Zero")),$AS$7:$AS$15,0))))</f>
        <v>-</v>
      </c>
      <c r="AV181" s="186" t="str">
        <f t="shared" ref="AV181" ca="1" si="1467">IF($D181="-","-",IF(LEN(N181)=0,"", INDEX($AT$7:$AT$15,MATCH(IF($V181-INDEX(GridXRange,Q181)&lt;0,"Negative",IF($V181-INDEX(GridXRange,Q181)&gt;0,"Positive","Zero")) &amp; " - " &amp;IF($W181-INDEX(GridYRange,Q181)&lt;0,"Negative",IF($W181-INDEX(GridYRange,Q181)&gt;0,"Positive","Zero")),$AS$7:$AS$15,0))))</f>
        <v>-</v>
      </c>
      <c r="AW181" s="186" t="str">
        <f t="shared" ref="AW181" ca="1" si="1468">IF($D181="-","-",IF(LEN(O181)=0,"", INDEX($AT$7:$AT$15,MATCH(IF($V181-INDEX(GridXRange,R181)&lt;0,"Negative",IF($V181-INDEX(GridXRange,R181)&gt;0,"Positive","Zero")) &amp; " - " &amp;IF($W181-INDEX(GridYRange,R181)&lt;0,"Negative",IF($W181-INDEX(GridYRange,R181)&gt;0,"Positive","Zero")),$AS$7:$AS$15,0))))</f>
        <v>-</v>
      </c>
      <c r="AX181" s="187"/>
      <c r="AY181" s="188"/>
      <c r="AZ181" s="188"/>
      <c r="BA181" s="184"/>
      <c r="BB181" s="187" t="str">
        <f t="shared" ca="1" si="1356"/>
        <v>-</v>
      </c>
      <c r="BC181" s="188" t="str">
        <f t="shared" ca="1" si="1356"/>
        <v>-</v>
      </c>
      <c r="BD181" s="188" t="str">
        <f t="shared" ca="1" si="1356"/>
        <v>-</v>
      </c>
      <c r="BE181" s="189" t="str">
        <f t="shared" ca="1" si="1356"/>
        <v>-</v>
      </c>
      <c r="BK181" s="192" t="str">
        <f t="shared" ref="BK181" ca="1" si="1469">IF($D181="-","-",$BK$5 + (V181-StartGridX) * (GapXDiff + $BW$7))</f>
        <v>-</v>
      </c>
      <c r="BL181" s="192" t="str">
        <f t="shared" ref="BL181" ca="1" si="1470">IF($D181="-","-",$BL$5 + (W181-StartGridY) * (GapYDiff + $BV$7))</f>
        <v>-</v>
      </c>
      <c r="BM181" s="192" t="str">
        <f t="shared" ca="1" si="1090"/>
        <v>-</v>
      </c>
      <c r="BN181" s="192" t="str">
        <f t="shared" ca="1" si="1091"/>
        <v>-</v>
      </c>
      <c r="BO181" s="192" t="str">
        <f t="shared" ca="1" si="1092"/>
        <v>-</v>
      </c>
      <c r="BP181" s="192" t="str">
        <f t="shared" ca="1" si="1093"/>
        <v>-</v>
      </c>
      <c r="BQ181" s="192" t="str">
        <f ca="1">IF($D181="-","-",IF(LEN(K181)=0,1,IFERROR(MATCH(K181,Dashboard!$L$25:$L$31,0),1)))</f>
        <v>-</v>
      </c>
      <c r="CC181" s="143" t="str">
        <f t="shared" ref="CC181" ca="1" si="1471">IF($D181="-","-",IF(COUNTIF(IDSourceRange,E181)&gt;1,1,0))</f>
        <v>-</v>
      </c>
      <c r="CD181" s="143" t="str">
        <f t="shared" ref="CD181" ca="1" si="1472">IF($D181="-","-",  IF(LEN(M181)=0,0,IF(ISERROR(MATCH(M181,IDSourceRange,0)),1,0)) + IF(LEN(N181)=0,0,IF(ISERROR(MATCH(N181,IDSourceRange,0)),1,0)) + IF(LEN(O181)=0,0,IF(ISERROR(MATCH(O181,IDSourceRange,0)),1,0)) )</f>
        <v>-</v>
      </c>
      <c r="CE181" s="143" t="str">
        <f t="shared" ca="1" si="1121"/>
        <v>-</v>
      </c>
      <c r="CF181" s="143" t="s">
        <v>128</v>
      </c>
      <c r="CG181" s="143" t="str">
        <f t="shared" ref="CG181" ca="1" si="1473">IF($D181="-","-",IF(X181="-",0,IF(COUNTIF(GridCombinedRange,X181)&gt;1,1,0)))</f>
        <v>-</v>
      </c>
      <c r="CH181" s="143"/>
      <c r="CI181" s="143"/>
      <c r="CJ181" s="143"/>
      <c r="CK181" s="143"/>
      <c r="CL181" s="143"/>
    </row>
    <row r="182" spans="3:90" x14ac:dyDescent="0.3">
      <c r="C182" s="170">
        <v>176</v>
      </c>
      <c r="D182" s="111" t="str">
        <f ca="1">IF(COUNTA(OFFSET(Dashboard!$B$6,C182,0,1,COUNTA(Dashboard!$B$6:$H$6)))&gt;0,"Yes","-")</f>
        <v>-</v>
      </c>
      <c r="E182" s="170" t="str">
        <f ca="1">IF(D182="-","-",IF(LEN(INDEX(Dashboard!B$6:B$206,$C182+1))=0,"x"&amp;C182&amp;"x","x"&amp;INDEX(Dashboard!B$6:B$206,$C182+1)&amp;"x"))</f>
        <v>-</v>
      </c>
      <c r="F182" s="171" t="str">
        <f ca="1">IF(D182="-","-",IF(LEN(INDEX(Dashboard!$C$6:$C$206,C182+1))=0," ",INDEX(Dashboard!$C$6:$C$206,C182+1)))</f>
        <v>-</v>
      </c>
      <c r="G182" s="219" t="str">
        <f ca="1">IF(OR(D182="-",D182=""),"-",IF(LEN(INDEX(Dashboard!$D$6:$D$228,C182+1))=0,"", "x"&amp;SUBSTITUTE(SUBSTITUTE(INDEX(Dashboard!$D$6:$D$228,C182+1)," ",""),",","x,x")&amp;"x"))</f>
        <v>-</v>
      </c>
      <c r="H182" s="111" t="str">
        <f ca="1">IF(D182="-","-",TRIM(INDEX(Dashboard!$E$6:$E$206,C182+1)))</f>
        <v>-</v>
      </c>
      <c r="I182" s="111" t="str">
        <f ca="1">IF(D182="-","-",IF(LEN(INDEX(Dashboard!$F$6:$F$206,C182+1))=0,$BS$8,IF(ISERROR(MATCH(INDEX(Dashboard!$F$6:$F$206,C182+1),$BS$7:$BS$35,0)),$BS$8,INDEX(Dashboard!$F$6:$F$206,C182+1))))</f>
        <v>-</v>
      </c>
      <c r="J182" s="111" t="str">
        <f ca="1">IF(D182="-","-",SUBSTITUTE(INDEX(Dashboard!$G$6:$G$206,C182+1)," ",""))</f>
        <v>-</v>
      </c>
      <c r="K182" s="111" t="str">
        <f ca="1">IF(D182="-","-",IF(LEN(INDEX(Dashboard!$H$6:$H$206,C182+1))=0,"",INDEX(Dashboard!$H$6:$H$206,C182+1)))</f>
        <v>-</v>
      </c>
      <c r="M182" s="172" t="str">
        <f t="shared" ca="1" si="1349"/>
        <v>-</v>
      </c>
      <c r="N182" s="172" t="str">
        <f t="shared" ca="1" si="1349"/>
        <v>-</v>
      </c>
      <c r="O182" s="172" t="str">
        <f t="shared" ca="1" si="1349"/>
        <v>-</v>
      </c>
      <c r="P182" s="173" t="str">
        <f t="shared" ca="1" si="1350"/>
        <v>-</v>
      </c>
      <c r="Q182" s="172" t="str">
        <f t="shared" ca="1" si="1350"/>
        <v>-</v>
      </c>
      <c r="R182" s="172" t="str">
        <f t="shared" ca="1" si="1350"/>
        <v>-</v>
      </c>
      <c r="S182" s="174" t="str">
        <f t="array" aca="1" ref="S182" ca="1">IF($D182="-","-",SUM(IF(LEN(M182:O182)&gt;0,1,0)))</f>
        <v>-</v>
      </c>
      <c r="T182" s="175" t="str">
        <f t="array" aca="1" ref="T182" ca="1">IF(D182="-","-",SUM(IF(ISERROR(SEARCH(E182,$G$7:$G$206)),0,1)))</f>
        <v>-</v>
      </c>
      <c r="V182" s="204"/>
      <c r="W182" s="127"/>
      <c r="X182" s="177" t="str">
        <f t="shared" si="1097"/>
        <v>-</v>
      </c>
      <c r="Y182" s="178"/>
      <c r="Z182" s="127"/>
      <c r="AB182" s="179" t="str">
        <f t="shared" ca="1" si="1351"/>
        <v>-</v>
      </c>
      <c r="AC182" s="179" t="str">
        <f t="shared" ca="1" si="1351"/>
        <v>-</v>
      </c>
      <c r="AD182" s="179" t="str">
        <f t="shared" ca="1" si="1351"/>
        <v>-</v>
      </c>
      <c r="AJ182" s="181" t="str">
        <f t="shared" ca="1" si="1082"/>
        <v>-</v>
      </c>
      <c r="AK182" s="179" t="str">
        <f t="shared" ca="1" si="1083"/>
        <v>-</v>
      </c>
      <c r="AL182" s="179" t="str">
        <f t="shared" ca="1" si="1083"/>
        <v>-</v>
      </c>
      <c r="AM182" s="179" t="str">
        <f t="shared" ca="1" si="1083"/>
        <v>-</v>
      </c>
      <c r="AO182" s="182" t="str">
        <f t="shared" ca="1" si="1352"/>
        <v>-</v>
      </c>
      <c r="AP182" s="182" t="str">
        <f t="shared" ca="1" si="1352"/>
        <v>-</v>
      </c>
      <c r="AQ182" s="182" t="str">
        <f t="shared" ca="1" si="1352"/>
        <v>-</v>
      </c>
      <c r="AU182" s="185" t="str">
        <f t="shared" ref="AU182" ca="1" si="1474">IF($D182="-","-",IF(LEN(M182)=0,"", INDEX($AT$7:$AT$15,MATCH(IF($V182-INDEX(GridXRange,P182)&lt;0,"Negative",IF($V182-INDEX(GridXRange,P182)&gt;0,"Positive","Zero")) &amp; " - " &amp;IF($W182-INDEX(GridYRange,P182)&lt;0,"Negative",IF($W182-INDEX(GridYRange,P182)&gt;0,"Positive","Zero")),$AS$7:$AS$15,0))))</f>
        <v>-</v>
      </c>
      <c r="AV182" s="186" t="str">
        <f t="shared" ref="AV182" ca="1" si="1475">IF($D182="-","-",IF(LEN(N182)=0,"", INDEX($AT$7:$AT$15,MATCH(IF($V182-INDEX(GridXRange,Q182)&lt;0,"Negative",IF($V182-INDEX(GridXRange,Q182)&gt;0,"Positive","Zero")) &amp; " - " &amp;IF($W182-INDEX(GridYRange,Q182)&lt;0,"Negative",IF($W182-INDEX(GridYRange,Q182)&gt;0,"Positive","Zero")),$AS$7:$AS$15,0))))</f>
        <v>-</v>
      </c>
      <c r="AW182" s="186" t="str">
        <f t="shared" ref="AW182" ca="1" si="1476">IF($D182="-","-",IF(LEN(O182)=0,"", INDEX($AT$7:$AT$15,MATCH(IF($V182-INDEX(GridXRange,R182)&lt;0,"Negative",IF($V182-INDEX(GridXRange,R182)&gt;0,"Positive","Zero")) &amp; " - " &amp;IF($W182-INDEX(GridYRange,R182)&lt;0,"Negative",IF($W182-INDEX(GridYRange,R182)&gt;0,"Positive","Zero")),$AS$7:$AS$15,0))))</f>
        <v>-</v>
      </c>
      <c r="AX182" s="187"/>
      <c r="AY182" s="188"/>
      <c r="AZ182" s="188"/>
      <c r="BA182" s="184"/>
      <c r="BB182" s="187" t="str">
        <f t="shared" ca="1" si="1356"/>
        <v>-</v>
      </c>
      <c r="BC182" s="188" t="str">
        <f t="shared" ca="1" si="1356"/>
        <v>-</v>
      </c>
      <c r="BD182" s="188" t="str">
        <f t="shared" ca="1" si="1356"/>
        <v>-</v>
      </c>
      <c r="BE182" s="189" t="str">
        <f t="shared" ca="1" si="1356"/>
        <v>-</v>
      </c>
      <c r="BK182" s="192" t="str">
        <f t="shared" ref="BK182" ca="1" si="1477">IF($D182="-","-",$BK$5 + (V182-StartGridX) * (GapXDiff + $BW$7))</f>
        <v>-</v>
      </c>
      <c r="BL182" s="192" t="str">
        <f t="shared" ref="BL182" ca="1" si="1478">IF($D182="-","-",$BL$5 + (W182-StartGridY) * (GapYDiff + $BV$7))</f>
        <v>-</v>
      </c>
      <c r="BM182" s="192" t="str">
        <f t="shared" ca="1" si="1090"/>
        <v>-</v>
      </c>
      <c r="BN182" s="192" t="str">
        <f t="shared" ca="1" si="1091"/>
        <v>-</v>
      </c>
      <c r="BO182" s="192" t="str">
        <f t="shared" ca="1" si="1092"/>
        <v>-</v>
      </c>
      <c r="BP182" s="192" t="str">
        <f t="shared" ca="1" si="1093"/>
        <v>-</v>
      </c>
      <c r="BQ182" s="192" t="str">
        <f ca="1">IF($D182="-","-",IF(LEN(K182)=0,1,IFERROR(MATCH(K182,Dashboard!$L$25:$L$31,0),1)))</f>
        <v>-</v>
      </c>
      <c r="CC182" s="143" t="str">
        <f t="shared" ref="CC182" ca="1" si="1479">IF($D182="-","-",IF(COUNTIF(IDSourceRange,E182)&gt;1,1,0))</f>
        <v>-</v>
      </c>
      <c r="CD182" s="143" t="str">
        <f t="shared" ref="CD182" ca="1" si="1480">IF($D182="-","-",  IF(LEN(M182)=0,0,IF(ISERROR(MATCH(M182,IDSourceRange,0)),1,0)) + IF(LEN(N182)=0,0,IF(ISERROR(MATCH(N182,IDSourceRange,0)),1,0)) + IF(LEN(O182)=0,0,IF(ISERROR(MATCH(O182,IDSourceRange,0)),1,0)) )</f>
        <v>-</v>
      </c>
      <c r="CE182" s="143" t="str">
        <f t="shared" ca="1" si="1121"/>
        <v>-</v>
      </c>
      <c r="CF182" s="143" t="s">
        <v>128</v>
      </c>
      <c r="CG182" s="143" t="str">
        <f t="shared" ref="CG182" ca="1" si="1481">IF($D182="-","-",IF(X182="-",0,IF(COUNTIF(GridCombinedRange,X182)&gt;1,1,0)))</f>
        <v>-</v>
      </c>
      <c r="CH182" s="143"/>
      <c r="CI182" s="143"/>
      <c r="CJ182" s="143"/>
      <c r="CK182" s="143"/>
      <c r="CL182" s="143"/>
    </row>
    <row r="183" spans="3:90" x14ac:dyDescent="0.3">
      <c r="C183" s="170">
        <v>177</v>
      </c>
      <c r="D183" s="111" t="str">
        <f ca="1">IF(COUNTA(OFFSET(Dashboard!$B$6,C183,0,1,COUNTA(Dashboard!$B$6:$H$6)))&gt;0,"Yes","-")</f>
        <v>-</v>
      </c>
      <c r="E183" s="170" t="str">
        <f ca="1">IF(D183="-","-",IF(LEN(INDEX(Dashboard!B$6:B$206,$C183+1))=0,"x"&amp;C183&amp;"x","x"&amp;INDEX(Dashboard!B$6:B$206,$C183+1)&amp;"x"))</f>
        <v>-</v>
      </c>
      <c r="F183" s="171" t="str">
        <f ca="1">IF(D183="-","-",IF(LEN(INDEX(Dashboard!$C$6:$C$206,C183+1))=0," ",INDEX(Dashboard!$C$6:$C$206,C183+1)))</f>
        <v>-</v>
      </c>
      <c r="G183" s="219" t="str">
        <f ca="1">IF(OR(D183="-",D183=""),"-",IF(LEN(INDEX(Dashboard!$D$6:$D$228,C183+1))=0,"", "x"&amp;SUBSTITUTE(SUBSTITUTE(INDEX(Dashboard!$D$6:$D$228,C183+1)," ",""),",","x,x")&amp;"x"))</f>
        <v>-</v>
      </c>
      <c r="H183" s="111" t="str">
        <f ca="1">IF(D183="-","-",TRIM(INDEX(Dashboard!$E$6:$E$206,C183+1)))</f>
        <v>-</v>
      </c>
      <c r="I183" s="111" t="str">
        <f ca="1">IF(D183="-","-",IF(LEN(INDEX(Dashboard!$F$6:$F$206,C183+1))=0,$BS$8,IF(ISERROR(MATCH(INDEX(Dashboard!$F$6:$F$206,C183+1),$BS$7:$BS$35,0)),$BS$8,INDEX(Dashboard!$F$6:$F$206,C183+1))))</f>
        <v>-</v>
      </c>
      <c r="J183" s="111" t="str">
        <f ca="1">IF(D183="-","-",SUBSTITUTE(INDEX(Dashboard!$G$6:$G$206,C183+1)," ",""))</f>
        <v>-</v>
      </c>
      <c r="K183" s="111" t="str">
        <f ca="1">IF(D183="-","-",IF(LEN(INDEX(Dashboard!$H$6:$H$206,C183+1))=0,"",INDEX(Dashboard!$H$6:$H$206,C183+1)))</f>
        <v>-</v>
      </c>
      <c r="M183" s="172" t="str">
        <f t="shared" ca="1" si="1349"/>
        <v>-</v>
      </c>
      <c r="N183" s="172" t="str">
        <f t="shared" ca="1" si="1349"/>
        <v>-</v>
      </c>
      <c r="O183" s="172" t="str">
        <f t="shared" ca="1" si="1349"/>
        <v>-</v>
      </c>
      <c r="P183" s="173" t="str">
        <f t="shared" ca="1" si="1350"/>
        <v>-</v>
      </c>
      <c r="Q183" s="172" t="str">
        <f t="shared" ca="1" si="1350"/>
        <v>-</v>
      </c>
      <c r="R183" s="172" t="str">
        <f t="shared" ca="1" si="1350"/>
        <v>-</v>
      </c>
      <c r="S183" s="174" t="str">
        <f t="array" aca="1" ref="S183" ca="1">IF($D183="-","-",SUM(IF(LEN(M183:O183)&gt;0,1,0)))</f>
        <v>-</v>
      </c>
      <c r="T183" s="175" t="str">
        <f t="array" aca="1" ref="T183" ca="1">IF(D183="-","-",SUM(IF(ISERROR(SEARCH(E183,$G$7:$G$206)),0,1)))</f>
        <v>-</v>
      </c>
      <c r="V183" s="204"/>
      <c r="W183" s="127"/>
      <c r="X183" s="177" t="str">
        <f t="shared" si="1097"/>
        <v>-</v>
      </c>
      <c r="Y183" s="178"/>
      <c r="Z183" s="127"/>
      <c r="AB183" s="179" t="str">
        <f t="shared" ca="1" si="1351"/>
        <v>-</v>
      </c>
      <c r="AC183" s="179" t="str">
        <f t="shared" ca="1" si="1351"/>
        <v>-</v>
      </c>
      <c r="AD183" s="179" t="str">
        <f t="shared" ca="1" si="1351"/>
        <v>-</v>
      </c>
      <c r="AJ183" s="181" t="str">
        <f t="shared" ca="1" si="1082"/>
        <v>-</v>
      </c>
      <c r="AK183" s="179" t="str">
        <f t="shared" ca="1" si="1083"/>
        <v>-</v>
      </c>
      <c r="AL183" s="179" t="str">
        <f t="shared" ca="1" si="1083"/>
        <v>-</v>
      </c>
      <c r="AM183" s="179" t="str">
        <f t="shared" ca="1" si="1083"/>
        <v>-</v>
      </c>
      <c r="AO183" s="182" t="str">
        <f t="shared" ca="1" si="1352"/>
        <v>-</v>
      </c>
      <c r="AP183" s="182" t="str">
        <f t="shared" ca="1" si="1352"/>
        <v>-</v>
      </c>
      <c r="AQ183" s="182" t="str">
        <f t="shared" ca="1" si="1352"/>
        <v>-</v>
      </c>
      <c r="AU183" s="185" t="str">
        <f t="shared" ref="AU183" ca="1" si="1482">IF($D183="-","-",IF(LEN(M183)=0,"", INDEX($AT$7:$AT$15,MATCH(IF($V183-INDEX(GridXRange,P183)&lt;0,"Negative",IF($V183-INDEX(GridXRange,P183)&gt;0,"Positive","Zero")) &amp; " - " &amp;IF($W183-INDEX(GridYRange,P183)&lt;0,"Negative",IF($W183-INDEX(GridYRange,P183)&gt;0,"Positive","Zero")),$AS$7:$AS$15,0))))</f>
        <v>-</v>
      </c>
      <c r="AV183" s="186" t="str">
        <f t="shared" ref="AV183" ca="1" si="1483">IF($D183="-","-",IF(LEN(N183)=0,"", INDEX($AT$7:$AT$15,MATCH(IF($V183-INDEX(GridXRange,Q183)&lt;0,"Negative",IF($V183-INDEX(GridXRange,Q183)&gt;0,"Positive","Zero")) &amp; " - " &amp;IF($W183-INDEX(GridYRange,Q183)&lt;0,"Negative",IF($W183-INDEX(GridYRange,Q183)&gt;0,"Positive","Zero")),$AS$7:$AS$15,0))))</f>
        <v>-</v>
      </c>
      <c r="AW183" s="186" t="str">
        <f t="shared" ref="AW183" ca="1" si="1484">IF($D183="-","-",IF(LEN(O183)=0,"", INDEX($AT$7:$AT$15,MATCH(IF($V183-INDEX(GridXRange,R183)&lt;0,"Negative",IF($V183-INDEX(GridXRange,R183)&gt;0,"Positive","Zero")) &amp; " - " &amp;IF($W183-INDEX(GridYRange,R183)&lt;0,"Negative",IF($W183-INDEX(GridYRange,R183)&gt;0,"Positive","Zero")),$AS$7:$AS$15,0))))</f>
        <v>-</v>
      </c>
      <c r="AX183" s="187"/>
      <c r="AY183" s="188"/>
      <c r="AZ183" s="188"/>
      <c r="BA183" s="184"/>
      <c r="BB183" s="187" t="str">
        <f t="shared" ca="1" si="1356"/>
        <v>-</v>
      </c>
      <c r="BC183" s="188" t="str">
        <f t="shared" ca="1" si="1356"/>
        <v>-</v>
      </c>
      <c r="BD183" s="188" t="str">
        <f t="shared" ca="1" si="1356"/>
        <v>-</v>
      </c>
      <c r="BE183" s="189" t="str">
        <f t="shared" ca="1" si="1356"/>
        <v>-</v>
      </c>
      <c r="BK183" s="192" t="str">
        <f t="shared" ref="BK183" ca="1" si="1485">IF($D183="-","-",$BK$5 + (V183-StartGridX) * (GapXDiff + $BW$7))</f>
        <v>-</v>
      </c>
      <c r="BL183" s="192" t="str">
        <f t="shared" ref="BL183" ca="1" si="1486">IF($D183="-","-",$BL$5 + (W183-StartGridY) * (GapYDiff + $BV$7))</f>
        <v>-</v>
      </c>
      <c r="BM183" s="192" t="str">
        <f t="shared" ca="1" si="1090"/>
        <v>-</v>
      </c>
      <c r="BN183" s="192" t="str">
        <f t="shared" ca="1" si="1091"/>
        <v>-</v>
      </c>
      <c r="BO183" s="192" t="str">
        <f t="shared" ca="1" si="1092"/>
        <v>-</v>
      </c>
      <c r="BP183" s="192" t="str">
        <f t="shared" ca="1" si="1093"/>
        <v>-</v>
      </c>
      <c r="BQ183" s="192" t="str">
        <f ca="1">IF($D183="-","-",IF(LEN(K183)=0,1,IFERROR(MATCH(K183,Dashboard!$L$25:$L$31,0),1)))</f>
        <v>-</v>
      </c>
      <c r="CC183" s="143" t="str">
        <f t="shared" ref="CC183" ca="1" si="1487">IF($D183="-","-",IF(COUNTIF(IDSourceRange,E183)&gt;1,1,0))</f>
        <v>-</v>
      </c>
      <c r="CD183" s="143" t="str">
        <f t="shared" ref="CD183" ca="1" si="1488">IF($D183="-","-",  IF(LEN(M183)=0,0,IF(ISERROR(MATCH(M183,IDSourceRange,0)),1,0)) + IF(LEN(N183)=0,0,IF(ISERROR(MATCH(N183,IDSourceRange,0)),1,0)) + IF(LEN(O183)=0,0,IF(ISERROR(MATCH(O183,IDSourceRange,0)),1,0)) )</f>
        <v>-</v>
      </c>
      <c r="CE183" s="143" t="str">
        <f t="shared" ca="1" si="1121"/>
        <v>-</v>
      </c>
      <c r="CF183" s="143" t="s">
        <v>128</v>
      </c>
      <c r="CG183" s="143" t="str">
        <f t="shared" ref="CG183" ca="1" si="1489">IF($D183="-","-",IF(X183="-",0,IF(COUNTIF(GridCombinedRange,X183)&gt;1,1,0)))</f>
        <v>-</v>
      </c>
      <c r="CH183" s="143"/>
      <c r="CI183" s="143"/>
      <c r="CJ183" s="143"/>
      <c r="CK183" s="143"/>
      <c r="CL183" s="143"/>
    </row>
    <row r="184" spans="3:90" x14ac:dyDescent="0.3">
      <c r="C184" s="170">
        <v>178</v>
      </c>
      <c r="D184" s="111" t="str">
        <f ca="1">IF(COUNTA(OFFSET(Dashboard!$B$6,C184,0,1,COUNTA(Dashboard!$B$6:$H$6)))&gt;0,"Yes","-")</f>
        <v>-</v>
      </c>
      <c r="E184" s="170" t="str">
        <f ca="1">IF(D184="-","-",IF(LEN(INDEX(Dashboard!B$6:B$206,$C184+1))=0,"x"&amp;C184&amp;"x","x"&amp;INDEX(Dashboard!B$6:B$206,$C184+1)&amp;"x"))</f>
        <v>-</v>
      </c>
      <c r="F184" s="220" t="str">
        <f ca="1">IF(D184="-","-",IF(LEN(INDEX(Dashboard!$C$6:$C$228,C184+1))=0," ",INDEX(Dashboard!$C$6:$C$228,C184+1)))</f>
        <v>-</v>
      </c>
      <c r="G184" s="219" t="str">
        <f ca="1">IF(OR(D184="-",D184=""),"-",IF(LEN(INDEX(Dashboard!$D$6:$D$228,C184+1))=0,"", "x"&amp;SUBSTITUTE(SUBSTITUTE(INDEX(Dashboard!$D$6:$D$228,C184+1)," ",""),",","x,x")&amp;"x"))</f>
        <v>-</v>
      </c>
      <c r="H184" s="111" t="str">
        <f ca="1">IF(D184="-","-",TRIM(INDEX(Dashboard!$E$6:$E$206,C184+1)))</f>
        <v>-</v>
      </c>
      <c r="I184" s="111" t="str">
        <f ca="1">IF(D184="-","-",IF(LEN(INDEX(Dashboard!$F$6:$F$206,C184+1))=0,$BS$8,IF(ISERROR(MATCH(INDEX(Dashboard!$F$6:$F$206,C184+1),$BS$7:$BS$35,0)),$BS$8,INDEX(Dashboard!$F$6:$F$206,C184+1))))</f>
        <v>-</v>
      </c>
      <c r="J184" s="111" t="str">
        <f ca="1">IF(D184="-","-",SUBSTITUTE(INDEX(Dashboard!$G$6:$G$206,C184+1)," ",""))</f>
        <v>-</v>
      </c>
      <c r="K184" s="111" t="str">
        <f ca="1">IF(D184="-","-",IF(LEN(INDEX(Dashboard!$H$6:$H$206,C184+1))=0,"",INDEX(Dashboard!$H$6:$H$206,C184+1)))</f>
        <v>-</v>
      </c>
      <c r="M184" s="172" t="str">
        <f t="shared" ca="1" si="1349"/>
        <v>-</v>
      </c>
      <c r="N184" s="172" t="str">
        <f t="shared" ca="1" si="1349"/>
        <v>-</v>
      </c>
      <c r="O184" s="172" t="str">
        <f t="shared" ca="1" si="1349"/>
        <v>-</v>
      </c>
      <c r="P184" s="173" t="str">
        <f t="shared" ca="1" si="1350"/>
        <v>-</v>
      </c>
      <c r="Q184" s="172" t="str">
        <f t="shared" ca="1" si="1350"/>
        <v>-</v>
      </c>
      <c r="R184" s="172" t="str">
        <f t="shared" ca="1" si="1350"/>
        <v>-</v>
      </c>
      <c r="S184" s="174" t="str">
        <f t="array" aca="1" ref="S184" ca="1">IF($D184="-","-",SUM(IF(LEN(M184:O184)&gt;0,1,0)))</f>
        <v>-</v>
      </c>
      <c r="T184" s="175" t="str">
        <f t="array" aca="1" ref="T184" ca="1">IF(D184="-","-",SUM(IF(ISERROR(SEARCH(E184,$G$7:$G$206)),0,1)))</f>
        <v>-</v>
      </c>
      <c r="V184" s="204"/>
      <c r="W184" s="127"/>
      <c r="X184" s="177" t="str">
        <f t="shared" si="1097"/>
        <v>-</v>
      </c>
      <c r="Y184" s="178"/>
      <c r="Z184" s="127"/>
      <c r="AB184" s="179" t="str">
        <f t="shared" ca="1" si="1351"/>
        <v>-</v>
      </c>
      <c r="AC184" s="179" t="str">
        <f t="shared" ca="1" si="1351"/>
        <v>-</v>
      </c>
      <c r="AD184" s="179" t="str">
        <f t="shared" ca="1" si="1351"/>
        <v>-</v>
      </c>
      <c r="AJ184" s="181" t="str">
        <f t="shared" ca="1" si="1082"/>
        <v>-</v>
      </c>
      <c r="AK184" s="179" t="str">
        <f t="shared" ca="1" si="1083"/>
        <v>-</v>
      </c>
      <c r="AL184" s="179" t="str">
        <f t="shared" ca="1" si="1083"/>
        <v>-</v>
      </c>
      <c r="AM184" s="179" t="str">
        <f t="shared" ca="1" si="1083"/>
        <v>-</v>
      </c>
      <c r="AO184" s="182" t="str">
        <f t="shared" ca="1" si="1352"/>
        <v>-</v>
      </c>
      <c r="AP184" s="182" t="str">
        <f t="shared" ca="1" si="1352"/>
        <v>-</v>
      </c>
      <c r="AQ184" s="182" t="str">
        <f t="shared" ca="1" si="1352"/>
        <v>-</v>
      </c>
      <c r="AU184" s="185" t="str">
        <f t="shared" ref="AU184" ca="1" si="1490">IF($D184="-","-",IF(LEN(M184)=0,"", INDEX($AT$7:$AT$15,MATCH(IF($V184-INDEX(GridXRange,P184)&lt;0,"Negative",IF($V184-INDEX(GridXRange,P184)&gt;0,"Positive","Zero")) &amp; " - " &amp;IF($W184-INDEX(GridYRange,P184)&lt;0,"Negative",IF($W184-INDEX(GridYRange,P184)&gt;0,"Positive","Zero")),$AS$7:$AS$15,0))))</f>
        <v>-</v>
      </c>
      <c r="AV184" s="186" t="str">
        <f t="shared" ref="AV184" ca="1" si="1491">IF($D184="-","-",IF(LEN(N184)=0,"", INDEX($AT$7:$AT$15,MATCH(IF($V184-INDEX(GridXRange,Q184)&lt;0,"Negative",IF($V184-INDEX(GridXRange,Q184)&gt;0,"Positive","Zero")) &amp; " - " &amp;IF($W184-INDEX(GridYRange,Q184)&lt;0,"Negative",IF($W184-INDEX(GridYRange,Q184)&gt;0,"Positive","Zero")),$AS$7:$AS$15,0))))</f>
        <v>-</v>
      </c>
      <c r="AW184" s="186" t="str">
        <f t="shared" ref="AW184" ca="1" si="1492">IF($D184="-","-",IF(LEN(O184)=0,"", INDEX($AT$7:$AT$15,MATCH(IF($V184-INDEX(GridXRange,R184)&lt;0,"Negative",IF($V184-INDEX(GridXRange,R184)&gt;0,"Positive","Zero")) &amp; " - " &amp;IF($W184-INDEX(GridYRange,R184)&lt;0,"Negative",IF($W184-INDEX(GridYRange,R184)&gt;0,"Positive","Zero")),$AS$7:$AS$15,0))))</f>
        <v>-</v>
      </c>
      <c r="AX184" s="187"/>
      <c r="AY184" s="188"/>
      <c r="AZ184" s="188"/>
      <c r="BA184" s="184"/>
      <c r="BB184" s="187" t="str">
        <f t="shared" ca="1" si="1356"/>
        <v>-</v>
      </c>
      <c r="BC184" s="188" t="str">
        <f t="shared" ca="1" si="1356"/>
        <v>-</v>
      </c>
      <c r="BD184" s="188" t="str">
        <f t="shared" ca="1" si="1356"/>
        <v>-</v>
      </c>
      <c r="BE184" s="189" t="str">
        <f t="shared" ca="1" si="1356"/>
        <v>-</v>
      </c>
      <c r="BK184" s="192" t="str">
        <f t="shared" ref="BK184" ca="1" si="1493">IF($D184="-","-",$BK$5 + (V184-StartGridX) * (GapXDiff + $BW$7))</f>
        <v>-</v>
      </c>
      <c r="BL184" s="192" t="str">
        <f t="shared" ref="BL184" ca="1" si="1494">IF($D184="-","-",$BL$5 + (W184-StartGridY) * (GapYDiff + $BV$7))</f>
        <v>-</v>
      </c>
      <c r="BM184" s="192" t="str">
        <f t="shared" ca="1" si="1090"/>
        <v>-</v>
      </c>
      <c r="BN184" s="192" t="str">
        <f t="shared" ca="1" si="1091"/>
        <v>-</v>
      </c>
      <c r="BO184" s="192" t="str">
        <f t="shared" ca="1" si="1092"/>
        <v>-</v>
      </c>
      <c r="BP184" s="192" t="str">
        <f t="shared" ca="1" si="1093"/>
        <v>-</v>
      </c>
      <c r="BQ184" s="192" t="str">
        <f ca="1">IF($D184="-","-",IF(LEN(K184)=0,1,IFERROR(MATCH(K184,Dashboard!$L$25:$L$31,0),1)))</f>
        <v>-</v>
      </c>
      <c r="CC184" s="143" t="str">
        <f t="shared" ref="CC184" ca="1" si="1495">IF($D184="-","-",IF(COUNTIF(IDSourceRange,E184)&gt;1,1,0))</f>
        <v>-</v>
      </c>
      <c r="CD184" s="143" t="str">
        <f t="shared" ref="CD184" ca="1" si="1496">IF($D184="-","-",  IF(LEN(M184)=0,0,IF(ISERROR(MATCH(M184,IDSourceRange,0)),1,0)) + IF(LEN(N184)=0,0,IF(ISERROR(MATCH(N184,IDSourceRange,0)),1,0)) + IF(LEN(O184)=0,0,IF(ISERROR(MATCH(O184,IDSourceRange,0)),1,0)) )</f>
        <v>-</v>
      </c>
      <c r="CE184" s="143" t="str">
        <f t="shared" ca="1" si="1121"/>
        <v>-</v>
      </c>
      <c r="CF184" s="143" t="s">
        <v>128</v>
      </c>
      <c r="CG184" s="143" t="str">
        <f t="shared" ref="CG184" ca="1" si="1497">IF($D184="-","-",IF(X184="-",0,IF(COUNTIF(GridCombinedRange,X184)&gt;1,1,0)))</f>
        <v>-</v>
      </c>
      <c r="CH184" s="143"/>
      <c r="CI184" s="143"/>
      <c r="CJ184" s="143"/>
      <c r="CK184" s="143"/>
      <c r="CL184" s="143"/>
    </row>
    <row r="185" spans="3:90" x14ac:dyDescent="0.3">
      <c r="C185" s="170">
        <v>179</v>
      </c>
      <c r="D185" s="111" t="str">
        <f ca="1">IF(COUNTA(OFFSET(Dashboard!$B$6,C185,0,1,COUNTA(Dashboard!$B$6:$H$6)))&gt;0,"Yes","-")</f>
        <v>-</v>
      </c>
      <c r="E185" s="170" t="str">
        <f ca="1">IF(D185="-","-",IF(LEN(INDEX(Dashboard!B$6:B$206,$C185+1))=0,"x"&amp;C185&amp;"x","x"&amp;INDEX(Dashboard!B$6:B$206,$C185+1)&amp;"x"))</f>
        <v>-</v>
      </c>
      <c r="F185" s="171" t="str">
        <f ca="1">IF(D185="-","-",IF(LEN(INDEX(Dashboard!$C$6:$C$206,C185+1))=0," ",INDEX(Dashboard!$C$6:$C$206,C185+1)))</f>
        <v>-</v>
      </c>
      <c r="G185" s="219" t="str">
        <f ca="1">IF(OR(D185="-",D185=""),"-",IF(LEN(INDEX(Dashboard!$D$6:$D$228,C185+1))=0,"", "x"&amp;SUBSTITUTE(SUBSTITUTE(INDEX(Dashboard!$D$6:$D$228,C185+1)," ",""),",","x,x")&amp;"x"))</f>
        <v>-</v>
      </c>
      <c r="H185" s="111" t="str">
        <f ca="1">IF(D185="-","-",TRIM(INDEX(Dashboard!$E$6:$E$206,C185+1)))</f>
        <v>-</v>
      </c>
      <c r="I185" s="111" t="str">
        <f ca="1">IF(D185="-","-",IF(LEN(INDEX(Dashboard!$F$6:$F$206,C185+1))=0,$BS$8,IF(ISERROR(MATCH(INDEX(Dashboard!$F$6:$F$206,C185+1),$BS$7:$BS$35,0)),$BS$8,INDEX(Dashboard!$F$6:$F$206,C185+1))))</f>
        <v>-</v>
      </c>
      <c r="J185" s="111" t="str">
        <f ca="1">IF(D185="-","-",SUBSTITUTE(INDEX(Dashboard!$G$6:$G$206,C185+1)," ",""))</f>
        <v>-</v>
      </c>
      <c r="K185" s="111" t="str">
        <f ca="1">IF(D185="-","-",IF(LEN(INDEX(Dashboard!$H$6:$H$206,C185+1))=0,"",INDEX(Dashboard!$H$6:$H$206,C185+1)))</f>
        <v>-</v>
      </c>
      <c r="M185" s="172" t="str">
        <f t="shared" ca="1" si="1349"/>
        <v>-</v>
      </c>
      <c r="N185" s="172" t="str">
        <f t="shared" ca="1" si="1349"/>
        <v>-</v>
      </c>
      <c r="O185" s="172" t="str">
        <f t="shared" ca="1" si="1349"/>
        <v>-</v>
      </c>
      <c r="P185" s="173" t="str">
        <f t="shared" ca="1" si="1350"/>
        <v>-</v>
      </c>
      <c r="Q185" s="172" t="str">
        <f t="shared" ca="1" si="1350"/>
        <v>-</v>
      </c>
      <c r="R185" s="172" t="str">
        <f t="shared" ca="1" si="1350"/>
        <v>-</v>
      </c>
      <c r="S185" s="174" t="str">
        <f t="array" aca="1" ref="S185" ca="1">IF($D185="-","-",SUM(IF(LEN(M185:O185)&gt;0,1,0)))</f>
        <v>-</v>
      </c>
      <c r="T185" s="175" t="str">
        <f t="array" aca="1" ref="T185" ca="1">IF(D185="-","-",SUM(IF(ISERROR(SEARCH(E185,$G$7:$G$206)),0,1)))</f>
        <v>-</v>
      </c>
      <c r="V185" s="204"/>
      <c r="W185" s="127"/>
      <c r="X185" s="177" t="str">
        <f t="shared" si="1097"/>
        <v>-</v>
      </c>
      <c r="Y185" s="178"/>
      <c r="Z185" s="127"/>
      <c r="AB185" s="179" t="str">
        <f t="shared" ca="1" si="1351"/>
        <v>-</v>
      </c>
      <c r="AC185" s="179" t="str">
        <f t="shared" ca="1" si="1351"/>
        <v>-</v>
      </c>
      <c r="AD185" s="179" t="str">
        <f t="shared" ca="1" si="1351"/>
        <v>-</v>
      </c>
      <c r="AJ185" s="181" t="str">
        <f t="shared" ca="1" si="1082"/>
        <v>-</v>
      </c>
      <c r="AK185" s="179" t="str">
        <f t="shared" ca="1" si="1083"/>
        <v>-</v>
      </c>
      <c r="AL185" s="179" t="str">
        <f t="shared" ca="1" si="1083"/>
        <v>-</v>
      </c>
      <c r="AM185" s="179" t="str">
        <f t="shared" ca="1" si="1083"/>
        <v>-</v>
      </c>
      <c r="AO185" s="182" t="str">
        <f t="shared" ca="1" si="1352"/>
        <v>-</v>
      </c>
      <c r="AP185" s="182" t="str">
        <f t="shared" ca="1" si="1352"/>
        <v>-</v>
      </c>
      <c r="AQ185" s="182" t="str">
        <f t="shared" ca="1" si="1352"/>
        <v>-</v>
      </c>
      <c r="AU185" s="185" t="str">
        <f t="shared" ref="AU185" ca="1" si="1498">IF($D185="-","-",IF(LEN(M185)=0,"", INDEX($AT$7:$AT$15,MATCH(IF($V185-INDEX(GridXRange,P185)&lt;0,"Negative",IF($V185-INDEX(GridXRange,P185)&gt;0,"Positive","Zero")) &amp; " - " &amp;IF($W185-INDEX(GridYRange,P185)&lt;0,"Negative",IF($W185-INDEX(GridYRange,P185)&gt;0,"Positive","Zero")),$AS$7:$AS$15,0))))</f>
        <v>-</v>
      </c>
      <c r="AV185" s="186" t="str">
        <f t="shared" ref="AV185" ca="1" si="1499">IF($D185="-","-",IF(LEN(N185)=0,"", INDEX($AT$7:$AT$15,MATCH(IF($V185-INDEX(GridXRange,Q185)&lt;0,"Negative",IF($V185-INDEX(GridXRange,Q185)&gt;0,"Positive","Zero")) &amp; " - " &amp;IF($W185-INDEX(GridYRange,Q185)&lt;0,"Negative",IF($W185-INDEX(GridYRange,Q185)&gt;0,"Positive","Zero")),$AS$7:$AS$15,0))))</f>
        <v>-</v>
      </c>
      <c r="AW185" s="186" t="str">
        <f t="shared" ref="AW185" ca="1" si="1500">IF($D185="-","-",IF(LEN(O185)=0,"", INDEX($AT$7:$AT$15,MATCH(IF($V185-INDEX(GridXRange,R185)&lt;0,"Negative",IF($V185-INDEX(GridXRange,R185)&gt;0,"Positive","Zero")) &amp; " - " &amp;IF($W185-INDEX(GridYRange,R185)&lt;0,"Negative",IF($W185-INDEX(GridYRange,R185)&gt;0,"Positive","Zero")),$AS$7:$AS$15,0))))</f>
        <v>-</v>
      </c>
      <c r="AX185" s="187"/>
      <c r="AY185" s="188"/>
      <c r="AZ185" s="188"/>
      <c r="BA185" s="184"/>
      <c r="BB185" s="187" t="str">
        <f t="shared" ca="1" si="1356"/>
        <v>-</v>
      </c>
      <c r="BC185" s="188" t="str">
        <f t="shared" ca="1" si="1356"/>
        <v>-</v>
      </c>
      <c r="BD185" s="188" t="str">
        <f t="shared" ca="1" si="1356"/>
        <v>-</v>
      </c>
      <c r="BE185" s="189" t="str">
        <f t="shared" ca="1" si="1356"/>
        <v>-</v>
      </c>
      <c r="BK185" s="192" t="str">
        <f t="shared" ref="BK185" ca="1" si="1501">IF($D185="-","-",$BK$5 + (V185-StartGridX) * (GapXDiff + $BW$7))</f>
        <v>-</v>
      </c>
      <c r="BL185" s="192" t="str">
        <f t="shared" ref="BL185" ca="1" si="1502">IF($D185="-","-",$BL$5 + (W185-StartGridY) * (GapYDiff + $BV$7))</f>
        <v>-</v>
      </c>
      <c r="BM185" s="192" t="str">
        <f t="shared" ca="1" si="1090"/>
        <v>-</v>
      </c>
      <c r="BN185" s="192" t="str">
        <f t="shared" ca="1" si="1091"/>
        <v>-</v>
      </c>
      <c r="BO185" s="192" t="str">
        <f t="shared" ca="1" si="1092"/>
        <v>-</v>
      </c>
      <c r="BP185" s="192" t="str">
        <f t="shared" ca="1" si="1093"/>
        <v>-</v>
      </c>
      <c r="BQ185" s="192" t="str">
        <f ca="1">IF($D185="-","-",IF(LEN(K185)=0,1,IFERROR(MATCH(K185,Dashboard!$L$25:$L$31,0),1)))</f>
        <v>-</v>
      </c>
      <c r="CC185" s="143" t="str">
        <f t="shared" ref="CC185" ca="1" si="1503">IF($D185="-","-",IF(COUNTIF(IDSourceRange,E185)&gt;1,1,0))</f>
        <v>-</v>
      </c>
      <c r="CD185" s="143" t="str">
        <f t="shared" ref="CD185" ca="1" si="1504">IF($D185="-","-",  IF(LEN(M185)=0,0,IF(ISERROR(MATCH(M185,IDSourceRange,0)),1,0)) + IF(LEN(N185)=0,0,IF(ISERROR(MATCH(N185,IDSourceRange,0)),1,0)) + IF(LEN(O185)=0,0,IF(ISERROR(MATCH(O185,IDSourceRange,0)),1,0)) )</f>
        <v>-</v>
      </c>
      <c r="CE185" s="143" t="str">
        <f t="shared" ca="1" si="1121"/>
        <v>-</v>
      </c>
      <c r="CF185" s="143" t="s">
        <v>128</v>
      </c>
      <c r="CG185" s="143" t="str">
        <f t="shared" ref="CG185" ca="1" si="1505">IF($D185="-","-",IF(X185="-",0,IF(COUNTIF(GridCombinedRange,X185)&gt;1,1,0)))</f>
        <v>-</v>
      </c>
      <c r="CH185" s="143"/>
      <c r="CI185" s="143"/>
      <c r="CJ185" s="143"/>
      <c r="CK185" s="143"/>
      <c r="CL185" s="143"/>
    </row>
    <row r="186" spans="3:90" x14ac:dyDescent="0.3">
      <c r="C186" s="170">
        <v>180</v>
      </c>
      <c r="D186" s="111" t="str">
        <f ca="1">IF(COUNTA(OFFSET(Dashboard!$B$6,C186,0,1,COUNTA(Dashboard!$B$6:$H$6)))&gt;0,"Yes","-")</f>
        <v>-</v>
      </c>
      <c r="E186" s="170" t="str">
        <f ca="1">IF(D186="-","-",IF(LEN(INDEX(Dashboard!B$6:B$206,$C186+1))=0,"x"&amp;C186&amp;"x","x"&amp;INDEX(Dashboard!B$6:B$206,$C186+1)&amp;"x"))</f>
        <v>-</v>
      </c>
      <c r="F186" s="171" t="str">
        <f ca="1">IF(D186="-","-",IF(LEN(INDEX(Dashboard!$C$6:$C$206,C186+1))=0," ",INDEX(Dashboard!$C$6:$C$206,C186+1)))</f>
        <v>-</v>
      </c>
      <c r="G186" s="219" t="str">
        <f ca="1">IF(OR(D186="-",D186=""),"-",IF(LEN(INDEX(Dashboard!$D$6:$D$228,C186+1))=0,"", "x"&amp;SUBSTITUTE(SUBSTITUTE(INDEX(Dashboard!$D$6:$D$228,C186+1)," ",""),",","x,x")&amp;"x"))</f>
        <v>-</v>
      </c>
      <c r="H186" s="111" t="str">
        <f ca="1">IF(D186="-","-",TRIM(INDEX(Dashboard!$E$6:$E$206,C186+1)))</f>
        <v>-</v>
      </c>
      <c r="I186" s="111" t="str">
        <f ca="1">IF(D186="-","-",IF(LEN(INDEX(Dashboard!$F$6:$F$206,C186+1))=0,$BS$8,IF(ISERROR(MATCH(INDEX(Dashboard!$F$6:$F$206,C186+1),$BS$7:$BS$35,0)),$BS$8,INDEX(Dashboard!$F$6:$F$206,C186+1))))</f>
        <v>-</v>
      </c>
      <c r="J186" s="111" t="str">
        <f ca="1">IF(D186="-","-",SUBSTITUTE(INDEX(Dashboard!$G$6:$G$206,C186+1)," ",""))</f>
        <v>-</v>
      </c>
      <c r="K186" s="111" t="str">
        <f ca="1">IF(D186="-","-",IF(LEN(INDEX(Dashboard!$H$6:$H$206,C186+1))=0,"",INDEX(Dashboard!$H$6:$H$206,C186+1)))</f>
        <v>-</v>
      </c>
      <c r="M186" s="172" t="str">
        <f t="shared" ca="1" si="1349"/>
        <v>-</v>
      </c>
      <c r="N186" s="172" t="str">
        <f t="shared" ca="1" si="1349"/>
        <v>-</v>
      </c>
      <c r="O186" s="172" t="str">
        <f t="shared" ca="1" si="1349"/>
        <v>-</v>
      </c>
      <c r="P186" s="173" t="str">
        <f t="shared" ca="1" si="1350"/>
        <v>-</v>
      </c>
      <c r="Q186" s="172" t="str">
        <f t="shared" ca="1" si="1350"/>
        <v>-</v>
      </c>
      <c r="R186" s="172" t="str">
        <f t="shared" ca="1" si="1350"/>
        <v>-</v>
      </c>
      <c r="S186" s="174" t="str">
        <f t="array" aca="1" ref="S186" ca="1">IF($D186="-","-",SUM(IF(LEN(M186:O186)&gt;0,1,0)))</f>
        <v>-</v>
      </c>
      <c r="T186" s="175" t="str">
        <f t="array" aca="1" ref="T186" ca="1">IF(D186="-","-",SUM(IF(ISERROR(SEARCH(E186,$G$7:$G$206)),0,1)))</f>
        <v>-</v>
      </c>
      <c r="V186" s="204"/>
      <c r="W186" s="127"/>
      <c r="X186" s="177" t="str">
        <f t="shared" si="1097"/>
        <v>-</v>
      </c>
      <c r="Y186" s="178"/>
      <c r="Z186" s="127"/>
      <c r="AB186" s="179" t="str">
        <f t="shared" ca="1" si="1351"/>
        <v>-</v>
      </c>
      <c r="AC186" s="179" t="str">
        <f t="shared" ca="1" si="1351"/>
        <v>-</v>
      </c>
      <c r="AD186" s="179" t="str">
        <f t="shared" ca="1" si="1351"/>
        <v>-</v>
      </c>
      <c r="AJ186" s="181" t="str">
        <f t="shared" ca="1" si="1082"/>
        <v>-</v>
      </c>
      <c r="AK186" s="179" t="str">
        <f t="shared" ca="1" si="1083"/>
        <v>-</v>
      </c>
      <c r="AL186" s="179" t="str">
        <f t="shared" ca="1" si="1083"/>
        <v>-</v>
      </c>
      <c r="AM186" s="179" t="str">
        <f t="shared" ca="1" si="1083"/>
        <v>-</v>
      </c>
      <c r="AO186" s="182" t="str">
        <f t="shared" ca="1" si="1352"/>
        <v>-</v>
      </c>
      <c r="AP186" s="182" t="str">
        <f t="shared" ca="1" si="1352"/>
        <v>-</v>
      </c>
      <c r="AQ186" s="182" t="str">
        <f t="shared" ca="1" si="1352"/>
        <v>-</v>
      </c>
      <c r="AU186" s="185" t="str">
        <f t="shared" ref="AU186" ca="1" si="1506">IF($D186="-","-",IF(LEN(M186)=0,"", INDEX($AT$7:$AT$15,MATCH(IF($V186-INDEX(GridXRange,P186)&lt;0,"Negative",IF($V186-INDEX(GridXRange,P186)&gt;0,"Positive","Zero")) &amp; " - " &amp;IF($W186-INDEX(GridYRange,P186)&lt;0,"Negative",IF($W186-INDEX(GridYRange,P186)&gt;0,"Positive","Zero")),$AS$7:$AS$15,0))))</f>
        <v>-</v>
      </c>
      <c r="AV186" s="186" t="str">
        <f t="shared" ref="AV186" ca="1" si="1507">IF($D186="-","-",IF(LEN(N186)=0,"", INDEX($AT$7:$AT$15,MATCH(IF($V186-INDEX(GridXRange,Q186)&lt;0,"Negative",IF($V186-INDEX(GridXRange,Q186)&gt;0,"Positive","Zero")) &amp; " - " &amp;IF($W186-INDEX(GridYRange,Q186)&lt;0,"Negative",IF($W186-INDEX(GridYRange,Q186)&gt;0,"Positive","Zero")),$AS$7:$AS$15,0))))</f>
        <v>-</v>
      </c>
      <c r="AW186" s="186" t="str">
        <f t="shared" ref="AW186" ca="1" si="1508">IF($D186="-","-",IF(LEN(O186)=0,"", INDEX($AT$7:$AT$15,MATCH(IF($V186-INDEX(GridXRange,R186)&lt;0,"Negative",IF($V186-INDEX(GridXRange,R186)&gt;0,"Positive","Zero")) &amp; " - " &amp;IF($W186-INDEX(GridYRange,R186)&lt;0,"Negative",IF($W186-INDEX(GridYRange,R186)&gt;0,"Positive","Zero")),$AS$7:$AS$15,0))))</f>
        <v>-</v>
      </c>
      <c r="AX186" s="187"/>
      <c r="AY186" s="188"/>
      <c r="AZ186" s="188"/>
      <c r="BA186" s="184"/>
      <c r="BB186" s="187" t="str">
        <f t="shared" ca="1" si="1356"/>
        <v>-</v>
      </c>
      <c r="BC186" s="188" t="str">
        <f t="shared" ca="1" si="1356"/>
        <v>-</v>
      </c>
      <c r="BD186" s="188" t="str">
        <f t="shared" ca="1" si="1356"/>
        <v>-</v>
      </c>
      <c r="BE186" s="189" t="str">
        <f t="shared" ca="1" si="1356"/>
        <v>-</v>
      </c>
      <c r="BK186" s="192" t="str">
        <f t="shared" ref="BK186" ca="1" si="1509">IF($D186="-","-",$BK$5 + (V186-StartGridX) * (GapXDiff + $BW$7))</f>
        <v>-</v>
      </c>
      <c r="BL186" s="192" t="str">
        <f t="shared" ref="BL186" ca="1" si="1510">IF($D186="-","-",$BL$5 + (W186-StartGridY) * (GapYDiff + $BV$7))</f>
        <v>-</v>
      </c>
      <c r="BM186" s="192" t="str">
        <f t="shared" ca="1" si="1090"/>
        <v>-</v>
      </c>
      <c r="BN186" s="192" t="str">
        <f t="shared" ca="1" si="1091"/>
        <v>-</v>
      </c>
      <c r="BO186" s="192" t="str">
        <f t="shared" ca="1" si="1092"/>
        <v>-</v>
      </c>
      <c r="BP186" s="192" t="str">
        <f t="shared" ca="1" si="1093"/>
        <v>-</v>
      </c>
      <c r="BQ186" s="192" t="str">
        <f ca="1">IF($D186="-","-",IF(LEN(K186)=0,1,IFERROR(MATCH(K186,Dashboard!$L$25:$L$31,0),1)))</f>
        <v>-</v>
      </c>
      <c r="CC186" s="143" t="str">
        <f t="shared" ref="CC186" ca="1" si="1511">IF($D186="-","-",IF(COUNTIF(IDSourceRange,E186)&gt;1,1,0))</f>
        <v>-</v>
      </c>
      <c r="CD186" s="143" t="str">
        <f t="shared" ref="CD186" ca="1" si="1512">IF($D186="-","-",  IF(LEN(M186)=0,0,IF(ISERROR(MATCH(M186,IDSourceRange,0)),1,0)) + IF(LEN(N186)=0,0,IF(ISERROR(MATCH(N186,IDSourceRange,0)),1,0)) + IF(LEN(O186)=0,0,IF(ISERROR(MATCH(O186,IDSourceRange,0)),1,0)) )</f>
        <v>-</v>
      </c>
      <c r="CE186" s="143" t="str">
        <f t="shared" ca="1" si="1121"/>
        <v>-</v>
      </c>
      <c r="CF186" s="143" t="s">
        <v>128</v>
      </c>
      <c r="CG186" s="143" t="str">
        <f t="shared" ref="CG186" ca="1" si="1513">IF($D186="-","-",IF(X186="-",0,IF(COUNTIF(GridCombinedRange,X186)&gt;1,1,0)))</f>
        <v>-</v>
      </c>
      <c r="CH186" s="143"/>
      <c r="CI186" s="143"/>
      <c r="CJ186" s="143"/>
      <c r="CK186" s="143"/>
      <c r="CL186" s="143"/>
    </row>
    <row r="187" spans="3:90" x14ac:dyDescent="0.3">
      <c r="C187" s="170">
        <v>181</v>
      </c>
      <c r="D187" s="111" t="str">
        <f ca="1">IF(COUNTA(OFFSET(Dashboard!$B$6,C187,0,1,COUNTA(Dashboard!$B$6:$H$6)))&gt;0,"Yes","-")</f>
        <v>-</v>
      </c>
      <c r="E187" s="170" t="str">
        <f ca="1">IF(D187="-","-",IF(LEN(INDEX(Dashboard!B$6:B$206,$C187+1))=0,"x"&amp;C187&amp;"x","x"&amp;INDEX(Dashboard!B$6:B$206,$C187+1)&amp;"x"))</f>
        <v>-</v>
      </c>
      <c r="F187" s="171" t="str">
        <f ca="1">IF(D187="-","-",IF(LEN(INDEX(Dashboard!$C$6:$C$206,C187+1))=0," ",INDEX(Dashboard!$C$6:$C$206,C187+1)))</f>
        <v>-</v>
      </c>
      <c r="G187" s="219" t="str">
        <f ca="1">IF(OR(D187="-",D187=""),"-",IF(LEN(INDEX(Dashboard!$D$6:$D$228,C187+1))=0,"", "x"&amp;SUBSTITUTE(SUBSTITUTE(INDEX(Dashboard!$D$6:$D$228,C187+1)," ",""),",","x,x")&amp;"x"))</f>
        <v>-</v>
      </c>
      <c r="H187" s="111" t="str">
        <f ca="1">IF(D187="-","-",TRIM(INDEX(Dashboard!$E$6:$E$206,C187+1)))</f>
        <v>-</v>
      </c>
      <c r="I187" s="111" t="str">
        <f ca="1">IF(D187="-","-",IF(LEN(INDEX(Dashboard!$F$6:$F$206,C187+1))=0,$BS$8,IF(ISERROR(MATCH(INDEX(Dashboard!$F$6:$F$206,C187+1),$BS$7:$BS$35,0)),$BS$8,INDEX(Dashboard!$F$6:$F$206,C187+1))))</f>
        <v>-</v>
      </c>
      <c r="J187" s="111" t="str">
        <f ca="1">IF(D187="-","-",SUBSTITUTE(INDEX(Dashboard!$G$6:$G$206,C187+1)," ",""))</f>
        <v>-</v>
      </c>
      <c r="K187" s="111" t="str">
        <f ca="1">IF(D187="-","-",IF(LEN(INDEX(Dashboard!$H$6:$H$206,C187+1))=0,"",INDEX(Dashboard!$H$6:$H$206,C187+1)))</f>
        <v>-</v>
      </c>
      <c r="M187" s="172" t="str">
        <f t="shared" ref="M187:O206" ca="1" si="1514">IF($D187="-","-",TRIM(MID(SUBSTITUTE($G187,",",REPT(" ",LEN($G187))),(M$6-1)*LEN($G187)+1,LEN($G187))))</f>
        <v>-</v>
      </c>
      <c r="N187" s="172" t="str">
        <f t="shared" ca="1" si="1514"/>
        <v>-</v>
      </c>
      <c r="O187" s="172" t="str">
        <f t="shared" ca="1" si="1514"/>
        <v>-</v>
      </c>
      <c r="P187" s="173" t="str">
        <f t="shared" ca="1" si="1350"/>
        <v>-</v>
      </c>
      <c r="Q187" s="172" t="str">
        <f t="shared" ca="1" si="1350"/>
        <v>-</v>
      </c>
      <c r="R187" s="172" t="str">
        <f t="shared" ca="1" si="1350"/>
        <v>-</v>
      </c>
      <c r="S187" s="174" t="str">
        <f t="array" aca="1" ref="S187" ca="1">IF($D187="-","-",SUM(IF(LEN(M187:O187)&gt;0,1,0)))</f>
        <v>-</v>
      </c>
      <c r="T187" s="175" t="str">
        <f t="array" aca="1" ref="T187" ca="1">IF(D187="-","-",SUM(IF(ISERROR(SEARCH(E187,$G$7:$G$206)),0,1)))</f>
        <v>-</v>
      </c>
      <c r="V187" s="204"/>
      <c r="W187" s="127"/>
      <c r="X187" s="177" t="str">
        <f t="shared" si="1097"/>
        <v>-</v>
      </c>
      <c r="Y187" s="178"/>
      <c r="Z187" s="127"/>
      <c r="AB187" s="179" t="str">
        <f t="shared" ca="1" si="1351"/>
        <v>-</v>
      </c>
      <c r="AC187" s="179" t="str">
        <f t="shared" ca="1" si="1351"/>
        <v>-</v>
      </c>
      <c r="AD187" s="179" t="str">
        <f t="shared" ca="1" si="1351"/>
        <v>-</v>
      </c>
      <c r="AJ187" s="181" t="str">
        <f t="shared" ca="1" si="1082"/>
        <v>-</v>
      </c>
      <c r="AK187" s="179" t="str">
        <f t="shared" ca="1" si="1083"/>
        <v>-</v>
      </c>
      <c r="AL187" s="179" t="str">
        <f t="shared" ca="1" si="1083"/>
        <v>-</v>
      </c>
      <c r="AM187" s="179" t="str">
        <f t="shared" ca="1" si="1083"/>
        <v>-</v>
      </c>
      <c r="AO187" s="182" t="str">
        <f t="shared" ca="1" si="1352"/>
        <v>-</v>
      </c>
      <c r="AP187" s="182" t="str">
        <f t="shared" ca="1" si="1352"/>
        <v>-</v>
      </c>
      <c r="AQ187" s="182" t="str">
        <f t="shared" ca="1" si="1352"/>
        <v>-</v>
      </c>
      <c r="AU187" s="185" t="str">
        <f t="shared" ref="AU187" ca="1" si="1515">IF($D187="-","-",IF(LEN(M187)=0,"", INDEX($AT$7:$AT$15,MATCH(IF($V187-INDEX(GridXRange,P187)&lt;0,"Negative",IF($V187-INDEX(GridXRange,P187)&gt;0,"Positive","Zero")) &amp; " - " &amp;IF($W187-INDEX(GridYRange,P187)&lt;0,"Negative",IF($W187-INDEX(GridYRange,P187)&gt;0,"Positive","Zero")),$AS$7:$AS$15,0))))</f>
        <v>-</v>
      </c>
      <c r="AV187" s="186" t="str">
        <f t="shared" ref="AV187" ca="1" si="1516">IF($D187="-","-",IF(LEN(N187)=0,"", INDEX($AT$7:$AT$15,MATCH(IF($V187-INDEX(GridXRange,Q187)&lt;0,"Negative",IF($V187-INDEX(GridXRange,Q187)&gt;0,"Positive","Zero")) &amp; " - " &amp;IF($W187-INDEX(GridYRange,Q187)&lt;0,"Negative",IF($W187-INDEX(GridYRange,Q187)&gt;0,"Positive","Zero")),$AS$7:$AS$15,0))))</f>
        <v>-</v>
      </c>
      <c r="AW187" s="186" t="str">
        <f t="shared" ref="AW187" ca="1" si="1517">IF($D187="-","-",IF(LEN(O187)=0,"", INDEX($AT$7:$AT$15,MATCH(IF($V187-INDEX(GridXRange,R187)&lt;0,"Negative",IF($V187-INDEX(GridXRange,R187)&gt;0,"Positive","Zero")) &amp; " - " &amp;IF($W187-INDEX(GridYRange,R187)&lt;0,"Negative",IF($W187-INDEX(GridYRange,R187)&gt;0,"Positive","Zero")),$AS$7:$AS$15,0))))</f>
        <v>-</v>
      </c>
      <c r="AX187" s="187"/>
      <c r="AY187" s="188"/>
      <c r="AZ187" s="188"/>
      <c r="BA187" s="184"/>
      <c r="BB187" s="187" t="str">
        <f t="shared" ref="BB187:BE206" ca="1" si="1518">IF($D187="-","-",INDEX($BX$7:$CA$35,MATCH($I187,$BS$7:$BS$35,0),BB$6))</f>
        <v>-</v>
      </c>
      <c r="BC187" s="188" t="str">
        <f t="shared" ca="1" si="1518"/>
        <v>-</v>
      </c>
      <c r="BD187" s="188" t="str">
        <f t="shared" ca="1" si="1518"/>
        <v>-</v>
      </c>
      <c r="BE187" s="189" t="str">
        <f t="shared" ca="1" si="1518"/>
        <v>-</v>
      </c>
      <c r="BK187" s="192" t="str">
        <f t="shared" ref="BK187" ca="1" si="1519">IF($D187="-","-",$BK$5 + (V187-StartGridX) * (GapXDiff + $BW$7))</f>
        <v>-</v>
      </c>
      <c r="BL187" s="192" t="str">
        <f t="shared" ref="BL187" ca="1" si="1520">IF($D187="-","-",$BL$5 + (W187-StartGridY) * (GapYDiff + $BV$7))</f>
        <v>-</v>
      </c>
      <c r="BM187" s="192" t="str">
        <f t="shared" ca="1" si="1090"/>
        <v>-</v>
      </c>
      <c r="BN187" s="192" t="str">
        <f t="shared" ca="1" si="1091"/>
        <v>-</v>
      </c>
      <c r="BO187" s="192" t="str">
        <f t="shared" ca="1" si="1092"/>
        <v>-</v>
      </c>
      <c r="BP187" s="192" t="str">
        <f t="shared" ca="1" si="1093"/>
        <v>-</v>
      </c>
      <c r="BQ187" s="192" t="str">
        <f ca="1">IF($D187="-","-",IF(LEN(K187)=0,1,IFERROR(MATCH(K187,Dashboard!$L$25:$L$31,0),1)))</f>
        <v>-</v>
      </c>
      <c r="CC187" s="143" t="str">
        <f t="shared" ref="CC187" ca="1" si="1521">IF($D187="-","-",IF(COUNTIF(IDSourceRange,E187)&gt;1,1,0))</f>
        <v>-</v>
      </c>
      <c r="CD187" s="143" t="str">
        <f t="shared" ref="CD187" ca="1" si="1522">IF($D187="-","-",  IF(LEN(M187)=0,0,IF(ISERROR(MATCH(M187,IDSourceRange,0)),1,0)) + IF(LEN(N187)=0,0,IF(ISERROR(MATCH(N187,IDSourceRange,0)),1,0)) + IF(LEN(O187)=0,0,IF(ISERROR(MATCH(O187,IDSourceRange,0)),1,0)) )</f>
        <v>-</v>
      </c>
      <c r="CE187" s="143" t="str">
        <f t="shared" ca="1" si="1121"/>
        <v>-</v>
      </c>
      <c r="CF187" s="143" t="s">
        <v>128</v>
      </c>
      <c r="CG187" s="143" t="str">
        <f t="shared" ref="CG187" ca="1" si="1523">IF($D187="-","-",IF(X187="-",0,IF(COUNTIF(GridCombinedRange,X187)&gt;1,1,0)))</f>
        <v>-</v>
      </c>
      <c r="CH187" s="143"/>
      <c r="CI187" s="143"/>
      <c r="CJ187" s="143"/>
      <c r="CK187" s="143"/>
      <c r="CL187" s="143"/>
    </row>
    <row r="188" spans="3:90" x14ac:dyDescent="0.3">
      <c r="C188" s="170">
        <v>182</v>
      </c>
      <c r="D188" s="111" t="str">
        <f ca="1">IF(COUNTA(OFFSET(Dashboard!$B$6,C188,0,1,COUNTA(Dashboard!$B$6:$H$6)))&gt;0,"Yes","-")</f>
        <v>-</v>
      </c>
      <c r="E188" s="170" t="str">
        <f ca="1">IF(D188="-","-",IF(LEN(INDEX(Dashboard!B$6:B$206,$C188+1))=0,"x"&amp;C188&amp;"x","x"&amp;INDEX(Dashboard!B$6:B$206,$C188+1)&amp;"x"))</f>
        <v>-</v>
      </c>
      <c r="F188" s="171" t="str">
        <f ca="1">IF(D188="-","-",IF(LEN(INDEX(Dashboard!$C$6:$C$206,C188+1))=0," ",INDEX(Dashboard!$C$6:$C$206,C188+1)))</f>
        <v>-</v>
      </c>
      <c r="G188" s="219" t="str">
        <f ca="1">IF(OR(D188="-",D188=""),"-",IF(LEN(INDEX(Dashboard!$D$6:$D$228,C188+1))=0,"", "x"&amp;SUBSTITUTE(SUBSTITUTE(INDEX(Dashboard!$D$6:$D$228,C188+1)," ",""),",","x,x")&amp;"x"))</f>
        <v>-</v>
      </c>
      <c r="H188" s="111" t="str">
        <f ca="1">IF(D188="-","-",TRIM(INDEX(Dashboard!$E$6:$E$206,C188+1)))</f>
        <v>-</v>
      </c>
      <c r="I188" s="111" t="str">
        <f ca="1">IF(D188="-","-",IF(LEN(INDEX(Dashboard!$F$6:$F$206,C188+1))=0,$BS$8,IF(ISERROR(MATCH(INDEX(Dashboard!$F$6:$F$206,C188+1),$BS$7:$BS$35,0)),$BS$8,INDEX(Dashboard!$F$6:$F$206,C188+1))))</f>
        <v>-</v>
      </c>
      <c r="J188" s="111" t="str">
        <f ca="1">IF(D188="-","-",SUBSTITUTE(INDEX(Dashboard!$G$6:$G$206,C188+1)," ",""))</f>
        <v>-</v>
      </c>
      <c r="K188" s="219" t="str">
        <f ca="1">IF(D188="-","-",IF(LEN(INDEX(Dashboard!$H$6:$H$228,C188+1))=0,"",INDEX(Dashboard!$H$6:$H$228,C188+1)))</f>
        <v>-</v>
      </c>
      <c r="M188" s="172" t="str">
        <f t="shared" ca="1" si="1514"/>
        <v>-</v>
      </c>
      <c r="N188" s="172" t="str">
        <f t="shared" ca="1" si="1514"/>
        <v>-</v>
      </c>
      <c r="O188" s="172" t="str">
        <f t="shared" ca="1" si="1514"/>
        <v>-</v>
      </c>
      <c r="P188" s="173" t="str">
        <f t="shared" ca="1" si="1350"/>
        <v>-</v>
      </c>
      <c r="Q188" s="172" t="str">
        <f t="shared" ca="1" si="1350"/>
        <v>-</v>
      </c>
      <c r="R188" s="172" t="str">
        <f t="shared" ca="1" si="1350"/>
        <v>-</v>
      </c>
      <c r="S188" s="174" t="str">
        <f t="array" aca="1" ref="S188" ca="1">IF($D188="-","-",SUM(IF(LEN(M188:O188)&gt;0,1,0)))</f>
        <v>-</v>
      </c>
      <c r="T188" s="175" t="str">
        <f t="array" aca="1" ref="T188" ca="1">IF(D188="-","-",SUM(IF(ISERROR(SEARCH(E188,$G$7:$G$206)),0,1)))</f>
        <v>-</v>
      </c>
      <c r="V188" s="204"/>
      <c r="W188" s="127"/>
      <c r="X188" s="177" t="str">
        <f t="shared" si="1097"/>
        <v>-</v>
      </c>
      <c r="Y188" s="178"/>
      <c r="Z188" s="127"/>
      <c r="AB188" s="179" t="str">
        <f t="shared" ca="1" si="1351"/>
        <v>-</v>
      </c>
      <c r="AC188" s="179" t="str">
        <f t="shared" ca="1" si="1351"/>
        <v>-</v>
      </c>
      <c r="AD188" s="179" t="str">
        <f t="shared" ca="1" si="1351"/>
        <v>-</v>
      </c>
      <c r="AJ188" s="181" t="str">
        <f t="shared" ca="1" si="1082"/>
        <v>-</v>
      </c>
      <c r="AK188" s="179" t="str">
        <f t="shared" ca="1" si="1083"/>
        <v>-</v>
      </c>
      <c r="AL188" s="179" t="str">
        <f t="shared" ca="1" si="1083"/>
        <v>-</v>
      </c>
      <c r="AM188" s="179" t="str">
        <f t="shared" ca="1" si="1083"/>
        <v>-</v>
      </c>
      <c r="AO188" s="182" t="str">
        <f t="shared" ca="1" si="1352"/>
        <v>-</v>
      </c>
      <c r="AP188" s="182" t="str">
        <f t="shared" ca="1" si="1352"/>
        <v>-</v>
      </c>
      <c r="AQ188" s="182" t="str">
        <f t="shared" ca="1" si="1352"/>
        <v>-</v>
      </c>
      <c r="AU188" s="185" t="str">
        <f t="shared" ref="AU188" ca="1" si="1524">IF($D188="-","-",IF(LEN(M188)=0,"", INDEX($AT$7:$AT$15,MATCH(IF($V188-INDEX(GridXRange,P188)&lt;0,"Negative",IF($V188-INDEX(GridXRange,P188)&gt;0,"Positive","Zero")) &amp; " - " &amp;IF($W188-INDEX(GridYRange,P188)&lt;0,"Negative",IF($W188-INDEX(GridYRange,P188)&gt;0,"Positive","Zero")),$AS$7:$AS$15,0))))</f>
        <v>-</v>
      </c>
      <c r="AV188" s="186" t="str">
        <f t="shared" ref="AV188" ca="1" si="1525">IF($D188="-","-",IF(LEN(N188)=0,"", INDEX($AT$7:$AT$15,MATCH(IF($V188-INDEX(GridXRange,Q188)&lt;0,"Negative",IF($V188-INDEX(GridXRange,Q188)&gt;0,"Positive","Zero")) &amp; " - " &amp;IF($W188-INDEX(GridYRange,Q188)&lt;0,"Negative",IF($W188-INDEX(GridYRange,Q188)&gt;0,"Positive","Zero")),$AS$7:$AS$15,0))))</f>
        <v>-</v>
      </c>
      <c r="AW188" s="186" t="str">
        <f t="shared" ref="AW188" ca="1" si="1526">IF($D188="-","-",IF(LEN(O188)=0,"", INDEX($AT$7:$AT$15,MATCH(IF($V188-INDEX(GridXRange,R188)&lt;0,"Negative",IF($V188-INDEX(GridXRange,R188)&gt;0,"Positive","Zero")) &amp; " - " &amp;IF($W188-INDEX(GridYRange,R188)&lt;0,"Negative",IF($W188-INDEX(GridYRange,R188)&gt;0,"Positive","Zero")),$AS$7:$AS$15,0))))</f>
        <v>-</v>
      </c>
      <c r="AX188" s="187"/>
      <c r="AY188" s="188"/>
      <c r="AZ188" s="188"/>
      <c r="BA188" s="184"/>
      <c r="BB188" s="187" t="str">
        <f t="shared" ca="1" si="1518"/>
        <v>-</v>
      </c>
      <c r="BC188" s="188" t="str">
        <f t="shared" ca="1" si="1518"/>
        <v>-</v>
      </c>
      <c r="BD188" s="188" t="str">
        <f t="shared" ca="1" si="1518"/>
        <v>-</v>
      </c>
      <c r="BE188" s="189" t="str">
        <f t="shared" ca="1" si="1518"/>
        <v>-</v>
      </c>
      <c r="BK188" s="192" t="str">
        <f t="shared" ref="BK188" ca="1" si="1527">IF($D188="-","-",$BK$5 + (V188-StartGridX) * (GapXDiff + $BW$7))</f>
        <v>-</v>
      </c>
      <c r="BL188" s="192" t="str">
        <f t="shared" ref="BL188" ca="1" si="1528">IF($D188="-","-",$BL$5 + (W188-StartGridY) * (GapYDiff + $BV$7))</f>
        <v>-</v>
      </c>
      <c r="BM188" s="192" t="str">
        <f t="shared" ca="1" si="1090"/>
        <v>-</v>
      </c>
      <c r="BN188" s="192" t="str">
        <f t="shared" ca="1" si="1091"/>
        <v>-</v>
      </c>
      <c r="BO188" s="192" t="str">
        <f t="shared" ca="1" si="1092"/>
        <v>-</v>
      </c>
      <c r="BP188" s="192" t="str">
        <f t="shared" ca="1" si="1093"/>
        <v>-</v>
      </c>
      <c r="BQ188" s="192" t="str">
        <f ca="1">IF($D188="-","-",IF(LEN(K188)=0,1,IFERROR(MATCH(K188,Dashboard!$L$25:$L$31,0),1)))</f>
        <v>-</v>
      </c>
      <c r="CC188" s="143" t="str">
        <f t="shared" ref="CC188" ca="1" si="1529">IF($D188="-","-",IF(COUNTIF(IDSourceRange,E188)&gt;1,1,0))</f>
        <v>-</v>
      </c>
      <c r="CD188" s="143" t="str">
        <f t="shared" ref="CD188" ca="1" si="1530">IF($D188="-","-",  IF(LEN(M188)=0,0,IF(ISERROR(MATCH(M188,IDSourceRange,0)),1,0)) + IF(LEN(N188)=0,0,IF(ISERROR(MATCH(N188,IDSourceRange,0)),1,0)) + IF(LEN(O188)=0,0,IF(ISERROR(MATCH(O188,IDSourceRange,0)),1,0)) )</f>
        <v>-</v>
      </c>
      <c r="CE188" s="143" t="str">
        <f t="shared" ca="1" si="1121"/>
        <v>-</v>
      </c>
      <c r="CF188" s="143" t="s">
        <v>128</v>
      </c>
      <c r="CG188" s="143" t="str">
        <f t="shared" ref="CG188" ca="1" si="1531">IF($D188="-","-",IF(X188="-",0,IF(COUNTIF(GridCombinedRange,X188)&gt;1,1,0)))</f>
        <v>-</v>
      </c>
      <c r="CH188" s="143"/>
      <c r="CI188" s="143"/>
      <c r="CJ188" s="143"/>
      <c r="CK188" s="143"/>
      <c r="CL188" s="143"/>
    </row>
    <row r="189" spans="3:90" x14ac:dyDescent="0.3">
      <c r="C189" s="170">
        <v>183</v>
      </c>
      <c r="D189" s="111" t="str">
        <f ca="1">IF(COUNTA(OFFSET(Dashboard!$B$6,C189,0,1,COUNTA(Dashboard!$B$6:$H$6)))&gt;0,"Yes","-")</f>
        <v>-</v>
      </c>
      <c r="E189" s="170" t="str">
        <f ca="1">IF(D189="-","-",IF(LEN(INDEX(Dashboard!B$6:B$206,$C189+1))=0,"x"&amp;C189&amp;"x","x"&amp;INDEX(Dashboard!B$6:B$206,$C189+1)&amp;"x"))</f>
        <v>-</v>
      </c>
      <c r="F189" s="171" t="str">
        <f ca="1">IF(D189="-","-",IF(LEN(INDEX(Dashboard!$C$6:$C$206,C189+1))=0," ",INDEX(Dashboard!$C$6:$C$206,C189+1)))</f>
        <v>-</v>
      </c>
      <c r="G189" s="219" t="str">
        <f ca="1">IF(OR(D189="-",D189=""),"-",IF(LEN(INDEX(Dashboard!$D$6:$D$228,C189+1))=0,"", "x"&amp;SUBSTITUTE(SUBSTITUTE(INDEX(Dashboard!$D$6:$D$228,C189+1)," ",""),",","x,x")&amp;"x"))</f>
        <v>-</v>
      </c>
      <c r="H189" s="111" t="str">
        <f ca="1">IF(D189="-","-",TRIM(INDEX(Dashboard!$E$6:$E$206,C189+1)))</f>
        <v>-</v>
      </c>
      <c r="I189" s="111" t="str">
        <f ca="1">IF(D189="-","-",IF(LEN(INDEX(Dashboard!$F$6:$F$206,C189+1))=0,$BS$8,IF(ISERROR(MATCH(INDEX(Dashboard!$F$6:$F$206,C189+1),$BS$7:$BS$35,0)),$BS$8,INDEX(Dashboard!$F$6:$F$206,C189+1))))</f>
        <v>-</v>
      </c>
      <c r="J189" s="111" t="str">
        <f ca="1">IF(D189="-","-",SUBSTITUTE(INDEX(Dashboard!$G$6:$G$206,C189+1)," ",""))</f>
        <v>-</v>
      </c>
      <c r="K189" s="111" t="str">
        <f ca="1">IF(D189="-","-",IF(LEN(INDEX(Dashboard!$H$6:$H$206,C189+1))=0,"",INDEX(Dashboard!$H$6:$H$206,C189+1)))</f>
        <v>-</v>
      </c>
      <c r="M189" s="172" t="str">
        <f t="shared" ca="1" si="1514"/>
        <v>-</v>
      </c>
      <c r="N189" s="172" t="str">
        <f t="shared" ca="1" si="1514"/>
        <v>-</v>
      </c>
      <c r="O189" s="172" t="str">
        <f t="shared" ca="1" si="1514"/>
        <v>-</v>
      </c>
      <c r="P189" s="173" t="str">
        <f t="shared" ca="1" si="1350"/>
        <v>-</v>
      </c>
      <c r="Q189" s="172" t="str">
        <f t="shared" ca="1" si="1350"/>
        <v>-</v>
      </c>
      <c r="R189" s="172" t="str">
        <f t="shared" ca="1" si="1350"/>
        <v>-</v>
      </c>
      <c r="S189" s="174" t="str">
        <f t="array" aca="1" ref="S189" ca="1">IF($D189="-","-",SUM(IF(LEN(M189:O189)&gt;0,1,0)))</f>
        <v>-</v>
      </c>
      <c r="T189" s="175" t="str">
        <f t="array" aca="1" ref="T189" ca="1">IF(D189="-","-",SUM(IF(ISERROR(SEARCH(E189,$G$7:$G$206)),0,1)))</f>
        <v>-</v>
      </c>
      <c r="V189" s="204"/>
      <c r="W189" s="127"/>
      <c r="X189" s="177" t="str">
        <f t="shared" si="1097"/>
        <v>-</v>
      </c>
      <c r="Y189" s="178"/>
      <c r="Z189" s="127"/>
      <c r="AB189" s="179" t="str">
        <f t="shared" ca="1" si="1351"/>
        <v>-</v>
      </c>
      <c r="AC189" s="179" t="str">
        <f t="shared" ca="1" si="1351"/>
        <v>-</v>
      </c>
      <c r="AD189" s="179" t="str">
        <f t="shared" ca="1" si="1351"/>
        <v>-</v>
      </c>
      <c r="AJ189" s="181" t="str">
        <f t="shared" ca="1" si="1082"/>
        <v>-</v>
      </c>
      <c r="AK189" s="179" t="str">
        <f t="shared" ca="1" si="1083"/>
        <v>-</v>
      </c>
      <c r="AL189" s="179" t="str">
        <f t="shared" ca="1" si="1083"/>
        <v>-</v>
      </c>
      <c r="AM189" s="179" t="str">
        <f t="shared" ca="1" si="1083"/>
        <v>-</v>
      </c>
      <c r="AO189" s="182" t="str">
        <f t="shared" ca="1" si="1352"/>
        <v>-</v>
      </c>
      <c r="AP189" s="182" t="str">
        <f t="shared" ca="1" si="1352"/>
        <v>-</v>
      </c>
      <c r="AQ189" s="182" t="str">
        <f t="shared" ca="1" si="1352"/>
        <v>-</v>
      </c>
      <c r="AU189" s="185" t="str">
        <f t="shared" ref="AU189" ca="1" si="1532">IF($D189="-","-",IF(LEN(M189)=0,"", INDEX($AT$7:$AT$15,MATCH(IF($V189-INDEX(GridXRange,P189)&lt;0,"Negative",IF($V189-INDEX(GridXRange,P189)&gt;0,"Positive","Zero")) &amp; " - " &amp;IF($W189-INDEX(GridYRange,P189)&lt;0,"Negative",IF($W189-INDEX(GridYRange,P189)&gt;0,"Positive","Zero")),$AS$7:$AS$15,0))))</f>
        <v>-</v>
      </c>
      <c r="AV189" s="186" t="str">
        <f t="shared" ref="AV189" ca="1" si="1533">IF($D189="-","-",IF(LEN(N189)=0,"", INDEX($AT$7:$AT$15,MATCH(IF($V189-INDEX(GridXRange,Q189)&lt;0,"Negative",IF($V189-INDEX(GridXRange,Q189)&gt;0,"Positive","Zero")) &amp; " - " &amp;IF($W189-INDEX(GridYRange,Q189)&lt;0,"Negative",IF($W189-INDEX(GridYRange,Q189)&gt;0,"Positive","Zero")),$AS$7:$AS$15,0))))</f>
        <v>-</v>
      </c>
      <c r="AW189" s="186" t="str">
        <f t="shared" ref="AW189" ca="1" si="1534">IF($D189="-","-",IF(LEN(O189)=0,"", INDEX($AT$7:$AT$15,MATCH(IF($V189-INDEX(GridXRange,R189)&lt;0,"Negative",IF($V189-INDEX(GridXRange,R189)&gt;0,"Positive","Zero")) &amp; " - " &amp;IF($W189-INDEX(GridYRange,R189)&lt;0,"Negative",IF($W189-INDEX(GridYRange,R189)&gt;0,"Positive","Zero")),$AS$7:$AS$15,0))))</f>
        <v>-</v>
      </c>
      <c r="AX189" s="187"/>
      <c r="AY189" s="188"/>
      <c r="AZ189" s="188"/>
      <c r="BA189" s="184"/>
      <c r="BB189" s="187" t="str">
        <f t="shared" ca="1" si="1518"/>
        <v>-</v>
      </c>
      <c r="BC189" s="188" t="str">
        <f t="shared" ca="1" si="1518"/>
        <v>-</v>
      </c>
      <c r="BD189" s="188" t="str">
        <f t="shared" ca="1" si="1518"/>
        <v>-</v>
      </c>
      <c r="BE189" s="189" t="str">
        <f t="shared" ca="1" si="1518"/>
        <v>-</v>
      </c>
      <c r="BK189" s="192" t="str">
        <f t="shared" ref="BK189" ca="1" si="1535">IF($D189="-","-",$BK$5 + (V189-StartGridX) * (GapXDiff + $BW$7))</f>
        <v>-</v>
      </c>
      <c r="BL189" s="192" t="str">
        <f t="shared" ref="BL189" ca="1" si="1536">IF($D189="-","-",$BL$5 + (W189-StartGridY) * (GapYDiff + $BV$7))</f>
        <v>-</v>
      </c>
      <c r="BM189" s="192" t="str">
        <f t="shared" ca="1" si="1090"/>
        <v>-</v>
      </c>
      <c r="BN189" s="192" t="str">
        <f t="shared" ca="1" si="1091"/>
        <v>-</v>
      </c>
      <c r="BO189" s="192" t="str">
        <f t="shared" ca="1" si="1092"/>
        <v>-</v>
      </c>
      <c r="BP189" s="192" t="str">
        <f t="shared" ca="1" si="1093"/>
        <v>-</v>
      </c>
      <c r="BQ189" s="192" t="str">
        <f ca="1">IF($D189="-","-",IF(LEN(K189)=0,1,IFERROR(MATCH(K189,Dashboard!$L$25:$L$31,0),1)))</f>
        <v>-</v>
      </c>
      <c r="CC189" s="143" t="str">
        <f t="shared" ref="CC189" ca="1" si="1537">IF($D189="-","-",IF(COUNTIF(IDSourceRange,E189)&gt;1,1,0))</f>
        <v>-</v>
      </c>
      <c r="CD189" s="143" t="str">
        <f t="shared" ref="CD189" ca="1" si="1538">IF($D189="-","-",  IF(LEN(M189)=0,0,IF(ISERROR(MATCH(M189,IDSourceRange,0)),1,0)) + IF(LEN(N189)=0,0,IF(ISERROR(MATCH(N189,IDSourceRange,0)),1,0)) + IF(LEN(O189)=0,0,IF(ISERROR(MATCH(O189,IDSourceRange,0)),1,0)) )</f>
        <v>-</v>
      </c>
      <c r="CE189" s="143" t="str">
        <f t="shared" ca="1" si="1121"/>
        <v>-</v>
      </c>
      <c r="CF189" s="143" t="s">
        <v>128</v>
      </c>
      <c r="CG189" s="143" t="str">
        <f t="shared" ref="CG189" ca="1" si="1539">IF($D189="-","-",IF(X189="-",0,IF(COUNTIF(GridCombinedRange,X189)&gt;1,1,0)))</f>
        <v>-</v>
      </c>
      <c r="CH189" s="143"/>
      <c r="CI189" s="143"/>
      <c r="CJ189" s="143"/>
      <c r="CK189" s="143"/>
      <c r="CL189" s="143"/>
    </row>
    <row r="190" spans="3:90" x14ac:dyDescent="0.3">
      <c r="C190" s="170">
        <v>184</v>
      </c>
      <c r="D190" s="111" t="str">
        <f ca="1">IF(COUNTA(OFFSET(Dashboard!$B$6,C190,0,1,COUNTA(Dashboard!$B$6:$H$6)))&gt;0,"Yes","-")</f>
        <v>-</v>
      </c>
      <c r="E190" s="170" t="str">
        <f ca="1">IF(D190="-","-",IF(LEN(INDEX(Dashboard!B$6:B$206,$C190+1))=0,"x"&amp;C190&amp;"x","x"&amp;INDEX(Dashboard!B$6:B$206,$C190+1)&amp;"x"))</f>
        <v>-</v>
      </c>
      <c r="F190" s="171" t="str">
        <f ca="1">IF(D190="-","-",IF(LEN(INDEX(Dashboard!$C$6:$C$206,C190+1))=0," ",INDEX(Dashboard!$C$6:$C$206,C190+1)))</f>
        <v>-</v>
      </c>
      <c r="G190" s="219" t="str">
        <f ca="1">IF(OR(D190="-",D190=""),"-",IF(LEN(INDEX(Dashboard!$D$6:$D$228,C190+1))=0,"", "x"&amp;SUBSTITUTE(SUBSTITUTE(INDEX(Dashboard!$D$6:$D$228,C190+1)," ",""),",","x,x")&amp;"x"))</f>
        <v>-</v>
      </c>
      <c r="H190" s="111" t="str">
        <f ca="1">IF(D190="-","-",TRIM(INDEX(Dashboard!$E$6:$E$206,C190+1)))</f>
        <v>-</v>
      </c>
      <c r="I190" s="111" t="str">
        <f ca="1">IF(D190="-","-",IF(LEN(INDEX(Dashboard!$F$6:$F$206,C190+1))=0,$BS$8,IF(ISERROR(MATCH(INDEX(Dashboard!$F$6:$F$206,C190+1),$BS$7:$BS$35,0)),$BS$8,INDEX(Dashboard!$F$6:$F$206,C190+1))))</f>
        <v>-</v>
      </c>
      <c r="J190" s="111" t="str">
        <f ca="1">IF(D190="-","-",SUBSTITUTE(INDEX(Dashboard!$G$6:$G$206,C190+1)," ",""))</f>
        <v>-</v>
      </c>
      <c r="K190" s="111" t="str">
        <f ca="1">IF(D190="-","-",IF(LEN(INDEX(Dashboard!$H$6:$H$206,C190+1))=0,"",INDEX(Dashboard!$H$6:$H$206,C190+1)))</f>
        <v>-</v>
      </c>
      <c r="M190" s="172" t="str">
        <f t="shared" ca="1" si="1514"/>
        <v>-</v>
      </c>
      <c r="N190" s="172" t="str">
        <f t="shared" ca="1" si="1514"/>
        <v>-</v>
      </c>
      <c r="O190" s="172" t="str">
        <f t="shared" ca="1" si="1514"/>
        <v>-</v>
      </c>
      <c r="P190" s="173" t="str">
        <f t="shared" ca="1" si="1350"/>
        <v>-</v>
      </c>
      <c r="Q190" s="172" t="str">
        <f t="shared" ca="1" si="1350"/>
        <v>-</v>
      </c>
      <c r="R190" s="172" t="str">
        <f t="shared" ca="1" si="1350"/>
        <v>-</v>
      </c>
      <c r="S190" s="174" t="str">
        <f t="array" aca="1" ref="S190" ca="1">IF($D190="-","-",SUM(IF(LEN(M190:O190)&gt;0,1,0)))</f>
        <v>-</v>
      </c>
      <c r="T190" s="175" t="str">
        <f t="array" aca="1" ref="T190" ca="1">IF(D190="-","-",SUM(IF(ISERROR(SEARCH(E190,$G$7:$G$206)),0,1)))</f>
        <v>-</v>
      </c>
      <c r="V190" s="204"/>
      <c r="W190" s="127"/>
      <c r="X190" s="177" t="str">
        <f t="shared" si="1097"/>
        <v>-</v>
      </c>
      <c r="Y190" s="178"/>
      <c r="Z190" s="127"/>
      <c r="AB190" s="179" t="str">
        <f t="shared" ca="1" si="1351"/>
        <v>-</v>
      </c>
      <c r="AC190" s="179" t="str">
        <f t="shared" ca="1" si="1351"/>
        <v>-</v>
      </c>
      <c r="AD190" s="179" t="str">
        <f t="shared" ca="1" si="1351"/>
        <v>-</v>
      </c>
      <c r="AJ190" s="181" t="str">
        <f t="shared" ca="1" si="1082"/>
        <v>-</v>
      </c>
      <c r="AK190" s="179" t="str">
        <f t="shared" ca="1" si="1083"/>
        <v>-</v>
      </c>
      <c r="AL190" s="179" t="str">
        <f t="shared" ca="1" si="1083"/>
        <v>-</v>
      </c>
      <c r="AM190" s="179" t="str">
        <f t="shared" ca="1" si="1083"/>
        <v>-</v>
      </c>
      <c r="AO190" s="182" t="str">
        <f t="shared" ca="1" si="1352"/>
        <v>-</v>
      </c>
      <c r="AP190" s="182" t="str">
        <f t="shared" ca="1" si="1352"/>
        <v>-</v>
      </c>
      <c r="AQ190" s="182" t="str">
        <f t="shared" ca="1" si="1352"/>
        <v>-</v>
      </c>
      <c r="AU190" s="185" t="str">
        <f t="shared" ref="AU190" ca="1" si="1540">IF($D190="-","-",IF(LEN(M190)=0,"", INDEX($AT$7:$AT$15,MATCH(IF($V190-INDEX(GridXRange,P190)&lt;0,"Negative",IF($V190-INDEX(GridXRange,P190)&gt;0,"Positive","Zero")) &amp; " - " &amp;IF($W190-INDEX(GridYRange,P190)&lt;0,"Negative",IF($W190-INDEX(GridYRange,P190)&gt;0,"Positive","Zero")),$AS$7:$AS$15,0))))</f>
        <v>-</v>
      </c>
      <c r="AV190" s="186" t="str">
        <f t="shared" ref="AV190" ca="1" si="1541">IF($D190="-","-",IF(LEN(N190)=0,"", INDEX($AT$7:$AT$15,MATCH(IF($V190-INDEX(GridXRange,Q190)&lt;0,"Negative",IF($V190-INDEX(GridXRange,Q190)&gt;0,"Positive","Zero")) &amp; " - " &amp;IF($W190-INDEX(GridYRange,Q190)&lt;0,"Negative",IF($W190-INDEX(GridYRange,Q190)&gt;0,"Positive","Zero")),$AS$7:$AS$15,0))))</f>
        <v>-</v>
      </c>
      <c r="AW190" s="186" t="str">
        <f t="shared" ref="AW190" ca="1" si="1542">IF($D190="-","-",IF(LEN(O190)=0,"", INDEX($AT$7:$AT$15,MATCH(IF($V190-INDEX(GridXRange,R190)&lt;0,"Negative",IF($V190-INDEX(GridXRange,R190)&gt;0,"Positive","Zero")) &amp; " - " &amp;IF($W190-INDEX(GridYRange,R190)&lt;0,"Negative",IF($W190-INDEX(GridYRange,R190)&gt;0,"Positive","Zero")),$AS$7:$AS$15,0))))</f>
        <v>-</v>
      </c>
      <c r="AX190" s="187"/>
      <c r="AY190" s="188"/>
      <c r="AZ190" s="188"/>
      <c r="BA190" s="184"/>
      <c r="BB190" s="187" t="str">
        <f t="shared" ca="1" si="1518"/>
        <v>-</v>
      </c>
      <c r="BC190" s="188" t="str">
        <f t="shared" ca="1" si="1518"/>
        <v>-</v>
      </c>
      <c r="BD190" s="188" t="str">
        <f t="shared" ca="1" si="1518"/>
        <v>-</v>
      </c>
      <c r="BE190" s="189" t="str">
        <f t="shared" ca="1" si="1518"/>
        <v>-</v>
      </c>
      <c r="BK190" s="192" t="str">
        <f t="shared" ref="BK190" ca="1" si="1543">IF($D190="-","-",$BK$5 + (V190-StartGridX) * (GapXDiff + $BW$7))</f>
        <v>-</v>
      </c>
      <c r="BL190" s="192" t="str">
        <f t="shared" ref="BL190" ca="1" si="1544">IF($D190="-","-",$BL$5 + (W190-StartGridY) * (GapYDiff + $BV$7))</f>
        <v>-</v>
      </c>
      <c r="BM190" s="192" t="str">
        <f t="shared" ca="1" si="1090"/>
        <v>-</v>
      </c>
      <c r="BN190" s="192" t="str">
        <f t="shared" ca="1" si="1091"/>
        <v>-</v>
      </c>
      <c r="BO190" s="192" t="str">
        <f t="shared" ca="1" si="1092"/>
        <v>-</v>
      </c>
      <c r="BP190" s="192" t="str">
        <f t="shared" ca="1" si="1093"/>
        <v>-</v>
      </c>
      <c r="BQ190" s="192" t="str">
        <f ca="1">IF($D190="-","-",IF(LEN(K190)=0,1,IFERROR(MATCH(K190,Dashboard!$L$25:$L$31,0),1)))</f>
        <v>-</v>
      </c>
      <c r="CC190" s="143" t="str">
        <f t="shared" ref="CC190" ca="1" si="1545">IF($D190="-","-",IF(COUNTIF(IDSourceRange,E190)&gt;1,1,0))</f>
        <v>-</v>
      </c>
      <c r="CD190" s="143" t="str">
        <f t="shared" ref="CD190" ca="1" si="1546">IF($D190="-","-",  IF(LEN(M190)=0,0,IF(ISERROR(MATCH(M190,IDSourceRange,0)),1,0)) + IF(LEN(N190)=0,0,IF(ISERROR(MATCH(N190,IDSourceRange,0)),1,0)) + IF(LEN(O190)=0,0,IF(ISERROR(MATCH(O190,IDSourceRange,0)),1,0)) )</f>
        <v>-</v>
      </c>
      <c r="CE190" s="143" t="str">
        <f t="shared" ca="1" si="1121"/>
        <v>-</v>
      </c>
      <c r="CF190" s="143" t="s">
        <v>128</v>
      </c>
      <c r="CG190" s="143" t="str">
        <f t="shared" ref="CG190" ca="1" si="1547">IF($D190="-","-",IF(X190="-",0,IF(COUNTIF(GridCombinedRange,X190)&gt;1,1,0)))</f>
        <v>-</v>
      </c>
      <c r="CH190" s="143"/>
      <c r="CI190" s="143"/>
      <c r="CJ190" s="143"/>
      <c r="CK190" s="143"/>
      <c r="CL190" s="143"/>
    </row>
    <row r="191" spans="3:90" x14ac:dyDescent="0.3">
      <c r="C191" s="170">
        <v>185</v>
      </c>
      <c r="D191" s="111" t="str">
        <f ca="1">IF(COUNTA(OFFSET(Dashboard!$B$6,C191,0,1,COUNTA(Dashboard!$B$6:$H$6)))&gt;0,"Yes","-")</f>
        <v>-</v>
      </c>
      <c r="E191" s="170" t="str">
        <f ca="1">IF(D191="-","-",IF(LEN(INDEX(Dashboard!B$6:B$206,$C191+1))=0,"x"&amp;C191&amp;"x","x"&amp;INDEX(Dashboard!B$6:B$206,$C191+1)&amp;"x"))</f>
        <v>-</v>
      </c>
      <c r="F191" s="171" t="str">
        <f ca="1">IF(D191="-","-",IF(LEN(INDEX(Dashboard!$C$6:$C$206,C191+1))=0," ",INDEX(Dashboard!$C$6:$C$206,C191+1)))</f>
        <v>-</v>
      </c>
      <c r="G191" s="219" t="str">
        <f ca="1">IF(OR(D191="-",D191=""),"-",IF(LEN(INDEX(Dashboard!$D$6:$D$228,C191+1))=0,"", "x"&amp;SUBSTITUTE(SUBSTITUTE(INDEX(Dashboard!$D$6:$D$228,C191+1)," ",""),",","x,x")&amp;"x"))</f>
        <v>-</v>
      </c>
      <c r="H191" s="111" t="str">
        <f ca="1">IF(D191="-","-",TRIM(INDEX(Dashboard!$E$6:$E$206,C191+1)))</f>
        <v>-</v>
      </c>
      <c r="I191" s="111" t="str">
        <f ca="1">IF(D191="-","-",IF(LEN(INDEX(Dashboard!$F$6:$F$206,C191+1))=0,$BS$8,IF(ISERROR(MATCH(INDEX(Dashboard!$F$6:$F$206,C191+1),$BS$7:$BS$35,0)),$BS$8,INDEX(Dashboard!$F$6:$F$206,C191+1))))</f>
        <v>-</v>
      </c>
      <c r="J191" s="111" t="str">
        <f ca="1">IF(D191="-","-",SUBSTITUTE(INDEX(Dashboard!$G$6:$G$206,C191+1)," ",""))</f>
        <v>-</v>
      </c>
      <c r="K191" s="111" t="str">
        <f ca="1">IF(D191="-","-",IF(LEN(INDEX(Dashboard!$H$6:$H$206,C191+1))=0,"",INDEX(Dashboard!$H$6:$H$206,C191+1)))</f>
        <v>-</v>
      </c>
      <c r="M191" s="172" t="str">
        <f t="shared" ca="1" si="1514"/>
        <v>-</v>
      </c>
      <c r="N191" s="172" t="str">
        <f t="shared" ca="1" si="1514"/>
        <v>-</v>
      </c>
      <c r="O191" s="172" t="str">
        <f t="shared" ca="1" si="1514"/>
        <v>-</v>
      </c>
      <c r="P191" s="173" t="str">
        <f t="shared" ca="1" si="1350"/>
        <v>-</v>
      </c>
      <c r="Q191" s="172" t="str">
        <f t="shared" ca="1" si="1350"/>
        <v>-</v>
      </c>
      <c r="R191" s="172" t="str">
        <f t="shared" ca="1" si="1350"/>
        <v>-</v>
      </c>
      <c r="S191" s="174" t="str">
        <f t="array" aca="1" ref="S191" ca="1">IF($D191="-","-",SUM(IF(LEN(M191:O191)&gt;0,1,0)))</f>
        <v>-</v>
      </c>
      <c r="T191" s="175" t="str">
        <f t="array" aca="1" ref="T191" ca="1">IF(D191="-","-",SUM(IF(ISERROR(SEARCH(E191,$G$7:$G$206)),0,1)))</f>
        <v>-</v>
      </c>
      <c r="V191" s="204"/>
      <c r="W191" s="127"/>
      <c r="X191" s="177" t="str">
        <f t="shared" si="1097"/>
        <v>-</v>
      </c>
      <c r="Y191" s="178"/>
      <c r="Z191" s="127"/>
      <c r="AB191" s="179" t="str">
        <f t="shared" ca="1" si="1351"/>
        <v>-</v>
      </c>
      <c r="AC191" s="179" t="str">
        <f t="shared" ca="1" si="1351"/>
        <v>-</v>
      </c>
      <c r="AD191" s="179" t="str">
        <f t="shared" ca="1" si="1351"/>
        <v>-</v>
      </c>
      <c r="AJ191" s="181" t="str">
        <f t="shared" ca="1" si="1082"/>
        <v>-</v>
      </c>
      <c r="AK191" s="179" t="str">
        <f t="shared" ca="1" si="1083"/>
        <v>-</v>
      </c>
      <c r="AL191" s="179" t="str">
        <f t="shared" ca="1" si="1083"/>
        <v>-</v>
      </c>
      <c r="AM191" s="179" t="str">
        <f t="shared" ca="1" si="1083"/>
        <v>-</v>
      </c>
      <c r="AO191" s="182" t="str">
        <f t="shared" ca="1" si="1352"/>
        <v>-</v>
      </c>
      <c r="AP191" s="182" t="str">
        <f t="shared" ca="1" si="1352"/>
        <v>-</v>
      </c>
      <c r="AQ191" s="182" t="str">
        <f t="shared" ca="1" si="1352"/>
        <v>-</v>
      </c>
      <c r="AU191" s="185" t="str">
        <f t="shared" ref="AU191" ca="1" si="1548">IF($D191="-","-",IF(LEN(M191)=0,"", INDEX($AT$7:$AT$15,MATCH(IF($V191-INDEX(GridXRange,P191)&lt;0,"Negative",IF($V191-INDEX(GridXRange,P191)&gt;0,"Positive","Zero")) &amp; " - " &amp;IF($W191-INDEX(GridYRange,P191)&lt;0,"Negative",IF($W191-INDEX(GridYRange,P191)&gt;0,"Positive","Zero")),$AS$7:$AS$15,0))))</f>
        <v>-</v>
      </c>
      <c r="AV191" s="186" t="str">
        <f t="shared" ref="AV191" ca="1" si="1549">IF($D191="-","-",IF(LEN(N191)=0,"", INDEX($AT$7:$AT$15,MATCH(IF($V191-INDEX(GridXRange,Q191)&lt;0,"Negative",IF($V191-INDEX(GridXRange,Q191)&gt;0,"Positive","Zero")) &amp; " - " &amp;IF($W191-INDEX(GridYRange,Q191)&lt;0,"Negative",IF($W191-INDEX(GridYRange,Q191)&gt;0,"Positive","Zero")),$AS$7:$AS$15,0))))</f>
        <v>-</v>
      </c>
      <c r="AW191" s="186" t="str">
        <f t="shared" ref="AW191" ca="1" si="1550">IF($D191="-","-",IF(LEN(O191)=0,"", INDEX($AT$7:$AT$15,MATCH(IF($V191-INDEX(GridXRange,R191)&lt;0,"Negative",IF($V191-INDEX(GridXRange,R191)&gt;0,"Positive","Zero")) &amp; " - " &amp;IF($W191-INDEX(GridYRange,R191)&lt;0,"Negative",IF($W191-INDEX(GridYRange,R191)&gt;0,"Positive","Zero")),$AS$7:$AS$15,0))))</f>
        <v>-</v>
      </c>
      <c r="AX191" s="187"/>
      <c r="AY191" s="188"/>
      <c r="AZ191" s="188"/>
      <c r="BA191" s="184"/>
      <c r="BB191" s="187" t="str">
        <f t="shared" ca="1" si="1518"/>
        <v>-</v>
      </c>
      <c r="BC191" s="188" t="str">
        <f t="shared" ca="1" si="1518"/>
        <v>-</v>
      </c>
      <c r="BD191" s="188" t="str">
        <f t="shared" ca="1" si="1518"/>
        <v>-</v>
      </c>
      <c r="BE191" s="189" t="str">
        <f t="shared" ca="1" si="1518"/>
        <v>-</v>
      </c>
      <c r="BK191" s="192" t="str">
        <f t="shared" ref="BK191" ca="1" si="1551">IF($D191="-","-",$BK$5 + (V191-StartGridX) * (GapXDiff + $BW$7))</f>
        <v>-</v>
      </c>
      <c r="BL191" s="192" t="str">
        <f t="shared" ref="BL191" ca="1" si="1552">IF($D191="-","-",$BL$5 + (W191-StartGridY) * (GapYDiff + $BV$7))</f>
        <v>-</v>
      </c>
      <c r="BM191" s="192" t="str">
        <f t="shared" ca="1" si="1090"/>
        <v>-</v>
      </c>
      <c r="BN191" s="192" t="str">
        <f t="shared" ca="1" si="1091"/>
        <v>-</v>
      </c>
      <c r="BO191" s="192" t="str">
        <f t="shared" ca="1" si="1092"/>
        <v>-</v>
      </c>
      <c r="BP191" s="192" t="str">
        <f t="shared" ca="1" si="1093"/>
        <v>-</v>
      </c>
      <c r="BQ191" s="192" t="str">
        <f ca="1">IF($D191="-","-",IF(LEN(K191)=0,1,IFERROR(MATCH(K191,Dashboard!$L$25:$L$31,0),1)))</f>
        <v>-</v>
      </c>
      <c r="CC191" s="143" t="str">
        <f t="shared" ref="CC191" ca="1" si="1553">IF($D191="-","-",IF(COUNTIF(IDSourceRange,E191)&gt;1,1,0))</f>
        <v>-</v>
      </c>
      <c r="CD191" s="143" t="str">
        <f t="shared" ref="CD191" ca="1" si="1554">IF($D191="-","-",  IF(LEN(M191)=0,0,IF(ISERROR(MATCH(M191,IDSourceRange,0)),1,0)) + IF(LEN(N191)=0,0,IF(ISERROR(MATCH(N191,IDSourceRange,0)),1,0)) + IF(LEN(O191)=0,0,IF(ISERROR(MATCH(O191,IDSourceRange,0)),1,0)) )</f>
        <v>-</v>
      </c>
      <c r="CE191" s="143" t="str">
        <f t="shared" ca="1" si="1121"/>
        <v>-</v>
      </c>
      <c r="CF191" s="143" t="s">
        <v>128</v>
      </c>
      <c r="CG191" s="143" t="str">
        <f t="shared" ref="CG191" ca="1" si="1555">IF($D191="-","-",IF(X191="-",0,IF(COUNTIF(GridCombinedRange,X191)&gt;1,1,0)))</f>
        <v>-</v>
      </c>
      <c r="CH191" s="143"/>
      <c r="CI191" s="143"/>
      <c r="CJ191" s="143"/>
      <c r="CK191" s="143"/>
      <c r="CL191" s="143"/>
    </row>
    <row r="192" spans="3:90" x14ac:dyDescent="0.3">
      <c r="C192" s="170">
        <v>186</v>
      </c>
      <c r="D192" s="111" t="str">
        <f ca="1">IF(COUNTA(OFFSET(Dashboard!$B$6,C192,0,1,COUNTA(Dashboard!$B$6:$H$6)))&gt;0,"Yes","-")</f>
        <v>-</v>
      </c>
      <c r="E192" s="170" t="str">
        <f ca="1">IF(D192="-","-",IF(LEN(INDEX(Dashboard!B$6:B$206,$C192+1))=0,"x"&amp;C192&amp;"x","x"&amp;INDEX(Dashboard!B$6:B$206,$C192+1)&amp;"x"))</f>
        <v>-</v>
      </c>
      <c r="F192" s="171" t="str">
        <f ca="1">IF(D192="-","-",IF(LEN(INDEX(Dashboard!$C$6:$C$206,C192+1))=0," ",INDEX(Dashboard!$C$6:$C$206,C192+1)))</f>
        <v>-</v>
      </c>
      <c r="G192" s="219" t="str">
        <f ca="1">IF(OR(D192="-",D192=""),"-",IF(LEN(INDEX(Dashboard!$D$6:$D$228,C192+1))=0,"", "x"&amp;SUBSTITUTE(SUBSTITUTE(INDEX(Dashboard!$D$6:$D$228,C192+1)," ",""),",","x,x")&amp;"x"))</f>
        <v>-</v>
      </c>
      <c r="H192" s="111" t="str">
        <f ca="1">IF(D192="-","-",TRIM(INDEX(Dashboard!$E$6:$E$206,C192+1)))</f>
        <v>-</v>
      </c>
      <c r="I192" s="111" t="str">
        <f ca="1">IF(D192="-","-",IF(LEN(INDEX(Dashboard!$F$6:$F$206,C192+1))=0,$BS$8,IF(ISERROR(MATCH(INDEX(Dashboard!$F$6:$F$206,C192+1),$BS$7:$BS$35,0)),$BS$8,INDEX(Dashboard!$F$6:$F$206,C192+1))))</f>
        <v>-</v>
      </c>
      <c r="J192" s="219" t="str">
        <f ca="1">IF(D192="-","-",SUBSTITUTE(INDEX(Dashboard!$G$6:$G$228,C192+1)," ",""))</f>
        <v>-</v>
      </c>
      <c r="K192" s="111" t="str">
        <f ca="1">IF(D192="-","-",IF(LEN(INDEX(Dashboard!$H$6:$H$206,C192+1))=0,"",INDEX(Dashboard!$H$6:$H$206,C192+1)))</f>
        <v>-</v>
      </c>
      <c r="M192" s="172" t="str">
        <f t="shared" ca="1" si="1514"/>
        <v>-</v>
      </c>
      <c r="N192" s="172" t="str">
        <f t="shared" ca="1" si="1514"/>
        <v>-</v>
      </c>
      <c r="O192" s="172" t="str">
        <f t="shared" ca="1" si="1514"/>
        <v>-</v>
      </c>
      <c r="P192" s="173" t="str">
        <f t="shared" ca="1" si="1350"/>
        <v>-</v>
      </c>
      <c r="Q192" s="172" t="str">
        <f t="shared" ca="1" si="1350"/>
        <v>-</v>
      </c>
      <c r="R192" s="172" t="str">
        <f t="shared" ca="1" si="1350"/>
        <v>-</v>
      </c>
      <c r="S192" s="174" t="str">
        <f t="array" aca="1" ref="S192" ca="1">IF($D192="-","-",SUM(IF(LEN(M192:O192)&gt;0,1,0)))</f>
        <v>-</v>
      </c>
      <c r="T192" s="175" t="str">
        <f t="array" aca="1" ref="T192" ca="1">IF(D192="-","-",SUM(IF(ISERROR(SEARCH(E192,$G$7:$G$206)),0,1)))</f>
        <v>-</v>
      </c>
      <c r="V192" s="204"/>
      <c r="W192" s="127"/>
      <c r="X192" s="177" t="str">
        <f t="shared" si="1097"/>
        <v>-</v>
      </c>
      <c r="Y192" s="178"/>
      <c r="Z192" s="127"/>
      <c r="AB192" s="179" t="str">
        <f t="shared" ca="1" si="1351"/>
        <v>-</v>
      </c>
      <c r="AC192" s="179" t="str">
        <f t="shared" ca="1" si="1351"/>
        <v>-</v>
      </c>
      <c r="AD192" s="179" t="str">
        <f t="shared" ca="1" si="1351"/>
        <v>-</v>
      </c>
      <c r="AJ192" s="181" t="str">
        <f t="shared" ca="1" si="1082"/>
        <v>-</v>
      </c>
      <c r="AK192" s="179" t="str">
        <f t="shared" ca="1" si="1083"/>
        <v>-</v>
      </c>
      <c r="AL192" s="179" t="str">
        <f t="shared" ca="1" si="1083"/>
        <v>-</v>
      </c>
      <c r="AM192" s="179" t="str">
        <f t="shared" ca="1" si="1083"/>
        <v>-</v>
      </c>
      <c r="AO192" s="182" t="str">
        <f t="shared" ca="1" si="1352"/>
        <v>-</v>
      </c>
      <c r="AP192" s="182" t="str">
        <f t="shared" ca="1" si="1352"/>
        <v>-</v>
      </c>
      <c r="AQ192" s="182" t="str">
        <f t="shared" ca="1" si="1352"/>
        <v>-</v>
      </c>
      <c r="AU192" s="185" t="str">
        <f t="shared" ref="AU192" ca="1" si="1556">IF($D192="-","-",IF(LEN(M192)=0,"", INDEX($AT$7:$AT$15,MATCH(IF($V192-INDEX(GridXRange,P192)&lt;0,"Negative",IF($V192-INDEX(GridXRange,P192)&gt;0,"Positive","Zero")) &amp; " - " &amp;IF($W192-INDEX(GridYRange,P192)&lt;0,"Negative",IF($W192-INDEX(GridYRange,P192)&gt;0,"Positive","Zero")),$AS$7:$AS$15,0))))</f>
        <v>-</v>
      </c>
      <c r="AV192" s="186" t="str">
        <f t="shared" ref="AV192" ca="1" si="1557">IF($D192="-","-",IF(LEN(N192)=0,"", INDEX($AT$7:$AT$15,MATCH(IF($V192-INDEX(GridXRange,Q192)&lt;0,"Negative",IF($V192-INDEX(GridXRange,Q192)&gt;0,"Positive","Zero")) &amp; " - " &amp;IF($W192-INDEX(GridYRange,Q192)&lt;0,"Negative",IF($W192-INDEX(GridYRange,Q192)&gt;0,"Positive","Zero")),$AS$7:$AS$15,0))))</f>
        <v>-</v>
      </c>
      <c r="AW192" s="186" t="str">
        <f t="shared" ref="AW192" ca="1" si="1558">IF($D192="-","-",IF(LEN(O192)=0,"", INDEX($AT$7:$AT$15,MATCH(IF($V192-INDEX(GridXRange,R192)&lt;0,"Negative",IF($V192-INDEX(GridXRange,R192)&gt;0,"Positive","Zero")) &amp; " - " &amp;IF($W192-INDEX(GridYRange,R192)&lt;0,"Negative",IF($W192-INDEX(GridYRange,R192)&gt;0,"Positive","Zero")),$AS$7:$AS$15,0))))</f>
        <v>-</v>
      </c>
      <c r="AX192" s="187"/>
      <c r="AY192" s="188"/>
      <c r="AZ192" s="188"/>
      <c r="BA192" s="184"/>
      <c r="BB192" s="187" t="str">
        <f t="shared" ca="1" si="1518"/>
        <v>-</v>
      </c>
      <c r="BC192" s="188" t="str">
        <f t="shared" ca="1" si="1518"/>
        <v>-</v>
      </c>
      <c r="BD192" s="188" t="str">
        <f t="shared" ca="1" si="1518"/>
        <v>-</v>
      </c>
      <c r="BE192" s="189" t="str">
        <f t="shared" ca="1" si="1518"/>
        <v>-</v>
      </c>
      <c r="BK192" s="192" t="str">
        <f t="shared" ref="BK192" ca="1" si="1559">IF($D192="-","-",$BK$5 + (V192-StartGridX) * (GapXDiff + $BW$7))</f>
        <v>-</v>
      </c>
      <c r="BL192" s="192" t="str">
        <f t="shared" ref="BL192" ca="1" si="1560">IF($D192="-","-",$BL$5 + (W192-StartGridY) * (GapYDiff + $BV$7))</f>
        <v>-</v>
      </c>
      <c r="BM192" s="192" t="str">
        <f t="shared" ca="1" si="1090"/>
        <v>-</v>
      </c>
      <c r="BN192" s="192" t="str">
        <f t="shared" ca="1" si="1091"/>
        <v>-</v>
      </c>
      <c r="BO192" s="192" t="str">
        <f t="shared" ca="1" si="1092"/>
        <v>-</v>
      </c>
      <c r="BP192" s="192" t="str">
        <f t="shared" ca="1" si="1093"/>
        <v>-</v>
      </c>
      <c r="BQ192" s="192" t="str">
        <f ca="1">IF($D192="-","-",IF(LEN(K192)=0,1,IFERROR(MATCH(K192,Dashboard!$L$25:$L$31,0),1)))</f>
        <v>-</v>
      </c>
      <c r="CC192" s="143" t="str">
        <f t="shared" ref="CC192" ca="1" si="1561">IF($D192="-","-",IF(COUNTIF(IDSourceRange,E192)&gt;1,1,0))</f>
        <v>-</v>
      </c>
      <c r="CD192" s="143" t="str">
        <f t="shared" ref="CD192" ca="1" si="1562">IF($D192="-","-",  IF(LEN(M192)=0,0,IF(ISERROR(MATCH(M192,IDSourceRange,0)),1,0)) + IF(LEN(N192)=0,0,IF(ISERROR(MATCH(N192,IDSourceRange,0)),1,0)) + IF(LEN(O192)=0,0,IF(ISERROR(MATCH(O192,IDSourceRange,0)),1,0)) )</f>
        <v>-</v>
      </c>
      <c r="CE192" s="143" t="str">
        <f t="shared" ca="1" si="1121"/>
        <v>-</v>
      </c>
      <c r="CF192" s="143" t="s">
        <v>128</v>
      </c>
      <c r="CG192" s="143" t="str">
        <f t="shared" ref="CG192" ca="1" si="1563">IF($D192="-","-",IF(X192="-",0,IF(COUNTIF(GridCombinedRange,X192)&gt;1,1,0)))</f>
        <v>-</v>
      </c>
      <c r="CH192" s="143"/>
      <c r="CI192" s="143"/>
      <c r="CJ192" s="143"/>
      <c r="CK192" s="143"/>
      <c r="CL192" s="143"/>
    </row>
    <row r="193" spans="3:90" x14ac:dyDescent="0.3">
      <c r="C193" s="170">
        <v>187</v>
      </c>
      <c r="D193" s="111" t="str">
        <f ca="1">IF(COUNTA(OFFSET(Dashboard!$B$6,C193,0,1,COUNTA(Dashboard!$B$6:$H$6)))&gt;0,"Yes","-")</f>
        <v>-</v>
      </c>
      <c r="E193" s="170" t="str">
        <f ca="1">IF(D193="-","-",IF(LEN(INDEX(Dashboard!B$6:B$206,$C193+1))=0,"x"&amp;C193&amp;"x","x"&amp;INDEX(Dashboard!B$6:B$206,$C193+1)&amp;"x"))</f>
        <v>-</v>
      </c>
      <c r="F193" s="171" t="str">
        <f ca="1">IF(D193="-","-",IF(LEN(INDEX(Dashboard!$C$6:$C$206,C193+1))=0," ",INDEX(Dashboard!$C$6:$C$206,C193+1)))</f>
        <v>-</v>
      </c>
      <c r="G193" s="219" t="str">
        <f ca="1">IF(OR(D193="-",D193=""),"-",IF(LEN(INDEX(Dashboard!$D$6:$D$228,C193+1))=0,"", "x"&amp;SUBSTITUTE(SUBSTITUTE(INDEX(Dashboard!$D$6:$D$228,C193+1)," ",""),",","x,x")&amp;"x"))</f>
        <v>-</v>
      </c>
      <c r="H193" s="111" t="str">
        <f ca="1">IF(D193="-","-",TRIM(INDEX(Dashboard!$E$6:$E$206,C193+1)))</f>
        <v>-</v>
      </c>
      <c r="I193" s="111" t="str">
        <f ca="1">IF(D193="-","-",IF(LEN(INDEX(Dashboard!$F$6:$F$206,C193+1))=0,$BS$8,IF(ISERROR(MATCH(INDEX(Dashboard!$F$6:$F$206,C193+1),$BS$7:$BS$35,0)),$BS$8,INDEX(Dashboard!$F$6:$F$206,C193+1))))</f>
        <v>-</v>
      </c>
      <c r="J193" s="111" t="str">
        <f ca="1">IF(D193="-","-",SUBSTITUTE(INDEX(Dashboard!$G$6:$G$206,C193+1)," ",""))</f>
        <v>-</v>
      </c>
      <c r="K193" s="111" t="str">
        <f ca="1">IF(D193="-","-",IF(LEN(INDEX(Dashboard!$H$6:$H$206,C193+1))=0,"",INDEX(Dashboard!$H$6:$H$206,C193+1)))</f>
        <v>-</v>
      </c>
      <c r="M193" s="172" t="str">
        <f t="shared" ca="1" si="1514"/>
        <v>-</v>
      </c>
      <c r="N193" s="172" t="str">
        <f t="shared" ca="1" si="1514"/>
        <v>-</v>
      </c>
      <c r="O193" s="172" t="str">
        <f t="shared" ca="1" si="1514"/>
        <v>-</v>
      </c>
      <c r="P193" s="173" t="str">
        <f t="shared" ca="1" si="1350"/>
        <v>-</v>
      </c>
      <c r="Q193" s="172" t="str">
        <f t="shared" ca="1" si="1350"/>
        <v>-</v>
      </c>
      <c r="R193" s="172" t="str">
        <f t="shared" ca="1" si="1350"/>
        <v>-</v>
      </c>
      <c r="S193" s="174" t="str">
        <f t="array" aca="1" ref="S193" ca="1">IF($D193="-","-",SUM(IF(LEN(M193:O193)&gt;0,1,0)))</f>
        <v>-</v>
      </c>
      <c r="T193" s="175" t="str">
        <f t="array" aca="1" ref="T193" ca="1">IF(D193="-","-",SUM(IF(ISERROR(SEARCH(E193,$G$7:$G$206)),0,1)))</f>
        <v>-</v>
      </c>
      <c r="V193" s="204"/>
      <c r="W193" s="127"/>
      <c r="X193" s="177" t="str">
        <f t="shared" si="1097"/>
        <v>-</v>
      </c>
      <c r="Y193" s="178"/>
      <c r="Z193" s="127"/>
      <c r="AB193" s="179" t="str">
        <f t="shared" ca="1" si="1351"/>
        <v>-</v>
      </c>
      <c r="AC193" s="179" t="str">
        <f t="shared" ca="1" si="1351"/>
        <v>-</v>
      </c>
      <c r="AD193" s="179" t="str">
        <f t="shared" ca="1" si="1351"/>
        <v>-</v>
      </c>
      <c r="AJ193" s="181" t="str">
        <f t="shared" ca="1" si="1082"/>
        <v>-</v>
      </c>
      <c r="AK193" s="179" t="str">
        <f t="shared" ca="1" si="1083"/>
        <v>-</v>
      </c>
      <c r="AL193" s="179" t="str">
        <f t="shared" ca="1" si="1083"/>
        <v>-</v>
      </c>
      <c r="AM193" s="179" t="str">
        <f t="shared" ca="1" si="1083"/>
        <v>-</v>
      </c>
      <c r="AO193" s="182" t="str">
        <f t="shared" ca="1" si="1352"/>
        <v>-</v>
      </c>
      <c r="AP193" s="182" t="str">
        <f t="shared" ca="1" si="1352"/>
        <v>-</v>
      </c>
      <c r="AQ193" s="182" t="str">
        <f t="shared" ca="1" si="1352"/>
        <v>-</v>
      </c>
      <c r="AU193" s="185" t="str">
        <f t="shared" ref="AU193" ca="1" si="1564">IF($D193="-","-",IF(LEN(M193)=0,"", INDEX($AT$7:$AT$15,MATCH(IF($V193-INDEX(GridXRange,P193)&lt;0,"Negative",IF($V193-INDEX(GridXRange,P193)&gt;0,"Positive","Zero")) &amp; " - " &amp;IF($W193-INDEX(GridYRange,P193)&lt;0,"Negative",IF($W193-INDEX(GridYRange,P193)&gt;0,"Positive","Zero")),$AS$7:$AS$15,0))))</f>
        <v>-</v>
      </c>
      <c r="AV193" s="186" t="str">
        <f t="shared" ref="AV193" ca="1" si="1565">IF($D193="-","-",IF(LEN(N193)=0,"", INDEX($AT$7:$AT$15,MATCH(IF($V193-INDEX(GridXRange,Q193)&lt;0,"Negative",IF($V193-INDEX(GridXRange,Q193)&gt;0,"Positive","Zero")) &amp; " - " &amp;IF($W193-INDEX(GridYRange,Q193)&lt;0,"Negative",IF($W193-INDEX(GridYRange,Q193)&gt;0,"Positive","Zero")),$AS$7:$AS$15,0))))</f>
        <v>-</v>
      </c>
      <c r="AW193" s="186" t="str">
        <f t="shared" ref="AW193" ca="1" si="1566">IF($D193="-","-",IF(LEN(O193)=0,"", INDEX($AT$7:$AT$15,MATCH(IF($V193-INDEX(GridXRange,R193)&lt;0,"Negative",IF($V193-INDEX(GridXRange,R193)&gt;0,"Positive","Zero")) &amp; " - " &amp;IF($W193-INDEX(GridYRange,R193)&lt;0,"Negative",IF($W193-INDEX(GridYRange,R193)&gt;0,"Positive","Zero")),$AS$7:$AS$15,0))))</f>
        <v>-</v>
      </c>
      <c r="AX193" s="187"/>
      <c r="AY193" s="188"/>
      <c r="AZ193" s="188"/>
      <c r="BA193" s="184"/>
      <c r="BB193" s="187" t="str">
        <f t="shared" ca="1" si="1518"/>
        <v>-</v>
      </c>
      <c r="BC193" s="188" t="str">
        <f t="shared" ca="1" si="1518"/>
        <v>-</v>
      </c>
      <c r="BD193" s="188" t="str">
        <f t="shared" ca="1" si="1518"/>
        <v>-</v>
      </c>
      <c r="BE193" s="189" t="str">
        <f t="shared" ca="1" si="1518"/>
        <v>-</v>
      </c>
      <c r="BK193" s="192" t="str">
        <f t="shared" ref="BK193" ca="1" si="1567">IF($D193="-","-",$BK$5 + (V193-StartGridX) * (GapXDiff + $BW$7))</f>
        <v>-</v>
      </c>
      <c r="BL193" s="192" t="str">
        <f t="shared" ref="BL193" ca="1" si="1568">IF($D193="-","-",$BL$5 + (W193-StartGridY) * (GapYDiff + $BV$7))</f>
        <v>-</v>
      </c>
      <c r="BM193" s="192" t="str">
        <f t="shared" ca="1" si="1090"/>
        <v>-</v>
      </c>
      <c r="BN193" s="192" t="str">
        <f t="shared" ca="1" si="1091"/>
        <v>-</v>
      </c>
      <c r="BO193" s="192" t="str">
        <f t="shared" ca="1" si="1092"/>
        <v>-</v>
      </c>
      <c r="BP193" s="192" t="str">
        <f t="shared" ca="1" si="1093"/>
        <v>-</v>
      </c>
      <c r="BQ193" s="192" t="str">
        <f ca="1">IF($D193="-","-",IF(LEN(K193)=0,1,IFERROR(MATCH(K193,Dashboard!$L$25:$L$31,0),1)))</f>
        <v>-</v>
      </c>
      <c r="CC193" s="143" t="str">
        <f t="shared" ref="CC193" ca="1" si="1569">IF($D193="-","-",IF(COUNTIF(IDSourceRange,E193)&gt;1,1,0))</f>
        <v>-</v>
      </c>
      <c r="CD193" s="143" t="str">
        <f t="shared" ref="CD193" ca="1" si="1570">IF($D193="-","-",  IF(LEN(M193)=0,0,IF(ISERROR(MATCH(M193,IDSourceRange,0)),1,0)) + IF(LEN(N193)=0,0,IF(ISERROR(MATCH(N193,IDSourceRange,0)),1,0)) + IF(LEN(O193)=0,0,IF(ISERROR(MATCH(O193,IDSourceRange,0)),1,0)) )</f>
        <v>-</v>
      </c>
      <c r="CE193" s="143" t="str">
        <f t="shared" ca="1" si="1121"/>
        <v>-</v>
      </c>
      <c r="CF193" s="143" t="s">
        <v>128</v>
      </c>
      <c r="CG193" s="143" t="str">
        <f t="shared" ref="CG193" ca="1" si="1571">IF($D193="-","-",IF(X193="-",0,IF(COUNTIF(GridCombinedRange,X193)&gt;1,1,0)))</f>
        <v>-</v>
      </c>
      <c r="CH193" s="143"/>
      <c r="CI193" s="143"/>
      <c r="CJ193" s="143"/>
      <c r="CK193" s="143"/>
      <c r="CL193" s="143"/>
    </row>
    <row r="194" spans="3:90" x14ac:dyDescent="0.3">
      <c r="C194" s="170">
        <v>188</v>
      </c>
      <c r="D194" s="111" t="str">
        <f ca="1">IF(COUNTA(OFFSET(Dashboard!$B$6,C194,0,1,COUNTA(Dashboard!$B$6:$H$6)))&gt;0,"Yes","-")</f>
        <v>-</v>
      </c>
      <c r="E194" s="170" t="str">
        <f ca="1">IF(D194="-","-",IF(LEN(INDEX(Dashboard!B$6:B$206,$C194+1))=0,"x"&amp;C194&amp;"x","x"&amp;INDEX(Dashboard!B$6:B$206,$C194+1)&amp;"x"))</f>
        <v>-</v>
      </c>
      <c r="F194" s="171" t="str">
        <f ca="1">IF(D194="-","-",IF(LEN(INDEX(Dashboard!$C$6:$C$206,C194+1))=0," ",INDEX(Dashboard!$C$6:$C$206,C194+1)))</f>
        <v>-</v>
      </c>
      <c r="G194" s="219" t="str">
        <f ca="1">IF(OR(D194="-",D194=""),"-",IF(LEN(INDEX(Dashboard!$D$6:$D$228,C194+1))=0,"", "x"&amp;SUBSTITUTE(SUBSTITUTE(INDEX(Dashboard!$D$6:$D$228,C194+1)," ",""),",","x,x")&amp;"x"))</f>
        <v>-</v>
      </c>
      <c r="H194" s="111" t="str">
        <f ca="1">IF(D194="-","-",TRIM(INDEX(Dashboard!$E$6:$E$206,C194+1)))</f>
        <v>-</v>
      </c>
      <c r="I194" s="111" t="str">
        <f ca="1">IF(D194="-","-",IF(LEN(INDEX(Dashboard!$F$6:$F$206,C194+1))=0,$BS$8,IF(ISERROR(MATCH(INDEX(Dashboard!$F$6:$F$206,C194+1),$BS$7:$BS$35,0)),$BS$8,INDEX(Dashboard!$F$6:$F$206,C194+1))))</f>
        <v>-</v>
      </c>
      <c r="J194" s="111" t="str">
        <f ca="1">IF(D194="-","-",SUBSTITUTE(INDEX(Dashboard!$G$6:$G$206,C194+1)," ",""))</f>
        <v>-</v>
      </c>
      <c r="K194" s="111" t="str">
        <f ca="1">IF(D194="-","-",IF(LEN(INDEX(Dashboard!$H$6:$H$206,C194+1))=0,"",INDEX(Dashboard!$H$6:$H$206,C194+1)))</f>
        <v>-</v>
      </c>
      <c r="M194" s="172" t="str">
        <f t="shared" ca="1" si="1514"/>
        <v>-</v>
      </c>
      <c r="N194" s="172" t="str">
        <f t="shared" ca="1" si="1514"/>
        <v>-</v>
      </c>
      <c r="O194" s="172" t="str">
        <f t="shared" ca="1" si="1514"/>
        <v>-</v>
      </c>
      <c r="P194" s="173" t="str">
        <f t="shared" ca="1" si="1350"/>
        <v>-</v>
      </c>
      <c r="Q194" s="172" t="str">
        <f t="shared" ca="1" si="1350"/>
        <v>-</v>
      </c>
      <c r="R194" s="172" t="str">
        <f t="shared" ca="1" si="1350"/>
        <v>-</v>
      </c>
      <c r="S194" s="174" t="str">
        <f t="array" aca="1" ref="S194" ca="1">IF($D194="-","-",SUM(IF(LEN(M194:O194)&gt;0,1,0)))</f>
        <v>-</v>
      </c>
      <c r="T194" s="175" t="str">
        <f t="array" aca="1" ref="T194" ca="1">IF(D194="-","-",SUM(IF(ISERROR(SEARCH(E194,$G$7:$G$206)),0,1)))</f>
        <v>-</v>
      </c>
      <c r="V194" s="204"/>
      <c r="W194" s="127"/>
      <c r="X194" s="177" t="str">
        <f t="shared" si="1097"/>
        <v>-</v>
      </c>
      <c r="Y194" s="178"/>
      <c r="Z194" s="127"/>
      <c r="AB194" s="179" t="str">
        <f t="shared" ca="1" si="1351"/>
        <v>-</v>
      </c>
      <c r="AC194" s="179" t="str">
        <f t="shared" ca="1" si="1351"/>
        <v>-</v>
      </c>
      <c r="AD194" s="179" t="str">
        <f t="shared" ca="1" si="1351"/>
        <v>-</v>
      </c>
      <c r="AJ194" s="181" t="str">
        <f t="shared" ca="1" si="1082"/>
        <v>-</v>
      </c>
      <c r="AK194" s="179" t="str">
        <f t="shared" ca="1" si="1083"/>
        <v>-</v>
      </c>
      <c r="AL194" s="179" t="str">
        <f t="shared" ca="1" si="1083"/>
        <v>-</v>
      </c>
      <c r="AM194" s="179" t="str">
        <f t="shared" ca="1" si="1083"/>
        <v>-</v>
      </c>
      <c r="AO194" s="182" t="str">
        <f t="shared" ca="1" si="1352"/>
        <v>-</v>
      </c>
      <c r="AP194" s="182" t="str">
        <f t="shared" ca="1" si="1352"/>
        <v>-</v>
      </c>
      <c r="AQ194" s="182" t="str">
        <f t="shared" ca="1" si="1352"/>
        <v>-</v>
      </c>
      <c r="AU194" s="185" t="str">
        <f t="shared" ref="AU194" ca="1" si="1572">IF($D194="-","-",IF(LEN(M194)=0,"", INDEX($AT$7:$AT$15,MATCH(IF($V194-INDEX(GridXRange,P194)&lt;0,"Negative",IF($V194-INDEX(GridXRange,P194)&gt;0,"Positive","Zero")) &amp; " - " &amp;IF($W194-INDEX(GridYRange,P194)&lt;0,"Negative",IF($W194-INDEX(GridYRange,P194)&gt;0,"Positive","Zero")),$AS$7:$AS$15,0))))</f>
        <v>-</v>
      </c>
      <c r="AV194" s="186" t="str">
        <f t="shared" ref="AV194" ca="1" si="1573">IF($D194="-","-",IF(LEN(N194)=0,"", INDEX($AT$7:$AT$15,MATCH(IF($V194-INDEX(GridXRange,Q194)&lt;0,"Negative",IF($V194-INDEX(GridXRange,Q194)&gt;0,"Positive","Zero")) &amp; " - " &amp;IF($W194-INDEX(GridYRange,Q194)&lt;0,"Negative",IF($W194-INDEX(GridYRange,Q194)&gt;0,"Positive","Zero")),$AS$7:$AS$15,0))))</f>
        <v>-</v>
      </c>
      <c r="AW194" s="186" t="str">
        <f t="shared" ref="AW194" ca="1" si="1574">IF($D194="-","-",IF(LEN(O194)=0,"", INDEX($AT$7:$AT$15,MATCH(IF($V194-INDEX(GridXRange,R194)&lt;0,"Negative",IF($V194-INDEX(GridXRange,R194)&gt;0,"Positive","Zero")) &amp; " - " &amp;IF($W194-INDEX(GridYRange,R194)&lt;0,"Negative",IF($W194-INDEX(GridYRange,R194)&gt;0,"Positive","Zero")),$AS$7:$AS$15,0))))</f>
        <v>-</v>
      </c>
      <c r="AX194" s="187"/>
      <c r="AY194" s="188"/>
      <c r="AZ194" s="188"/>
      <c r="BA194" s="184"/>
      <c r="BB194" s="187" t="str">
        <f t="shared" ca="1" si="1518"/>
        <v>-</v>
      </c>
      <c r="BC194" s="188" t="str">
        <f t="shared" ca="1" si="1518"/>
        <v>-</v>
      </c>
      <c r="BD194" s="188" t="str">
        <f t="shared" ca="1" si="1518"/>
        <v>-</v>
      </c>
      <c r="BE194" s="189" t="str">
        <f t="shared" ca="1" si="1518"/>
        <v>-</v>
      </c>
      <c r="BK194" s="192" t="str">
        <f t="shared" ref="BK194" ca="1" si="1575">IF($D194="-","-",$BK$5 + (V194-StartGridX) * (GapXDiff + $BW$7))</f>
        <v>-</v>
      </c>
      <c r="BL194" s="192" t="str">
        <f t="shared" ref="BL194" ca="1" si="1576">IF($D194="-","-",$BL$5 + (W194-StartGridY) * (GapYDiff + $BV$7))</f>
        <v>-</v>
      </c>
      <c r="BM194" s="192" t="str">
        <f t="shared" ca="1" si="1090"/>
        <v>-</v>
      </c>
      <c r="BN194" s="192" t="str">
        <f t="shared" ca="1" si="1091"/>
        <v>-</v>
      </c>
      <c r="BO194" s="192" t="str">
        <f t="shared" ca="1" si="1092"/>
        <v>-</v>
      </c>
      <c r="BP194" s="192" t="str">
        <f t="shared" ca="1" si="1093"/>
        <v>-</v>
      </c>
      <c r="BQ194" s="192" t="str">
        <f ca="1">IF($D194="-","-",IF(LEN(K194)=0,1,IFERROR(MATCH(K194,Dashboard!$L$25:$L$31,0),1)))</f>
        <v>-</v>
      </c>
      <c r="CC194" s="143" t="str">
        <f t="shared" ref="CC194" ca="1" si="1577">IF($D194="-","-",IF(COUNTIF(IDSourceRange,E194)&gt;1,1,0))</f>
        <v>-</v>
      </c>
      <c r="CD194" s="143" t="str">
        <f t="shared" ref="CD194" ca="1" si="1578">IF($D194="-","-",  IF(LEN(M194)=0,0,IF(ISERROR(MATCH(M194,IDSourceRange,0)),1,0)) + IF(LEN(N194)=0,0,IF(ISERROR(MATCH(N194,IDSourceRange,0)),1,0)) + IF(LEN(O194)=0,0,IF(ISERROR(MATCH(O194,IDSourceRange,0)),1,0)) )</f>
        <v>-</v>
      </c>
      <c r="CE194" s="143" t="str">
        <f t="shared" ca="1" si="1121"/>
        <v>-</v>
      </c>
      <c r="CF194" s="143" t="s">
        <v>128</v>
      </c>
      <c r="CG194" s="143" t="str">
        <f t="shared" ref="CG194" ca="1" si="1579">IF($D194="-","-",IF(X194="-",0,IF(COUNTIF(GridCombinedRange,X194)&gt;1,1,0)))</f>
        <v>-</v>
      </c>
      <c r="CH194" s="143"/>
      <c r="CI194" s="143"/>
      <c r="CJ194" s="143"/>
      <c r="CK194" s="143"/>
      <c r="CL194" s="143"/>
    </row>
    <row r="195" spans="3:90" x14ac:dyDescent="0.3">
      <c r="C195" s="170">
        <v>189</v>
      </c>
      <c r="D195" s="111" t="str">
        <f ca="1">IF(COUNTA(OFFSET(Dashboard!$B$6,C195,0,1,COUNTA(Dashboard!$B$6:$H$6)))&gt;0,"Yes","-")</f>
        <v>-</v>
      </c>
      <c r="E195" s="170" t="str">
        <f ca="1">IF(D195="-","-",IF(LEN(INDEX(Dashboard!B$6:B$206,$C195+1))=0,"x"&amp;C195&amp;"x","x"&amp;INDEX(Dashboard!B$6:B$206,$C195+1)&amp;"x"))</f>
        <v>-</v>
      </c>
      <c r="F195" s="171" t="str">
        <f ca="1">IF(D195="-","-",IF(LEN(INDEX(Dashboard!$C$6:$C$206,C195+1))=0," ",INDEX(Dashboard!$C$6:$C$206,C195+1)))</f>
        <v>-</v>
      </c>
      <c r="G195" s="219" t="str">
        <f ca="1">IF(OR(D195="-",D195=""),"-",IF(LEN(INDEX(Dashboard!$D$6:$D$228,C195+1))=0,"", "x"&amp;SUBSTITUTE(SUBSTITUTE(INDEX(Dashboard!$D$6:$D$228,C195+1)," ",""),",","x,x")&amp;"x"))</f>
        <v>-</v>
      </c>
      <c r="H195" s="111" t="str">
        <f ca="1">IF(D195="-","-",TRIM(INDEX(Dashboard!$E$6:$E$206,C195+1)))</f>
        <v>-</v>
      </c>
      <c r="I195" s="111" t="str">
        <f ca="1">IF(D195="-","-",IF(LEN(INDEX(Dashboard!$F$6:$F$206,C195+1))=0,$BS$8,IF(ISERROR(MATCH(INDEX(Dashboard!$F$6:$F$206,C195+1),$BS$7:$BS$35,0)),$BS$8,INDEX(Dashboard!$F$6:$F$206,C195+1))))</f>
        <v>-</v>
      </c>
      <c r="J195" s="111" t="str">
        <f ca="1">IF(D195="-","-",SUBSTITUTE(INDEX(Dashboard!$G$6:$G$206,C195+1)," ",""))</f>
        <v>-</v>
      </c>
      <c r="K195" s="111" t="str">
        <f ca="1">IF(D195="-","-",IF(LEN(INDEX(Dashboard!$H$6:$H$206,C195+1))=0,"",INDEX(Dashboard!$H$6:$H$206,C195+1)))</f>
        <v>-</v>
      </c>
      <c r="M195" s="172" t="str">
        <f t="shared" ca="1" si="1514"/>
        <v>-</v>
      </c>
      <c r="N195" s="172" t="str">
        <f t="shared" ca="1" si="1514"/>
        <v>-</v>
      </c>
      <c r="O195" s="172" t="str">
        <f t="shared" ca="1" si="1514"/>
        <v>-</v>
      </c>
      <c r="P195" s="173" t="str">
        <f t="shared" ca="1" si="1350"/>
        <v>-</v>
      </c>
      <c r="Q195" s="172" t="str">
        <f t="shared" ca="1" si="1350"/>
        <v>-</v>
      </c>
      <c r="R195" s="172" t="str">
        <f t="shared" ca="1" si="1350"/>
        <v>-</v>
      </c>
      <c r="S195" s="174" t="str">
        <f t="array" aca="1" ref="S195" ca="1">IF($D195="-","-",SUM(IF(LEN(M195:O195)&gt;0,1,0)))</f>
        <v>-</v>
      </c>
      <c r="T195" s="175" t="str">
        <f t="array" aca="1" ref="T195" ca="1">IF(D195="-","-",SUM(IF(ISERROR(SEARCH(E195,$G$7:$G$206)),0,1)))</f>
        <v>-</v>
      </c>
      <c r="V195" s="204"/>
      <c r="W195" s="127"/>
      <c r="X195" s="177" t="str">
        <f t="shared" si="1097"/>
        <v>-</v>
      </c>
      <c r="Y195" s="178"/>
      <c r="Z195" s="127"/>
      <c r="AB195" s="179" t="str">
        <f t="shared" ca="1" si="1351"/>
        <v>-</v>
      </c>
      <c r="AC195" s="179" t="str">
        <f t="shared" ca="1" si="1351"/>
        <v>-</v>
      </c>
      <c r="AD195" s="179" t="str">
        <f t="shared" ca="1" si="1351"/>
        <v>-</v>
      </c>
      <c r="AJ195" s="181" t="str">
        <f t="shared" ca="1" si="1082"/>
        <v>-</v>
      </c>
      <c r="AK195" s="179" t="str">
        <f t="shared" ca="1" si="1083"/>
        <v>-</v>
      </c>
      <c r="AL195" s="179" t="str">
        <f t="shared" ca="1" si="1083"/>
        <v>-</v>
      </c>
      <c r="AM195" s="179" t="str">
        <f t="shared" ca="1" si="1083"/>
        <v>-</v>
      </c>
      <c r="AO195" s="182" t="str">
        <f t="shared" ca="1" si="1352"/>
        <v>-</v>
      </c>
      <c r="AP195" s="182" t="str">
        <f t="shared" ca="1" si="1352"/>
        <v>-</v>
      </c>
      <c r="AQ195" s="182" t="str">
        <f t="shared" ca="1" si="1352"/>
        <v>-</v>
      </c>
      <c r="AU195" s="185" t="str">
        <f t="shared" ref="AU195" ca="1" si="1580">IF($D195="-","-",IF(LEN(M195)=0,"", INDEX($AT$7:$AT$15,MATCH(IF($V195-INDEX(GridXRange,P195)&lt;0,"Negative",IF($V195-INDEX(GridXRange,P195)&gt;0,"Positive","Zero")) &amp; " - " &amp;IF($W195-INDEX(GridYRange,P195)&lt;0,"Negative",IF($W195-INDEX(GridYRange,P195)&gt;0,"Positive","Zero")),$AS$7:$AS$15,0))))</f>
        <v>-</v>
      </c>
      <c r="AV195" s="186" t="str">
        <f t="shared" ref="AV195" ca="1" si="1581">IF($D195="-","-",IF(LEN(N195)=0,"", INDEX($AT$7:$AT$15,MATCH(IF($V195-INDEX(GridXRange,Q195)&lt;0,"Negative",IF($V195-INDEX(GridXRange,Q195)&gt;0,"Positive","Zero")) &amp; " - " &amp;IF($W195-INDEX(GridYRange,Q195)&lt;0,"Negative",IF($W195-INDEX(GridYRange,Q195)&gt;0,"Positive","Zero")),$AS$7:$AS$15,0))))</f>
        <v>-</v>
      </c>
      <c r="AW195" s="186" t="str">
        <f t="shared" ref="AW195" ca="1" si="1582">IF($D195="-","-",IF(LEN(O195)=0,"", INDEX($AT$7:$AT$15,MATCH(IF($V195-INDEX(GridXRange,R195)&lt;0,"Negative",IF($V195-INDEX(GridXRange,R195)&gt;0,"Positive","Zero")) &amp; " - " &amp;IF($W195-INDEX(GridYRange,R195)&lt;0,"Negative",IF($W195-INDEX(GridYRange,R195)&gt;0,"Positive","Zero")),$AS$7:$AS$15,0))))</f>
        <v>-</v>
      </c>
      <c r="AX195" s="187"/>
      <c r="AY195" s="188"/>
      <c r="AZ195" s="188"/>
      <c r="BA195" s="184"/>
      <c r="BB195" s="187" t="str">
        <f t="shared" ca="1" si="1518"/>
        <v>-</v>
      </c>
      <c r="BC195" s="188" t="str">
        <f t="shared" ca="1" si="1518"/>
        <v>-</v>
      </c>
      <c r="BD195" s="188" t="str">
        <f t="shared" ca="1" si="1518"/>
        <v>-</v>
      </c>
      <c r="BE195" s="189" t="str">
        <f t="shared" ca="1" si="1518"/>
        <v>-</v>
      </c>
      <c r="BK195" s="192" t="str">
        <f t="shared" ref="BK195" ca="1" si="1583">IF($D195="-","-",$BK$5 + (V195-StartGridX) * (GapXDiff + $BW$7))</f>
        <v>-</v>
      </c>
      <c r="BL195" s="192" t="str">
        <f t="shared" ref="BL195" ca="1" si="1584">IF($D195="-","-",$BL$5 + (W195-StartGridY) * (GapYDiff + $BV$7))</f>
        <v>-</v>
      </c>
      <c r="BM195" s="192" t="str">
        <f t="shared" ca="1" si="1090"/>
        <v>-</v>
      </c>
      <c r="BN195" s="192" t="str">
        <f t="shared" ca="1" si="1091"/>
        <v>-</v>
      </c>
      <c r="BO195" s="192" t="str">
        <f t="shared" ca="1" si="1092"/>
        <v>-</v>
      </c>
      <c r="BP195" s="192" t="str">
        <f t="shared" ca="1" si="1093"/>
        <v>-</v>
      </c>
      <c r="BQ195" s="192" t="str">
        <f ca="1">IF($D195="-","-",IF(LEN(K195)=0,1,IFERROR(MATCH(K195,Dashboard!$L$25:$L$31,0),1)))</f>
        <v>-</v>
      </c>
      <c r="CC195" s="143" t="str">
        <f t="shared" ref="CC195" ca="1" si="1585">IF($D195="-","-",IF(COUNTIF(IDSourceRange,E195)&gt;1,1,0))</f>
        <v>-</v>
      </c>
      <c r="CD195" s="143" t="str">
        <f t="shared" ref="CD195" ca="1" si="1586">IF($D195="-","-",  IF(LEN(M195)=0,0,IF(ISERROR(MATCH(M195,IDSourceRange,0)),1,0)) + IF(LEN(N195)=0,0,IF(ISERROR(MATCH(N195,IDSourceRange,0)),1,0)) + IF(LEN(O195)=0,0,IF(ISERROR(MATCH(O195,IDSourceRange,0)),1,0)) )</f>
        <v>-</v>
      </c>
      <c r="CE195" s="143" t="str">
        <f t="shared" ca="1" si="1121"/>
        <v>-</v>
      </c>
      <c r="CF195" s="143" t="s">
        <v>128</v>
      </c>
      <c r="CG195" s="143" t="str">
        <f t="shared" ref="CG195" ca="1" si="1587">IF($D195="-","-",IF(X195="-",0,IF(COUNTIF(GridCombinedRange,X195)&gt;1,1,0)))</f>
        <v>-</v>
      </c>
      <c r="CH195" s="143"/>
      <c r="CI195" s="143"/>
      <c r="CJ195" s="143"/>
      <c r="CK195" s="143"/>
      <c r="CL195" s="143"/>
    </row>
    <row r="196" spans="3:90" x14ac:dyDescent="0.3">
      <c r="C196" s="170">
        <v>190</v>
      </c>
      <c r="D196" s="111" t="str">
        <f ca="1">IF(COUNTA(OFFSET(Dashboard!$B$6,C196,0,1,COUNTA(Dashboard!$B$6:$H$6)))&gt;0,"Yes","-")</f>
        <v>-</v>
      </c>
      <c r="E196" s="170" t="str">
        <f ca="1">IF(D196="-","-",IF(LEN(INDEX(Dashboard!B$6:B$206,$C196+1))=0,"x"&amp;C196&amp;"x","x"&amp;INDEX(Dashboard!B$6:B$206,$C196+1)&amp;"x"))</f>
        <v>-</v>
      </c>
      <c r="F196" s="171" t="str">
        <f ca="1">IF(D196="-","-",IF(LEN(INDEX(Dashboard!$C$6:$C$206,C196+1))=0," ",INDEX(Dashboard!$C$6:$C$206,C196+1)))</f>
        <v>-</v>
      </c>
      <c r="G196" s="219" t="str">
        <f ca="1">IF(OR(D196="-",D196=""),"-",IF(LEN(INDEX(Dashboard!$D$6:$D$228,C196+1))=0,"", "x"&amp;SUBSTITUTE(SUBSTITUTE(INDEX(Dashboard!$D$6:$D$228,C196+1)," ",""),",","x,x")&amp;"x"))</f>
        <v>-</v>
      </c>
      <c r="H196" s="219" t="str">
        <f ca="1">IF(D196="-","-",TRIM(INDEX(Dashboard!$E$6:$E$228,C196+1)))</f>
        <v>-</v>
      </c>
      <c r="I196" s="111" t="str">
        <f ca="1">IF(D196="-","-",IF(LEN(INDEX(Dashboard!$F$6:$F$206,C196+1))=0,$BS$8,IF(ISERROR(MATCH(INDEX(Dashboard!$F$6:$F$206,C196+1),$BS$7:$BS$35,0)),$BS$8,INDEX(Dashboard!$F$6:$F$206,C196+1))))</f>
        <v>-</v>
      </c>
      <c r="J196" s="111" t="str">
        <f ca="1">IF(D196="-","-",SUBSTITUTE(INDEX(Dashboard!$G$6:$G$206,C196+1)," ",""))</f>
        <v>-</v>
      </c>
      <c r="K196" s="111" t="str">
        <f ca="1">IF(D196="-","-",IF(LEN(INDEX(Dashboard!$H$6:$H$206,C196+1))=0,"",INDEX(Dashboard!$H$6:$H$206,C196+1)))</f>
        <v>-</v>
      </c>
      <c r="M196" s="172" t="str">
        <f t="shared" ca="1" si="1514"/>
        <v>-</v>
      </c>
      <c r="N196" s="172" t="str">
        <f t="shared" ca="1" si="1514"/>
        <v>-</v>
      </c>
      <c r="O196" s="172" t="str">
        <f t="shared" ca="1" si="1514"/>
        <v>-</v>
      </c>
      <c r="P196" s="173" t="str">
        <f t="shared" ca="1" si="1350"/>
        <v>-</v>
      </c>
      <c r="Q196" s="172" t="str">
        <f t="shared" ca="1" si="1350"/>
        <v>-</v>
      </c>
      <c r="R196" s="172" t="str">
        <f t="shared" ca="1" si="1350"/>
        <v>-</v>
      </c>
      <c r="S196" s="174" t="str">
        <f t="array" aca="1" ref="S196" ca="1">IF($D196="-","-",SUM(IF(LEN(M196:O196)&gt;0,1,0)))</f>
        <v>-</v>
      </c>
      <c r="T196" s="175" t="str">
        <f t="array" aca="1" ref="T196" ca="1">IF(D196="-","-",SUM(IF(ISERROR(SEARCH(E196,$G$7:$G$206)),0,1)))</f>
        <v>-</v>
      </c>
      <c r="V196" s="204"/>
      <c r="W196" s="127"/>
      <c r="X196" s="177" t="str">
        <f t="shared" si="1097"/>
        <v>-</v>
      </c>
      <c r="Y196" s="178"/>
      <c r="Z196" s="127"/>
      <c r="AB196" s="179" t="str">
        <f t="shared" ca="1" si="1351"/>
        <v>-</v>
      </c>
      <c r="AC196" s="179" t="str">
        <f t="shared" ca="1" si="1351"/>
        <v>-</v>
      </c>
      <c r="AD196" s="179" t="str">
        <f t="shared" ca="1" si="1351"/>
        <v>-</v>
      </c>
      <c r="AJ196" s="181" t="str">
        <f t="shared" ca="1" si="1082"/>
        <v>-</v>
      </c>
      <c r="AK196" s="179" t="str">
        <f t="shared" ca="1" si="1083"/>
        <v>-</v>
      </c>
      <c r="AL196" s="179" t="str">
        <f t="shared" ca="1" si="1083"/>
        <v>-</v>
      </c>
      <c r="AM196" s="179" t="str">
        <f t="shared" ca="1" si="1083"/>
        <v>-</v>
      </c>
      <c r="AO196" s="182" t="str">
        <f t="shared" ca="1" si="1352"/>
        <v>-</v>
      </c>
      <c r="AP196" s="182" t="str">
        <f t="shared" ca="1" si="1352"/>
        <v>-</v>
      </c>
      <c r="AQ196" s="182" t="str">
        <f t="shared" ca="1" si="1352"/>
        <v>-</v>
      </c>
      <c r="AU196" s="185" t="str">
        <f t="shared" ref="AU196" ca="1" si="1588">IF($D196="-","-",IF(LEN(M196)=0,"", INDEX($AT$7:$AT$15,MATCH(IF($V196-INDEX(GridXRange,P196)&lt;0,"Negative",IF($V196-INDEX(GridXRange,P196)&gt;0,"Positive","Zero")) &amp; " - " &amp;IF($W196-INDEX(GridYRange,P196)&lt;0,"Negative",IF($W196-INDEX(GridYRange,P196)&gt;0,"Positive","Zero")),$AS$7:$AS$15,0))))</f>
        <v>-</v>
      </c>
      <c r="AV196" s="186" t="str">
        <f t="shared" ref="AV196" ca="1" si="1589">IF($D196="-","-",IF(LEN(N196)=0,"", INDEX($AT$7:$AT$15,MATCH(IF($V196-INDEX(GridXRange,Q196)&lt;0,"Negative",IF($V196-INDEX(GridXRange,Q196)&gt;0,"Positive","Zero")) &amp; " - " &amp;IF($W196-INDEX(GridYRange,Q196)&lt;0,"Negative",IF($W196-INDEX(GridYRange,Q196)&gt;0,"Positive","Zero")),$AS$7:$AS$15,0))))</f>
        <v>-</v>
      </c>
      <c r="AW196" s="186" t="str">
        <f t="shared" ref="AW196" ca="1" si="1590">IF($D196="-","-",IF(LEN(O196)=0,"", INDEX($AT$7:$AT$15,MATCH(IF($V196-INDEX(GridXRange,R196)&lt;0,"Negative",IF($V196-INDEX(GridXRange,R196)&gt;0,"Positive","Zero")) &amp; " - " &amp;IF($W196-INDEX(GridYRange,R196)&lt;0,"Negative",IF($W196-INDEX(GridYRange,R196)&gt;0,"Positive","Zero")),$AS$7:$AS$15,0))))</f>
        <v>-</v>
      </c>
      <c r="AX196" s="187"/>
      <c r="AY196" s="188"/>
      <c r="AZ196" s="188"/>
      <c r="BA196" s="184"/>
      <c r="BB196" s="187" t="str">
        <f t="shared" ca="1" si="1518"/>
        <v>-</v>
      </c>
      <c r="BC196" s="188" t="str">
        <f t="shared" ca="1" si="1518"/>
        <v>-</v>
      </c>
      <c r="BD196" s="188" t="str">
        <f t="shared" ca="1" si="1518"/>
        <v>-</v>
      </c>
      <c r="BE196" s="189" t="str">
        <f t="shared" ca="1" si="1518"/>
        <v>-</v>
      </c>
      <c r="BK196" s="192" t="str">
        <f t="shared" ref="BK196" ca="1" si="1591">IF($D196="-","-",$BK$5 + (V196-StartGridX) * (GapXDiff + $BW$7))</f>
        <v>-</v>
      </c>
      <c r="BL196" s="192" t="str">
        <f t="shared" ref="BL196" ca="1" si="1592">IF($D196="-","-",$BL$5 + (W196-StartGridY) * (GapYDiff + $BV$7))</f>
        <v>-</v>
      </c>
      <c r="BM196" s="192" t="str">
        <f t="shared" ca="1" si="1090"/>
        <v>-</v>
      </c>
      <c r="BN196" s="192" t="str">
        <f t="shared" ca="1" si="1091"/>
        <v>-</v>
      </c>
      <c r="BO196" s="192" t="str">
        <f t="shared" ca="1" si="1092"/>
        <v>-</v>
      </c>
      <c r="BP196" s="192" t="str">
        <f t="shared" ca="1" si="1093"/>
        <v>-</v>
      </c>
      <c r="BQ196" s="192" t="str">
        <f ca="1">IF($D196="-","-",IF(LEN(K196)=0,1,IFERROR(MATCH(K196,Dashboard!$L$25:$L$31,0),1)))</f>
        <v>-</v>
      </c>
      <c r="CC196" s="143" t="str">
        <f t="shared" ref="CC196" ca="1" si="1593">IF($D196="-","-",IF(COUNTIF(IDSourceRange,E196)&gt;1,1,0))</f>
        <v>-</v>
      </c>
      <c r="CD196" s="143" t="str">
        <f t="shared" ref="CD196" ca="1" si="1594">IF($D196="-","-",  IF(LEN(M196)=0,0,IF(ISERROR(MATCH(M196,IDSourceRange,0)),1,0)) + IF(LEN(N196)=0,0,IF(ISERROR(MATCH(N196,IDSourceRange,0)),1,0)) + IF(LEN(O196)=0,0,IF(ISERROR(MATCH(O196,IDSourceRange,0)),1,0)) )</f>
        <v>-</v>
      </c>
      <c r="CE196" s="143" t="str">
        <f t="shared" ca="1" si="1121"/>
        <v>-</v>
      </c>
      <c r="CF196" s="143" t="s">
        <v>128</v>
      </c>
      <c r="CG196" s="143" t="str">
        <f t="shared" ref="CG196" ca="1" si="1595">IF($D196="-","-",IF(X196="-",0,IF(COUNTIF(GridCombinedRange,X196)&gt;1,1,0)))</f>
        <v>-</v>
      </c>
      <c r="CH196" s="143"/>
      <c r="CI196" s="143"/>
      <c r="CJ196" s="143"/>
      <c r="CK196" s="143"/>
      <c r="CL196" s="143"/>
    </row>
    <row r="197" spans="3:90" x14ac:dyDescent="0.3">
      <c r="C197" s="170">
        <v>191</v>
      </c>
      <c r="D197" s="111" t="str">
        <f ca="1">IF(COUNTA(OFFSET(Dashboard!$B$6,C197,0,1,COUNTA(Dashboard!$B$6:$H$6)))&gt;0,"Yes","-")</f>
        <v>-</v>
      </c>
      <c r="E197" s="170" t="str">
        <f ca="1">IF(D197="-","-",IF(LEN(INDEX(Dashboard!B$6:B$206,$C197+1))=0,"x"&amp;C197&amp;"x","x"&amp;INDEX(Dashboard!B$6:B$206,$C197+1)&amp;"x"))</f>
        <v>-</v>
      </c>
      <c r="F197" s="171" t="str">
        <f ca="1">IF(D197="-","-",IF(LEN(INDEX(Dashboard!$C$6:$C$206,C197+1))=0," ",INDEX(Dashboard!$C$6:$C$206,C197+1)))</f>
        <v>-</v>
      </c>
      <c r="G197" s="219" t="str">
        <f ca="1">IF(OR(D197="-",D197=""),"-",IF(LEN(INDEX(Dashboard!$D$6:$D$228,C197+1))=0,"", "x"&amp;SUBSTITUTE(SUBSTITUTE(INDEX(Dashboard!$D$6:$D$228,C197+1)," ",""),",","x,x")&amp;"x"))</f>
        <v>-</v>
      </c>
      <c r="H197" s="111" t="str">
        <f ca="1">IF(D197="-","-",TRIM(INDEX(Dashboard!$E$6:$E$206,C197+1)))</f>
        <v>-</v>
      </c>
      <c r="I197" s="111" t="str">
        <f ca="1">IF(D197="-","-",IF(LEN(INDEX(Dashboard!$F$6:$F$206,C197+1))=0,$BS$8,IF(ISERROR(MATCH(INDEX(Dashboard!$F$6:$F$206,C197+1),$BS$7:$BS$35,0)),$BS$8,INDEX(Dashboard!$F$6:$F$206,C197+1))))</f>
        <v>-</v>
      </c>
      <c r="J197" s="111" t="str">
        <f ca="1">IF(D197="-","-",SUBSTITUTE(INDEX(Dashboard!$G$6:$G$206,C197+1)," ",""))</f>
        <v>-</v>
      </c>
      <c r="K197" s="111" t="str">
        <f ca="1">IF(D197="-","-",IF(LEN(INDEX(Dashboard!$H$6:$H$206,C197+1))=0,"",INDEX(Dashboard!$H$6:$H$206,C197+1)))</f>
        <v>-</v>
      </c>
      <c r="M197" s="172" t="str">
        <f t="shared" ca="1" si="1514"/>
        <v>-</v>
      </c>
      <c r="N197" s="172" t="str">
        <f t="shared" ca="1" si="1514"/>
        <v>-</v>
      </c>
      <c r="O197" s="172" t="str">
        <f t="shared" ca="1" si="1514"/>
        <v>-</v>
      </c>
      <c r="P197" s="173" t="str">
        <f t="shared" ca="1" si="1350"/>
        <v>-</v>
      </c>
      <c r="Q197" s="172" t="str">
        <f t="shared" ca="1" si="1350"/>
        <v>-</v>
      </c>
      <c r="R197" s="172" t="str">
        <f t="shared" ca="1" si="1350"/>
        <v>-</v>
      </c>
      <c r="S197" s="174" t="str">
        <f t="array" aca="1" ref="S197" ca="1">IF($D197="-","-",SUM(IF(LEN(M197:O197)&gt;0,1,0)))</f>
        <v>-</v>
      </c>
      <c r="T197" s="175" t="str">
        <f t="array" aca="1" ref="T197" ca="1">IF(D197="-","-",SUM(IF(ISERROR(SEARCH(E197,$G$7:$G$206)),0,1)))</f>
        <v>-</v>
      </c>
      <c r="V197" s="204"/>
      <c r="W197" s="127"/>
      <c r="X197" s="177" t="str">
        <f t="shared" si="1097"/>
        <v>-</v>
      </c>
      <c r="Y197" s="178"/>
      <c r="Z197" s="127"/>
      <c r="AB197" s="179" t="str">
        <f t="shared" ca="1" si="1351"/>
        <v>-</v>
      </c>
      <c r="AC197" s="179" t="str">
        <f t="shared" ca="1" si="1351"/>
        <v>-</v>
      </c>
      <c r="AD197" s="179" t="str">
        <f t="shared" ca="1" si="1351"/>
        <v>-</v>
      </c>
      <c r="AJ197" s="181" t="str">
        <f t="shared" ca="1" si="1082"/>
        <v>-</v>
      </c>
      <c r="AK197" s="179" t="str">
        <f t="shared" ca="1" si="1083"/>
        <v>-</v>
      </c>
      <c r="AL197" s="179" t="str">
        <f t="shared" ca="1" si="1083"/>
        <v>-</v>
      </c>
      <c r="AM197" s="179" t="str">
        <f t="shared" ca="1" si="1083"/>
        <v>-</v>
      </c>
      <c r="AO197" s="182" t="str">
        <f t="shared" ca="1" si="1352"/>
        <v>-</v>
      </c>
      <c r="AP197" s="182" t="str">
        <f t="shared" ca="1" si="1352"/>
        <v>-</v>
      </c>
      <c r="AQ197" s="182" t="str">
        <f t="shared" ca="1" si="1352"/>
        <v>-</v>
      </c>
      <c r="AU197" s="185" t="str">
        <f t="shared" ref="AU197" ca="1" si="1596">IF($D197="-","-",IF(LEN(M197)=0,"", INDEX($AT$7:$AT$15,MATCH(IF($V197-INDEX(GridXRange,P197)&lt;0,"Negative",IF($V197-INDEX(GridXRange,P197)&gt;0,"Positive","Zero")) &amp; " - " &amp;IF($W197-INDEX(GridYRange,P197)&lt;0,"Negative",IF($W197-INDEX(GridYRange,P197)&gt;0,"Positive","Zero")),$AS$7:$AS$15,0))))</f>
        <v>-</v>
      </c>
      <c r="AV197" s="186" t="str">
        <f t="shared" ref="AV197" ca="1" si="1597">IF($D197="-","-",IF(LEN(N197)=0,"", INDEX($AT$7:$AT$15,MATCH(IF($V197-INDEX(GridXRange,Q197)&lt;0,"Negative",IF($V197-INDEX(GridXRange,Q197)&gt;0,"Positive","Zero")) &amp; " - " &amp;IF($W197-INDEX(GridYRange,Q197)&lt;0,"Negative",IF($W197-INDEX(GridYRange,Q197)&gt;0,"Positive","Zero")),$AS$7:$AS$15,0))))</f>
        <v>-</v>
      </c>
      <c r="AW197" s="186" t="str">
        <f t="shared" ref="AW197" ca="1" si="1598">IF($D197="-","-",IF(LEN(O197)=0,"", INDEX($AT$7:$AT$15,MATCH(IF($V197-INDEX(GridXRange,R197)&lt;0,"Negative",IF($V197-INDEX(GridXRange,R197)&gt;0,"Positive","Zero")) &amp; " - " &amp;IF($W197-INDEX(GridYRange,R197)&lt;0,"Negative",IF($W197-INDEX(GridYRange,R197)&gt;0,"Positive","Zero")),$AS$7:$AS$15,0))))</f>
        <v>-</v>
      </c>
      <c r="AX197" s="187"/>
      <c r="AY197" s="188"/>
      <c r="AZ197" s="188"/>
      <c r="BA197" s="184"/>
      <c r="BB197" s="187" t="str">
        <f t="shared" ca="1" si="1518"/>
        <v>-</v>
      </c>
      <c r="BC197" s="188" t="str">
        <f t="shared" ca="1" si="1518"/>
        <v>-</v>
      </c>
      <c r="BD197" s="188" t="str">
        <f t="shared" ca="1" si="1518"/>
        <v>-</v>
      </c>
      <c r="BE197" s="189" t="str">
        <f t="shared" ca="1" si="1518"/>
        <v>-</v>
      </c>
      <c r="BK197" s="192" t="str">
        <f t="shared" ref="BK197" ca="1" si="1599">IF($D197="-","-",$BK$5 + (V197-StartGridX) * (GapXDiff + $BW$7))</f>
        <v>-</v>
      </c>
      <c r="BL197" s="192" t="str">
        <f t="shared" ref="BL197" ca="1" si="1600">IF($D197="-","-",$BL$5 + (W197-StartGridY) * (GapYDiff + $BV$7))</f>
        <v>-</v>
      </c>
      <c r="BM197" s="192" t="str">
        <f t="shared" ca="1" si="1090"/>
        <v>-</v>
      </c>
      <c r="BN197" s="192" t="str">
        <f t="shared" ca="1" si="1091"/>
        <v>-</v>
      </c>
      <c r="BO197" s="192" t="str">
        <f t="shared" ca="1" si="1092"/>
        <v>-</v>
      </c>
      <c r="BP197" s="192" t="str">
        <f t="shared" ca="1" si="1093"/>
        <v>-</v>
      </c>
      <c r="BQ197" s="192" t="str">
        <f ca="1">IF($D197="-","-",IF(LEN(K197)=0,1,IFERROR(MATCH(K197,Dashboard!$L$25:$L$31,0),1)))</f>
        <v>-</v>
      </c>
      <c r="CC197" s="143" t="str">
        <f t="shared" ref="CC197" ca="1" si="1601">IF($D197="-","-",IF(COUNTIF(IDSourceRange,E197)&gt;1,1,0))</f>
        <v>-</v>
      </c>
      <c r="CD197" s="143" t="str">
        <f t="shared" ref="CD197" ca="1" si="1602">IF($D197="-","-",  IF(LEN(M197)=0,0,IF(ISERROR(MATCH(M197,IDSourceRange,0)),1,0)) + IF(LEN(N197)=0,0,IF(ISERROR(MATCH(N197,IDSourceRange,0)),1,0)) + IF(LEN(O197)=0,0,IF(ISERROR(MATCH(O197,IDSourceRange,0)),1,0)) )</f>
        <v>-</v>
      </c>
      <c r="CE197" s="143" t="str">
        <f t="shared" ca="1" si="1121"/>
        <v>-</v>
      </c>
      <c r="CF197" s="143" t="s">
        <v>128</v>
      </c>
      <c r="CG197" s="143" t="str">
        <f t="shared" ref="CG197" ca="1" si="1603">IF($D197="-","-",IF(X197="-",0,IF(COUNTIF(GridCombinedRange,X197)&gt;1,1,0)))</f>
        <v>-</v>
      </c>
      <c r="CH197" s="143"/>
      <c r="CI197" s="143"/>
      <c r="CJ197" s="143"/>
      <c r="CK197" s="143"/>
      <c r="CL197" s="143"/>
    </row>
    <row r="198" spans="3:90" x14ac:dyDescent="0.3">
      <c r="C198" s="170">
        <v>192</v>
      </c>
      <c r="D198" s="111" t="str">
        <f ca="1">IF(COUNTA(OFFSET(Dashboard!$B$6,C198,0,1,COUNTA(Dashboard!$B$6:$H$6)))&gt;0,"Yes","-")</f>
        <v>-</v>
      </c>
      <c r="E198" s="170" t="str">
        <f ca="1">IF(D198="-","-",IF(LEN(INDEX(Dashboard!B$6:B$206,$C198+1))=0,"x"&amp;C198&amp;"x","x"&amp;INDEX(Dashboard!B$6:B$206,$C198+1)&amp;"x"))</f>
        <v>-</v>
      </c>
      <c r="F198" s="171" t="str">
        <f ca="1">IF(D198="-","-",IF(LEN(INDEX(Dashboard!$C$6:$C$206,C198+1))=0," ",INDEX(Dashboard!$C$6:$C$206,C198+1)))</f>
        <v>-</v>
      </c>
      <c r="G198" s="219" t="str">
        <f ca="1">IF(OR(D198="-",D198=""),"-",IF(LEN(INDEX(Dashboard!$D$6:$D$228,C198+1))=0,"", "x"&amp;SUBSTITUTE(SUBSTITUTE(INDEX(Dashboard!$D$6:$D$228,C198+1)," ",""),",","x,x")&amp;"x"))</f>
        <v>-</v>
      </c>
      <c r="H198" s="111" t="str">
        <f ca="1">IF(D198="-","-",TRIM(INDEX(Dashboard!$E$6:$E$206,C198+1)))</f>
        <v>-</v>
      </c>
      <c r="I198" s="111" t="str">
        <f ca="1">IF(D198="-","-",IF(LEN(INDEX(Dashboard!$F$6:$F$206,C198+1))=0,$BS$8,IF(ISERROR(MATCH(INDEX(Dashboard!$F$6:$F$206,C198+1),$BS$7:$BS$35,0)),$BS$8,INDEX(Dashboard!$F$6:$F$206,C198+1))))</f>
        <v>-</v>
      </c>
      <c r="J198" s="111" t="str">
        <f ca="1">IF(D198="-","-",SUBSTITUTE(INDEX(Dashboard!$G$6:$G$206,C198+1)," ",""))</f>
        <v>-</v>
      </c>
      <c r="K198" s="111" t="str">
        <f ca="1">IF(D198="-","-",IF(LEN(INDEX(Dashboard!$H$6:$H$206,C198+1))=0,"",INDEX(Dashboard!$H$6:$H$206,C198+1)))</f>
        <v>-</v>
      </c>
      <c r="M198" s="172" t="str">
        <f t="shared" ca="1" si="1514"/>
        <v>-</v>
      </c>
      <c r="N198" s="172" t="str">
        <f t="shared" ca="1" si="1514"/>
        <v>-</v>
      </c>
      <c r="O198" s="172" t="str">
        <f t="shared" ca="1" si="1514"/>
        <v>-</v>
      </c>
      <c r="P198" s="173" t="str">
        <f t="shared" ca="1" si="1350"/>
        <v>-</v>
      </c>
      <c r="Q198" s="172" t="str">
        <f t="shared" ca="1" si="1350"/>
        <v>-</v>
      </c>
      <c r="R198" s="172" t="str">
        <f t="shared" ca="1" si="1350"/>
        <v>-</v>
      </c>
      <c r="S198" s="174" t="str">
        <f t="array" aca="1" ref="S198" ca="1">IF($D198="-","-",SUM(IF(LEN(M198:O198)&gt;0,1,0)))</f>
        <v>-</v>
      </c>
      <c r="T198" s="175" t="str">
        <f t="array" aca="1" ref="T198" ca="1">IF(D198="-","-",SUM(IF(ISERROR(SEARCH(E198,$G$7:$G$206)),0,1)))</f>
        <v>-</v>
      </c>
      <c r="V198" s="204"/>
      <c r="W198" s="127"/>
      <c r="X198" s="177" t="str">
        <f t="shared" si="1097"/>
        <v>-</v>
      </c>
      <c r="Y198" s="178"/>
      <c r="Z198" s="127"/>
      <c r="AB198" s="179" t="str">
        <f t="shared" ca="1" si="1351"/>
        <v>-</v>
      </c>
      <c r="AC198" s="179" t="str">
        <f t="shared" ca="1" si="1351"/>
        <v>-</v>
      </c>
      <c r="AD198" s="179" t="str">
        <f t="shared" ca="1" si="1351"/>
        <v>-</v>
      </c>
      <c r="AJ198" s="181" t="str">
        <f t="shared" ca="1" si="1082"/>
        <v>-</v>
      </c>
      <c r="AK198" s="179" t="str">
        <f t="shared" ca="1" si="1083"/>
        <v>-</v>
      </c>
      <c r="AL198" s="179" t="str">
        <f t="shared" ca="1" si="1083"/>
        <v>-</v>
      </c>
      <c r="AM198" s="179" t="str">
        <f t="shared" ca="1" si="1083"/>
        <v>-</v>
      </c>
      <c r="AO198" s="182" t="str">
        <f t="shared" ca="1" si="1352"/>
        <v>-</v>
      </c>
      <c r="AP198" s="182" t="str">
        <f t="shared" ca="1" si="1352"/>
        <v>-</v>
      </c>
      <c r="AQ198" s="182" t="str">
        <f t="shared" ca="1" si="1352"/>
        <v>-</v>
      </c>
      <c r="AU198" s="185" t="str">
        <f t="shared" ref="AU198" ca="1" si="1604">IF($D198="-","-",IF(LEN(M198)=0,"", INDEX($AT$7:$AT$15,MATCH(IF($V198-INDEX(GridXRange,P198)&lt;0,"Negative",IF($V198-INDEX(GridXRange,P198)&gt;0,"Positive","Zero")) &amp; " - " &amp;IF($W198-INDEX(GridYRange,P198)&lt;0,"Negative",IF($W198-INDEX(GridYRange,P198)&gt;0,"Positive","Zero")),$AS$7:$AS$15,0))))</f>
        <v>-</v>
      </c>
      <c r="AV198" s="186" t="str">
        <f t="shared" ref="AV198" ca="1" si="1605">IF($D198="-","-",IF(LEN(N198)=0,"", INDEX($AT$7:$AT$15,MATCH(IF($V198-INDEX(GridXRange,Q198)&lt;0,"Negative",IF($V198-INDEX(GridXRange,Q198)&gt;0,"Positive","Zero")) &amp; " - " &amp;IF($W198-INDEX(GridYRange,Q198)&lt;0,"Negative",IF($W198-INDEX(GridYRange,Q198)&gt;0,"Positive","Zero")),$AS$7:$AS$15,0))))</f>
        <v>-</v>
      </c>
      <c r="AW198" s="186" t="str">
        <f t="shared" ref="AW198" ca="1" si="1606">IF($D198="-","-",IF(LEN(O198)=0,"", INDEX($AT$7:$AT$15,MATCH(IF($V198-INDEX(GridXRange,R198)&lt;0,"Negative",IF($V198-INDEX(GridXRange,R198)&gt;0,"Positive","Zero")) &amp; " - " &amp;IF($W198-INDEX(GridYRange,R198)&lt;0,"Negative",IF($W198-INDEX(GridYRange,R198)&gt;0,"Positive","Zero")),$AS$7:$AS$15,0))))</f>
        <v>-</v>
      </c>
      <c r="AX198" s="187"/>
      <c r="AY198" s="188"/>
      <c r="AZ198" s="188"/>
      <c r="BA198" s="184"/>
      <c r="BB198" s="187" t="str">
        <f t="shared" ca="1" si="1518"/>
        <v>-</v>
      </c>
      <c r="BC198" s="188" t="str">
        <f t="shared" ca="1" si="1518"/>
        <v>-</v>
      </c>
      <c r="BD198" s="188" t="str">
        <f t="shared" ca="1" si="1518"/>
        <v>-</v>
      </c>
      <c r="BE198" s="189" t="str">
        <f t="shared" ca="1" si="1518"/>
        <v>-</v>
      </c>
      <c r="BK198" s="192" t="str">
        <f t="shared" ref="BK198" ca="1" si="1607">IF($D198="-","-",$BK$5 + (V198-StartGridX) * (GapXDiff + $BW$7))</f>
        <v>-</v>
      </c>
      <c r="BL198" s="192" t="str">
        <f t="shared" ref="BL198" ca="1" si="1608">IF($D198="-","-",$BL$5 + (W198-StartGridY) * (GapYDiff + $BV$7))</f>
        <v>-</v>
      </c>
      <c r="BM198" s="192" t="str">
        <f t="shared" ca="1" si="1090"/>
        <v>-</v>
      </c>
      <c r="BN198" s="192" t="str">
        <f t="shared" ca="1" si="1091"/>
        <v>-</v>
      </c>
      <c r="BO198" s="192" t="str">
        <f t="shared" ca="1" si="1092"/>
        <v>-</v>
      </c>
      <c r="BP198" s="192" t="str">
        <f t="shared" ca="1" si="1093"/>
        <v>-</v>
      </c>
      <c r="BQ198" s="192" t="str">
        <f ca="1">IF($D198="-","-",IF(LEN(K198)=0,1,IFERROR(MATCH(K198,Dashboard!$L$25:$L$31,0),1)))</f>
        <v>-</v>
      </c>
      <c r="CC198" s="143" t="str">
        <f t="shared" ref="CC198" ca="1" si="1609">IF($D198="-","-",IF(COUNTIF(IDSourceRange,E198)&gt;1,1,0))</f>
        <v>-</v>
      </c>
      <c r="CD198" s="143" t="str">
        <f t="shared" ref="CD198" ca="1" si="1610">IF($D198="-","-",  IF(LEN(M198)=0,0,IF(ISERROR(MATCH(M198,IDSourceRange,0)),1,0)) + IF(LEN(N198)=0,0,IF(ISERROR(MATCH(N198,IDSourceRange,0)),1,0)) + IF(LEN(O198)=0,0,IF(ISERROR(MATCH(O198,IDSourceRange,0)),1,0)) )</f>
        <v>-</v>
      </c>
      <c r="CE198" s="143" t="str">
        <f t="shared" ca="1" si="1121"/>
        <v>-</v>
      </c>
      <c r="CF198" s="143" t="s">
        <v>128</v>
      </c>
      <c r="CG198" s="143" t="str">
        <f t="shared" ref="CG198" ca="1" si="1611">IF($D198="-","-",IF(X198="-",0,IF(COUNTIF(GridCombinedRange,X198)&gt;1,1,0)))</f>
        <v>-</v>
      </c>
      <c r="CH198" s="143"/>
      <c r="CI198" s="143"/>
      <c r="CJ198" s="143"/>
      <c r="CK198" s="143"/>
      <c r="CL198" s="143"/>
    </row>
    <row r="199" spans="3:90" x14ac:dyDescent="0.3">
      <c r="C199" s="170">
        <v>193</v>
      </c>
      <c r="D199" s="111" t="str">
        <f ca="1">IF(COUNTA(OFFSET(Dashboard!$B$6,C199,0,1,COUNTA(Dashboard!$B$6:$H$6)))&gt;0,"Yes","-")</f>
        <v>-</v>
      </c>
      <c r="E199" s="170" t="str">
        <f ca="1">IF(D199="-","-",IF(LEN(INDEX(Dashboard!B$6:B$206,$C199+1))=0,"x"&amp;C199&amp;"x","x"&amp;INDEX(Dashboard!B$6:B$206,$C199+1)&amp;"x"))</f>
        <v>-</v>
      </c>
      <c r="F199" s="171" t="str">
        <f ca="1">IF(D199="-","-",IF(LEN(INDEX(Dashboard!$C$6:$C$206,C199+1))=0," ",INDEX(Dashboard!$C$6:$C$206,C199+1)))</f>
        <v>-</v>
      </c>
      <c r="G199" s="219" t="str">
        <f ca="1">IF(OR(D199="-",D199=""),"-",IF(LEN(INDEX(Dashboard!$D$6:$D$228,C199+1))=0,"", "x"&amp;SUBSTITUTE(SUBSTITUTE(INDEX(Dashboard!$D$6:$D$228,C199+1)," ",""),",","x,x")&amp;"x"))</f>
        <v>-</v>
      </c>
      <c r="H199" s="111" t="str">
        <f ca="1">IF(D199="-","-",TRIM(INDEX(Dashboard!$E$6:$E$206,C199+1)))</f>
        <v>-</v>
      </c>
      <c r="I199" s="111" t="str">
        <f ca="1">IF(D199="-","-",IF(LEN(INDEX(Dashboard!$F$6:$F$206,C199+1))=0,$BS$8,IF(ISERROR(MATCH(INDEX(Dashboard!$F$6:$F$206,C199+1),$BS$7:$BS$35,0)),$BS$8,INDEX(Dashboard!$F$6:$F$206,C199+1))))</f>
        <v>-</v>
      </c>
      <c r="J199" s="111" t="str">
        <f ca="1">IF(D199="-","-",SUBSTITUTE(INDEX(Dashboard!$G$6:$G$206,C199+1)," ",""))</f>
        <v>-</v>
      </c>
      <c r="K199" s="111" t="str">
        <f ca="1">IF(D199="-","-",IF(LEN(INDEX(Dashboard!$H$6:$H$206,C199+1))=0,"",INDEX(Dashboard!$H$6:$H$206,C199+1)))</f>
        <v>-</v>
      </c>
      <c r="M199" s="172" t="str">
        <f t="shared" ca="1" si="1514"/>
        <v>-</v>
      </c>
      <c r="N199" s="172" t="str">
        <f t="shared" ca="1" si="1514"/>
        <v>-</v>
      </c>
      <c r="O199" s="172" t="str">
        <f t="shared" ca="1" si="1514"/>
        <v>-</v>
      </c>
      <c r="P199" s="173" t="str">
        <f t="shared" ref="P199:R206" ca="1" si="1612">IF($D199="-","-",IF(LEN(M199)=0,"",MATCH(M199,$E$7:$E$206,0)))</f>
        <v>-</v>
      </c>
      <c r="Q199" s="172" t="str">
        <f t="shared" ca="1" si="1612"/>
        <v>-</v>
      </c>
      <c r="R199" s="172" t="str">
        <f t="shared" ca="1" si="1612"/>
        <v>-</v>
      </c>
      <c r="S199" s="174" t="str">
        <f t="array" aca="1" ref="S199" ca="1">IF($D199="-","-",SUM(IF(LEN(M199:O199)&gt;0,1,0)))</f>
        <v>-</v>
      </c>
      <c r="T199" s="175" t="str">
        <f t="array" aca="1" ref="T199" ca="1">IF(D199="-","-",SUM(IF(ISERROR(SEARCH(E199,$G$7:$G$206)),0,1)))</f>
        <v>-</v>
      </c>
      <c r="V199" s="204"/>
      <c r="W199" s="127"/>
      <c r="X199" s="177" t="str">
        <f t="shared" si="1097"/>
        <v>-</v>
      </c>
      <c r="Y199" s="178"/>
      <c r="Z199" s="127"/>
      <c r="AB199" s="179" t="str">
        <f t="shared" ref="AB199:AD206" ca="1" si="1613">IF($D199="-","-",IF(LEN(M199)=0,"",TRIM(MID(SUBSTITUTE($J199,",",REPT(" ",LEN($J199))),(AB$6-1)*LEN($J199)+1,LEN($J199)))))</f>
        <v>-</v>
      </c>
      <c r="AC199" s="179" t="str">
        <f t="shared" ca="1" si="1613"/>
        <v>-</v>
      </c>
      <c r="AD199" s="179" t="str">
        <f t="shared" ca="1" si="1613"/>
        <v>-</v>
      </c>
      <c r="AJ199" s="181" t="str">
        <f t="shared" ref="AJ199:AJ206" ca="1" si="1614">IF(D199="-","-",IF(LEN(Y199)=0,"Right",INDEX($AK$7:$AM$206,$Y199,MATCH($C199,OFFSET($P$6,$Y199,0,1,COUNTA($P$6:$R$6)),0))))</f>
        <v>-</v>
      </c>
      <c r="AK199" s="179" t="str">
        <f t="shared" ref="AK199:AM206" ca="1" si="1615">IF($D199="-","-",IF(LEN(M199)=0,"",IF(AND(LEN(AB199)&lt;&gt;0,ISNUMBER(MATCH(AB199,$AF$7:$AF$17,0))),AB199,IF(AK$6=1,INDEX($AG$7:$AG$17,MATCH($AJ199,$AF$7:$AF$17,0)),IF(AK$6=2,INDEX($AH$7:$AH$17,MATCH($AJ199,$AF$7:$AF$17,0)),IF(AK$6=3,INDEX($AI$7:$AI$17,MATCH($AJ199,$AF$7:$AF$17,0)),INDEX($AG$7:$AG$17,MATCH($AJ199,$AF$7:$AF$17,0))))))))</f>
        <v>-</v>
      </c>
      <c r="AL199" s="179" t="str">
        <f t="shared" ca="1" si="1615"/>
        <v>-</v>
      </c>
      <c r="AM199" s="179" t="str">
        <f t="shared" ca="1" si="1615"/>
        <v>-</v>
      </c>
      <c r="AO199" s="182" t="str">
        <f t="shared" ref="AO199:AQ206" ca="1" si="1616">IF($D199="-","-",IF(LEN(M199)=0,"",TRIM(MID(SUBSTITUTE($H199,",",REPT(" ",LEN($H199))),(M$6-1)*LEN($H199)+1,LEN($H199)))))</f>
        <v>-</v>
      </c>
      <c r="AP199" s="182" t="str">
        <f t="shared" ca="1" si="1616"/>
        <v>-</v>
      </c>
      <c r="AQ199" s="182" t="str">
        <f t="shared" ca="1" si="1616"/>
        <v>-</v>
      </c>
      <c r="AU199" s="185" t="str">
        <f t="shared" ref="AU199" ca="1" si="1617">IF($D199="-","-",IF(LEN(M199)=0,"", INDEX($AT$7:$AT$15,MATCH(IF($V199-INDEX(GridXRange,P199)&lt;0,"Negative",IF($V199-INDEX(GridXRange,P199)&gt;0,"Positive","Zero")) &amp; " - " &amp;IF($W199-INDEX(GridYRange,P199)&lt;0,"Negative",IF($W199-INDEX(GridYRange,P199)&gt;0,"Positive","Zero")),$AS$7:$AS$15,0))))</f>
        <v>-</v>
      </c>
      <c r="AV199" s="186" t="str">
        <f t="shared" ref="AV199" ca="1" si="1618">IF($D199="-","-",IF(LEN(N199)=0,"", INDEX($AT$7:$AT$15,MATCH(IF($V199-INDEX(GridXRange,Q199)&lt;0,"Negative",IF($V199-INDEX(GridXRange,Q199)&gt;0,"Positive","Zero")) &amp; " - " &amp;IF($W199-INDEX(GridYRange,Q199)&lt;0,"Negative",IF($W199-INDEX(GridYRange,Q199)&gt;0,"Positive","Zero")),$AS$7:$AS$15,0))))</f>
        <v>-</v>
      </c>
      <c r="AW199" s="186" t="str">
        <f t="shared" ref="AW199" ca="1" si="1619">IF($D199="-","-",IF(LEN(O199)=0,"", INDEX($AT$7:$AT$15,MATCH(IF($V199-INDEX(GridXRange,R199)&lt;0,"Negative",IF($V199-INDEX(GridXRange,R199)&gt;0,"Positive","Zero")) &amp; " - " &amp;IF($W199-INDEX(GridYRange,R199)&lt;0,"Negative",IF($W199-INDEX(GridYRange,R199)&gt;0,"Positive","Zero")),$AS$7:$AS$15,0))))</f>
        <v>-</v>
      </c>
      <c r="AX199" s="187"/>
      <c r="AY199" s="188"/>
      <c r="AZ199" s="188"/>
      <c r="BA199" s="184"/>
      <c r="BB199" s="187" t="str">
        <f t="shared" ca="1" si="1518"/>
        <v>-</v>
      </c>
      <c r="BC199" s="188" t="str">
        <f t="shared" ca="1" si="1518"/>
        <v>-</v>
      </c>
      <c r="BD199" s="188" t="str">
        <f t="shared" ca="1" si="1518"/>
        <v>-</v>
      </c>
      <c r="BE199" s="189" t="str">
        <f t="shared" ca="1" si="1518"/>
        <v>-</v>
      </c>
      <c r="BK199" s="192" t="str">
        <f t="shared" ref="BK199" ca="1" si="1620">IF($D199="-","-",$BK$5 + (V199-StartGridX) * (GapXDiff + $BW$7))</f>
        <v>-</v>
      </c>
      <c r="BL199" s="192" t="str">
        <f t="shared" ref="BL199" ca="1" si="1621">IF($D199="-","-",$BL$5 + (W199-StartGridY) * (GapYDiff + $BV$7))</f>
        <v>-</v>
      </c>
      <c r="BM199" s="192" t="str">
        <f t="shared" ref="BM199:BM206" ca="1" si="1622">IF(D199="-","-",IFERROR(INDEX($BW$7:$BW$35,MATCH(I199,$BS$7:$BS$35,0)),$BW$7))</f>
        <v>-</v>
      </c>
      <c r="BN199" s="192" t="str">
        <f t="shared" ref="BN199:BN206" ca="1" si="1623">IF(D199="-","-",IFERROR(INDEX($BV$7:$BV$35,MATCH(I199,$BS$7:$BS$35,0)),$BV$7))</f>
        <v>-</v>
      </c>
      <c r="BO199" s="192" t="str">
        <f t="shared" ref="BO199:BO206" ca="1" si="1624">IF($D199="-","-",INDEX($BU$7:$BU$35,MATCH(I199,$BS$7:$BS$35,0)))</f>
        <v>-</v>
      </c>
      <c r="BP199" s="192" t="str">
        <f t="shared" ref="BP199:BP206" ca="1" si="1625">F199</f>
        <v>-</v>
      </c>
      <c r="BQ199" s="192" t="str">
        <f ca="1">IF($D199="-","-",IF(LEN(K199)=0,1,IFERROR(MATCH(K199,Dashboard!$L$25:$L$31,0),1)))</f>
        <v>-</v>
      </c>
      <c r="CC199" s="143" t="str">
        <f t="shared" ref="CC199" ca="1" si="1626">IF($D199="-","-",IF(COUNTIF(IDSourceRange,E199)&gt;1,1,0))</f>
        <v>-</v>
      </c>
      <c r="CD199" s="143" t="str">
        <f t="shared" ref="CD199" ca="1" si="1627">IF($D199="-","-",  IF(LEN(M199)=0,0,IF(ISERROR(MATCH(M199,IDSourceRange,0)),1,0)) + IF(LEN(N199)=0,0,IF(ISERROR(MATCH(N199,IDSourceRange,0)),1,0)) + IF(LEN(O199)=0,0,IF(ISERROR(MATCH(O199,IDSourceRange,0)),1,0)) )</f>
        <v>-</v>
      </c>
      <c r="CE199" s="143" t="str">
        <f t="shared" ca="1" si="1121"/>
        <v>-</v>
      </c>
      <c r="CF199" s="143" t="s">
        <v>128</v>
      </c>
      <c r="CG199" s="143" t="str">
        <f t="shared" ref="CG199" ca="1" si="1628">IF($D199="-","-",IF(X199="-",0,IF(COUNTIF(GridCombinedRange,X199)&gt;1,1,0)))</f>
        <v>-</v>
      </c>
      <c r="CH199" s="143"/>
      <c r="CI199" s="143"/>
      <c r="CJ199" s="143"/>
      <c r="CK199" s="143"/>
      <c r="CL199" s="143"/>
    </row>
    <row r="200" spans="3:90" x14ac:dyDescent="0.3">
      <c r="C200" s="170">
        <v>194</v>
      </c>
      <c r="D200" s="111" t="str">
        <f ca="1">IF(COUNTA(OFFSET(Dashboard!$B$6,C200,0,1,COUNTA(Dashboard!$B$6:$H$6)))&gt;0,"Yes","-")</f>
        <v>-</v>
      </c>
      <c r="E200" s="170" t="str">
        <f ca="1">IF(D200="-","-",IF(LEN(INDEX(Dashboard!B$6:B$206,$C200+1))=0,"x"&amp;C200&amp;"x","x"&amp;INDEX(Dashboard!B$6:B$206,$C200+1)&amp;"x"))</f>
        <v>-</v>
      </c>
      <c r="F200" s="171" t="str">
        <f ca="1">IF(D200="-","-",IF(LEN(INDEX(Dashboard!$C$6:$C$206,C200+1))=0," ",INDEX(Dashboard!$C$6:$C$206,C200+1)))</f>
        <v>-</v>
      </c>
      <c r="G200" s="219" t="str">
        <f ca="1">IF(OR(D200="-",D200=""),"-",IF(LEN(INDEX(Dashboard!$D$6:$D$228,C200+1))=0,"", "x"&amp;SUBSTITUTE(SUBSTITUTE(INDEX(Dashboard!$D$6:$D$228,C200+1)," ",""),",","x,x")&amp;"x"))</f>
        <v>-</v>
      </c>
      <c r="H200" s="111" t="str">
        <f ca="1">IF(D200="-","-",TRIM(INDEX(Dashboard!$E$6:$E$206,C200+1)))</f>
        <v>-</v>
      </c>
      <c r="I200" s="111" t="str">
        <f ca="1">IF(D200="-","-",IF(LEN(INDEX(Dashboard!$F$6:$F$206,C200+1))=0,$BS$8,IF(ISERROR(MATCH(INDEX(Dashboard!$F$6:$F$206,C200+1),$BS$7:$BS$35,0)),$BS$8,INDEX(Dashboard!$F$6:$F$206,C200+1))))</f>
        <v>-</v>
      </c>
      <c r="J200" s="219" t="str">
        <f ca="1">IF(D200="-","-",SUBSTITUTE(INDEX(Dashboard!$G$6:$G$228,C200+1)," ",""))</f>
        <v>-</v>
      </c>
      <c r="K200" s="111" t="str">
        <f ca="1">IF(D200="-","-",IF(LEN(INDEX(Dashboard!$H$6:$H$206,C200+1))=0,"",INDEX(Dashboard!$H$6:$H$206,C200+1)))</f>
        <v>-</v>
      </c>
      <c r="M200" s="172" t="str">
        <f t="shared" ca="1" si="1514"/>
        <v>-</v>
      </c>
      <c r="N200" s="172" t="str">
        <f t="shared" ca="1" si="1514"/>
        <v>-</v>
      </c>
      <c r="O200" s="172" t="str">
        <f t="shared" ca="1" si="1514"/>
        <v>-</v>
      </c>
      <c r="P200" s="173" t="str">
        <f t="shared" ca="1" si="1612"/>
        <v>-</v>
      </c>
      <c r="Q200" s="172" t="str">
        <f t="shared" ca="1" si="1612"/>
        <v>-</v>
      </c>
      <c r="R200" s="172" t="str">
        <f t="shared" ca="1" si="1612"/>
        <v>-</v>
      </c>
      <c r="S200" s="174" t="str">
        <f t="array" aca="1" ref="S200" ca="1">IF($D200="-","-",SUM(IF(LEN(M200:O200)&gt;0,1,0)))</f>
        <v>-</v>
      </c>
      <c r="T200" s="175" t="str">
        <f t="array" aca="1" ref="T200" ca="1">IF(D200="-","-",SUM(IF(ISERROR(SEARCH(E200,$G$7:$G$206)),0,1)))</f>
        <v>-</v>
      </c>
      <c r="V200" s="204"/>
      <c r="W200" s="127"/>
      <c r="X200" s="177" t="str">
        <f t="shared" ref="X200:X206" si="1629">IF(AND(LEN(V200)&gt;0,LEN(W200)&gt;0),V200&amp;"-"&amp;W200,"-")</f>
        <v>-</v>
      </c>
      <c r="Y200" s="178"/>
      <c r="Z200" s="127"/>
      <c r="AB200" s="179" t="str">
        <f t="shared" ca="1" si="1613"/>
        <v>-</v>
      </c>
      <c r="AC200" s="179" t="str">
        <f t="shared" ca="1" si="1613"/>
        <v>-</v>
      </c>
      <c r="AD200" s="179" t="str">
        <f t="shared" ca="1" si="1613"/>
        <v>-</v>
      </c>
      <c r="AJ200" s="181" t="str">
        <f t="shared" ca="1" si="1614"/>
        <v>-</v>
      </c>
      <c r="AK200" s="179" t="str">
        <f t="shared" ca="1" si="1615"/>
        <v>-</v>
      </c>
      <c r="AL200" s="179" t="str">
        <f t="shared" ca="1" si="1615"/>
        <v>-</v>
      </c>
      <c r="AM200" s="179" t="str">
        <f t="shared" ca="1" si="1615"/>
        <v>-</v>
      </c>
      <c r="AO200" s="182" t="str">
        <f t="shared" ca="1" si="1616"/>
        <v>-</v>
      </c>
      <c r="AP200" s="182" t="str">
        <f t="shared" ca="1" si="1616"/>
        <v>-</v>
      </c>
      <c r="AQ200" s="182" t="str">
        <f t="shared" ca="1" si="1616"/>
        <v>-</v>
      </c>
      <c r="AU200" s="185" t="str">
        <f t="shared" ref="AU200" ca="1" si="1630">IF($D200="-","-",IF(LEN(M200)=0,"", INDEX($AT$7:$AT$15,MATCH(IF($V200-INDEX(GridXRange,P200)&lt;0,"Negative",IF($V200-INDEX(GridXRange,P200)&gt;0,"Positive","Zero")) &amp; " - " &amp;IF($W200-INDEX(GridYRange,P200)&lt;0,"Negative",IF($W200-INDEX(GridYRange,P200)&gt;0,"Positive","Zero")),$AS$7:$AS$15,0))))</f>
        <v>-</v>
      </c>
      <c r="AV200" s="186" t="str">
        <f t="shared" ref="AV200" ca="1" si="1631">IF($D200="-","-",IF(LEN(N200)=0,"", INDEX($AT$7:$AT$15,MATCH(IF($V200-INDEX(GridXRange,Q200)&lt;0,"Negative",IF($V200-INDEX(GridXRange,Q200)&gt;0,"Positive","Zero")) &amp; " - " &amp;IF($W200-INDEX(GridYRange,Q200)&lt;0,"Negative",IF($W200-INDEX(GridYRange,Q200)&gt;0,"Positive","Zero")),$AS$7:$AS$15,0))))</f>
        <v>-</v>
      </c>
      <c r="AW200" s="186" t="str">
        <f t="shared" ref="AW200" ca="1" si="1632">IF($D200="-","-",IF(LEN(O200)=0,"", INDEX($AT$7:$AT$15,MATCH(IF($V200-INDEX(GridXRange,R200)&lt;0,"Negative",IF($V200-INDEX(GridXRange,R200)&gt;0,"Positive","Zero")) &amp; " - " &amp;IF($W200-INDEX(GridYRange,R200)&lt;0,"Negative",IF($W200-INDEX(GridYRange,R200)&gt;0,"Positive","Zero")),$AS$7:$AS$15,0))))</f>
        <v>-</v>
      </c>
      <c r="AX200" s="187"/>
      <c r="AY200" s="188"/>
      <c r="AZ200" s="188"/>
      <c r="BA200" s="184"/>
      <c r="BB200" s="187" t="str">
        <f t="shared" ca="1" si="1518"/>
        <v>-</v>
      </c>
      <c r="BC200" s="188" t="str">
        <f t="shared" ca="1" si="1518"/>
        <v>-</v>
      </c>
      <c r="BD200" s="188" t="str">
        <f t="shared" ca="1" si="1518"/>
        <v>-</v>
      </c>
      <c r="BE200" s="189" t="str">
        <f t="shared" ca="1" si="1518"/>
        <v>-</v>
      </c>
      <c r="BK200" s="192" t="str">
        <f t="shared" ref="BK200" ca="1" si="1633">IF($D200="-","-",$BK$5 + (V200-StartGridX) * (GapXDiff + $BW$7))</f>
        <v>-</v>
      </c>
      <c r="BL200" s="192" t="str">
        <f t="shared" ref="BL200" ca="1" si="1634">IF($D200="-","-",$BL$5 + (W200-StartGridY) * (GapYDiff + $BV$7))</f>
        <v>-</v>
      </c>
      <c r="BM200" s="192" t="str">
        <f t="shared" ca="1" si="1622"/>
        <v>-</v>
      </c>
      <c r="BN200" s="192" t="str">
        <f t="shared" ca="1" si="1623"/>
        <v>-</v>
      </c>
      <c r="BO200" s="192" t="str">
        <f t="shared" ca="1" si="1624"/>
        <v>-</v>
      </c>
      <c r="BP200" s="192" t="str">
        <f t="shared" ca="1" si="1625"/>
        <v>-</v>
      </c>
      <c r="BQ200" s="192" t="str">
        <f ca="1">IF($D200="-","-",IF(LEN(K200)=0,1,IFERROR(MATCH(K200,Dashboard!$L$25:$L$31,0),1)))</f>
        <v>-</v>
      </c>
      <c r="CC200" s="143" t="str">
        <f t="shared" ref="CC200" ca="1" si="1635">IF($D200="-","-",IF(COUNTIF(IDSourceRange,E200)&gt;1,1,0))</f>
        <v>-</v>
      </c>
      <c r="CD200" s="143" t="str">
        <f t="shared" ref="CD200" ca="1" si="1636">IF($D200="-","-",  IF(LEN(M200)=0,0,IF(ISERROR(MATCH(M200,IDSourceRange,0)),1,0)) + IF(LEN(N200)=0,0,IF(ISERROR(MATCH(N200,IDSourceRange,0)),1,0)) + IF(LEN(O200)=0,0,IF(ISERROR(MATCH(O200,IDSourceRange,0)),1,0)) )</f>
        <v>-</v>
      </c>
      <c r="CE200" s="143" t="str">
        <f t="shared" ca="1" si="1121"/>
        <v>-</v>
      </c>
      <c r="CF200" s="143" t="s">
        <v>128</v>
      </c>
      <c r="CG200" s="143" t="str">
        <f t="shared" ref="CG200" ca="1" si="1637">IF($D200="-","-",IF(X200="-",0,IF(COUNTIF(GridCombinedRange,X200)&gt;1,1,0)))</f>
        <v>-</v>
      </c>
      <c r="CH200" s="143"/>
      <c r="CI200" s="143"/>
      <c r="CJ200" s="143"/>
      <c r="CK200" s="143"/>
      <c r="CL200" s="143"/>
    </row>
    <row r="201" spans="3:90" x14ac:dyDescent="0.3">
      <c r="C201" s="170">
        <v>195</v>
      </c>
      <c r="D201" s="111" t="str">
        <f ca="1">IF(COUNTA(OFFSET(Dashboard!$B$6,C201,0,1,COUNTA(Dashboard!$B$6:$H$6)))&gt;0,"Yes","-")</f>
        <v>-</v>
      </c>
      <c r="E201" s="170" t="str">
        <f ca="1">IF(D201="-","-",IF(LEN(INDEX(Dashboard!B$6:B$206,$C201+1))=0,"x"&amp;C201&amp;"x","x"&amp;INDEX(Dashboard!B$6:B$206,$C201+1)&amp;"x"))</f>
        <v>-</v>
      </c>
      <c r="F201" s="171" t="str">
        <f ca="1">IF(D201="-","-",IF(LEN(INDEX(Dashboard!$C$6:$C$206,C201+1))=0," ",INDEX(Dashboard!$C$6:$C$206,C201+1)))</f>
        <v>-</v>
      </c>
      <c r="G201" s="219" t="str">
        <f ca="1">IF(OR(D201="-",D201=""),"-",IF(LEN(INDEX(Dashboard!$D$6:$D$228,C201+1))=0,"", "x"&amp;SUBSTITUTE(SUBSTITUTE(INDEX(Dashboard!$D$6:$D$228,C201+1)," ",""),",","x,x")&amp;"x"))</f>
        <v>-</v>
      </c>
      <c r="H201" s="111" t="str">
        <f ca="1">IF(D201="-","-",TRIM(INDEX(Dashboard!$E$6:$E$206,C201+1)))</f>
        <v>-</v>
      </c>
      <c r="I201" s="111" t="str">
        <f ca="1">IF(D201="-","-",IF(LEN(INDEX(Dashboard!$F$6:$F$206,C201+1))=0,$BS$8,IF(ISERROR(MATCH(INDEX(Dashboard!$F$6:$F$206,C201+1),$BS$7:$BS$35,0)),$BS$8,INDEX(Dashboard!$F$6:$F$206,C201+1))))</f>
        <v>-</v>
      </c>
      <c r="J201" s="111" t="str">
        <f ca="1">IF(D201="-","-",SUBSTITUTE(INDEX(Dashboard!$G$6:$G$206,C201+1)," ",""))</f>
        <v>-</v>
      </c>
      <c r="K201" s="111" t="str">
        <f ca="1">IF(D201="-","-",IF(LEN(INDEX(Dashboard!$H$6:$H$206,C201+1))=0,"",INDEX(Dashboard!$H$6:$H$206,C201+1)))</f>
        <v>-</v>
      </c>
      <c r="M201" s="172" t="str">
        <f t="shared" ca="1" si="1514"/>
        <v>-</v>
      </c>
      <c r="N201" s="172" t="str">
        <f t="shared" ca="1" si="1514"/>
        <v>-</v>
      </c>
      <c r="O201" s="172" t="str">
        <f t="shared" ca="1" si="1514"/>
        <v>-</v>
      </c>
      <c r="P201" s="173" t="str">
        <f t="shared" ca="1" si="1612"/>
        <v>-</v>
      </c>
      <c r="Q201" s="172" t="str">
        <f t="shared" ca="1" si="1612"/>
        <v>-</v>
      </c>
      <c r="R201" s="172" t="str">
        <f t="shared" ca="1" si="1612"/>
        <v>-</v>
      </c>
      <c r="S201" s="174" t="str">
        <f t="array" aca="1" ref="S201" ca="1">IF($D201="-","-",SUM(IF(LEN(M201:O201)&gt;0,1,0)))</f>
        <v>-</v>
      </c>
      <c r="T201" s="175" t="str">
        <f t="array" aca="1" ref="T201" ca="1">IF(D201="-","-",SUM(IF(ISERROR(SEARCH(E201,$G$7:$G$206)),0,1)))</f>
        <v>-</v>
      </c>
      <c r="V201" s="204"/>
      <c r="W201" s="127"/>
      <c r="X201" s="177" t="str">
        <f t="shared" si="1629"/>
        <v>-</v>
      </c>
      <c r="Y201" s="178"/>
      <c r="Z201" s="127"/>
      <c r="AB201" s="179" t="str">
        <f t="shared" ca="1" si="1613"/>
        <v>-</v>
      </c>
      <c r="AC201" s="179" t="str">
        <f t="shared" ca="1" si="1613"/>
        <v>-</v>
      </c>
      <c r="AD201" s="179" t="str">
        <f t="shared" ca="1" si="1613"/>
        <v>-</v>
      </c>
      <c r="AJ201" s="181" t="str">
        <f t="shared" ca="1" si="1614"/>
        <v>-</v>
      </c>
      <c r="AK201" s="179" t="str">
        <f t="shared" ca="1" si="1615"/>
        <v>-</v>
      </c>
      <c r="AL201" s="179" t="str">
        <f t="shared" ca="1" si="1615"/>
        <v>-</v>
      </c>
      <c r="AM201" s="179" t="str">
        <f t="shared" ca="1" si="1615"/>
        <v>-</v>
      </c>
      <c r="AO201" s="182" t="str">
        <f t="shared" ca="1" si="1616"/>
        <v>-</v>
      </c>
      <c r="AP201" s="182" t="str">
        <f t="shared" ca="1" si="1616"/>
        <v>-</v>
      </c>
      <c r="AQ201" s="182" t="str">
        <f t="shared" ca="1" si="1616"/>
        <v>-</v>
      </c>
      <c r="AU201" s="185" t="str">
        <f t="shared" ref="AU201" ca="1" si="1638">IF($D201="-","-",IF(LEN(M201)=0,"", INDEX($AT$7:$AT$15,MATCH(IF($V201-INDEX(GridXRange,P201)&lt;0,"Negative",IF($V201-INDEX(GridXRange,P201)&gt;0,"Positive","Zero")) &amp; " - " &amp;IF($W201-INDEX(GridYRange,P201)&lt;0,"Negative",IF($W201-INDEX(GridYRange,P201)&gt;0,"Positive","Zero")),$AS$7:$AS$15,0))))</f>
        <v>-</v>
      </c>
      <c r="AV201" s="186" t="str">
        <f t="shared" ref="AV201" ca="1" si="1639">IF($D201="-","-",IF(LEN(N201)=0,"", INDEX($AT$7:$AT$15,MATCH(IF($V201-INDEX(GridXRange,Q201)&lt;0,"Negative",IF($V201-INDEX(GridXRange,Q201)&gt;0,"Positive","Zero")) &amp; " - " &amp;IF($W201-INDEX(GridYRange,Q201)&lt;0,"Negative",IF($W201-INDEX(GridYRange,Q201)&gt;0,"Positive","Zero")),$AS$7:$AS$15,0))))</f>
        <v>-</v>
      </c>
      <c r="AW201" s="186" t="str">
        <f t="shared" ref="AW201" ca="1" si="1640">IF($D201="-","-",IF(LEN(O201)=0,"", INDEX($AT$7:$AT$15,MATCH(IF($V201-INDEX(GridXRange,R201)&lt;0,"Negative",IF($V201-INDEX(GridXRange,R201)&gt;0,"Positive","Zero")) &amp; " - " &amp;IF($W201-INDEX(GridYRange,R201)&lt;0,"Negative",IF($W201-INDEX(GridYRange,R201)&gt;0,"Positive","Zero")),$AS$7:$AS$15,0))))</f>
        <v>-</v>
      </c>
      <c r="AX201" s="187"/>
      <c r="AY201" s="188"/>
      <c r="AZ201" s="188"/>
      <c r="BA201" s="184"/>
      <c r="BB201" s="187" t="str">
        <f t="shared" ca="1" si="1518"/>
        <v>-</v>
      </c>
      <c r="BC201" s="188" t="str">
        <f t="shared" ca="1" si="1518"/>
        <v>-</v>
      </c>
      <c r="BD201" s="188" t="str">
        <f t="shared" ca="1" si="1518"/>
        <v>-</v>
      </c>
      <c r="BE201" s="189" t="str">
        <f t="shared" ca="1" si="1518"/>
        <v>-</v>
      </c>
      <c r="BK201" s="192" t="str">
        <f t="shared" ref="BK201" ca="1" si="1641">IF($D201="-","-",$BK$5 + (V201-StartGridX) * (GapXDiff + $BW$7))</f>
        <v>-</v>
      </c>
      <c r="BL201" s="192" t="str">
        <f t="shared" ref="BL201" ca="1" si="1642">IF($D201="-","-",$BL$5 + (W201-StartGridY) * (GapYDiff + $BV$7))</f>
        <v>-</v>
      </c>
      <c r="BM201" s="192" t="str">
        <f t="shared" ca="1" si="1622"/>
        <v>-</v>
      </c>
      <c r="BN201" s="192" t="str">
        <f t="shared" ca="1" si="1623"/>
        <v>-</v>
      </c>
      <c r="BO201" s="192" t="str">
        <f t="shared" ca="1" si="1624"/>
        <v>-</v>
      </c>
      <c r="BP201" s="192" t="str">
        <f t="shared" ca="1" si="1625"/>
        <v>-</v>
      </c>
      <c r="BQ201" s="192" t="str">
        <f ca="1">IF($D201="-","-",IF(LEN(K201)=0,1,IFERROR(MATCH(K201,Dashboard!$L$25:$L$31,0),1)))</f>
        <v>-</v>
      </c>
      <c r="CC201" s="143" t="str">
        <f t="shared" ref="CC201" ca="1" si="1643">IF($D201="-","-",IF(COUNTIF(IDSourceRange,E201)&gt;1,1,0))</f>
        <v>-</v>
      </c>
      <c r="CD201" s="143" t="str">
        <f t="shared" ref="CD201" ca="1" si="1644">IF($D201="-","-",  IF(LEN(M201)=0,0,IF(ISERROR(MATCH(M201,IDSourceRange,0)),1,0)) + IF(LEN(N201)=0,0,IF(ISERROR(MATCH(N201,IDSourceRange,0)),1,0)) + IF(LEN(O201)=0,0,IF(ISERROR(MATCH(O201,IDSourceRange,0)),1,0)) )</f>
        <v>-</v>
      </c>
      <c r="CE201" s="143" t="str">
        <f t="shared" ca="1" si="1121"/>
        <v>-</v>
      </c>
      <c r="CF201" s="143" t="s">
        <v>128</v>
      </c>
      <c r="CG201" s="143" t="str">
        <f t="shared" ref="CG201" ca="1" si="1645">IF($D201="-","-",IF(X201="-",0,IF(COUNTIF(GridCombinedRange,X201)&gt;1,1,0)))</f>
        <v>-</v>
      </c>
      <c r="CH201" s="143"/>
      <c r="CI201" s="143"/>
      <c r="CJ201" s="143"/>
      <c r="CK201" s="143"/>
      <c r="CL201" s="143"/>
    </row>
    <row r="202" spans="3:90" x14ac:dyDescent="0.3">
      <c r="C202" s="170">
        <v>196</v>
      </c>
      <c r="D202" s="111" t="str">
        <f ca="1">IF(COUNTA(OFFSET(Dashboard!$B$6,C202,0,1,COUNTA(Dashboard!$B$6:$H$6)))&gt;0,"Yes","-")</f>
        <v>-</v>
      </c>
      <c r="E202" s="170" t="str">
        <f ca="1">IF(D202="-","-",IF(LEN(INDEX(Dashboard!B$6:B$206,$C202+1))=0,"x"&amp;C202&amp;"x","x"&amp;INDEX(Dashboard!B$6:B$206,$C202+1)&amp;"x"))</f>
        <v>-</v>
      </c>
      <c r="F202" s="171" t="str">
        <f ca="1">IF(D202="-","-",IF(LEN(INDEX(Dashboard!$C$6:$C$206,C202+1))=0," ",INDEX(Dashboard!$C$6:$C$206,C202+1)))</f>
        <v>-</v>
      </c>
      <c r="G202" s="219" t="str">
        <f ca="1">IF(OR(D202="-",D202=""),"-",IF(LEN(INDEX(Dashboard!$D$6:$D$228,C202+1))=0,"", "x"&amp;SUBSTITUTE(SUBSTITUTE(INDEX(Dashboard!$D$6:$D$228,C202+1)," ",""),",","x,x")&amp;"x"))</f>
        <v>-</v>
      </c>
      <c r="H202" s="111" t="str">
        <f ca="1">IF(D202="-","-",TRIM(INDEX(Dashboard!$E$6:$E$206,C202+1)))</f>
        <v>-</v>
      </c>
      <c r="I202" s="111" t="str">
        <f ca="1">IF(D202="-","-",IF(LEN(INDEX(Dashboard!$F$6:$F$206,C202+1))=0,$BS$8,IF(ISERROR(MATCH(INDEX(Dashboard!$F$6:$F$206,C202+1),$BS$7:$BS$35,0)),$BS$8,INDEX(Dashboard!$F$6:$F$206,C202+1))))</f>
        <v>-</v>
      </c>
      <c r="J202" s="111" t="str">
        <f ca="1">IF(D202="-","-",SUBSTITUTE(INDEX(Dashboard!$G$6:$G$206,C202+1)," ",""))</f>
        <v>-</v>
      </c>
      <c r="K202" s="111" t="str">
        <f ca="1">IF(D202="-","-",IF(LEN(INDEX(Dashboard!$H$6:$H$206,C202+1))=0,"",INDEX(Dashboard!$H$6:$H$206,C202+1)))</f>
        <v>-</v>
      </c>
      <c r="M202" s="172" t="str">
        <f t="shared" ca="1" si="1514"/>
        <v>-</v>
      </c>
      <c r="N202" s="172" t="str">
        <f t="shared" ca="1" si="1514"/>
        <v>-</v>
      </c>
      <c r="O202" s="172" t="str">
        <f t="shared" ca="1" si="1514"/>
        <v>-</v>
      </c>
      <c r="P202" s="173" t="str">
        <f t="shared" ca="1" si="1612"/>
        <v>-</v>
      </c>
      <c r="Q202" s="172" t="str">
        <f t="shared" ca="1" si="1612"/>
        <v>-</v>
      </c>
      <c r="R202" s="172" t="str">
        <f t="shared" ca="1" si="1612"/>
        <v>-</v>
      </c>
      <c r="S202" s="174" t="str">
        <f t="array" aca="1" ref="S202" ca="1">IF($D202="-","-",SUM(IF(LEN(M202:O202)&gt;0,1,0)))</f>
        <v>-</v>
      </c>
      <c r="T202" s="175" t="str">
        <f t="array" aca="1" ref="T202" ca="1">IF(D202="-","-",SUM(IF(ISERROR(SEARCH(E202,$G$7:$G$206)),0,1)))</f>
        <v>-</v>
      </c>
      <c r="V202" s="204"/>
      <c r="W202" s="127"/>
      <c r="X202" s="177" t="str">
        <f t="shared" si="1629"/>
        <v>-</v>
      </c>
      <c r="Y202" s="178"/>
      <c r="Z202" s="127"/>
      <c r="AB202" s="179" t="str">
        <f t="shared" ca="1" si="1613"/>
        <v>-</v>
      </c>
      <c r="AC202" s="179" t="str">
        <f t="shared" ca="1" si="1613"/>
        <v>-</v>
      </c>
      <c r="AD202" s="179" t="str">
        <f t="shared" ca="1" si="1613"/>
        <v>-</v>
      </c>
      <c r="AJ202" s="181" t="str">
        <f t="shared" ca="1" si="1614"/>
        <v>-</v>
      </c>
      <c r="AK202" s="179" t="str">
        <f t="shared" ca="1" si="1615"/>
        <v>-</v>
      </c>
      <c r="AL202" s="179" t="str">
        <f t="shared" ca="1" si="1615"/>
        <v>-</v>
      </c>
      <c r="AM202" s="179" t="str">
        <f t="shared" ca="1" si="1615"/>
        <v>-</v>
      </c>
      <c r="AO202" s="182" t="str">
        <f t="shared" ca="1" si="1616"/>
        <v>-</v>
      </c>
      <c r="AP202" s="182" t="str">
        <f t="shared" ca="1" si="1616"/>
        <v>-</v>
      </c>
      <c r="AQ202" s="182" t="str">
        <f t="shared" ca="1" si="1616"/>
        <v>-</v>
      </c>
      <c r="AU202" s="185" t="str">
        <f t="shared" ref="AU202" ca="1" si="1646">IF($D202="-","-",IF(LEN(M202)=0,"", INDEX($AT$7:$AT$15,MATCH(IF($V202-INDEX(GridXRange,P202)&lt;0,"Negative",IF($V202-INDEX(GridXRange,P202)&gt;0,"Positive","Zero")) &amp; " - " &amp;IF($W202-INDEX(GridYRange,P202)&lt;0,"Negative",IF($W202-INDEX(GridYRange,P202)&gt;0,"Positive","Zero")),$AS$7:$AS$15,0))))</f>
        <v>-</v>
      </c>
      <c r="AV202" s="186" t="str">
        <f t="shared" ref="AV202" ca="1" si="1647">IF($D202="-","-",IF(LEN(N202)=0,"", INDEX($AT$7:$AT$15,MATCH(IF($V202-INDEX(GridXRange,Q202)&lt;0,"Negative",IF($V202-INDEX(GridXRange,Q202)&gt;0,"Positive","Zero")) &amp; " - " &amp;IF($W202-INDEX(GridYRange,Q202)&lt;0,"Negative",IF($W202-INDEX(GridYRange,Q202)&gt;0,"Positive","Zero")),$AS$7:$AS$15,0))))</f>
        <v>-</v>
      </c>
      <c r="AW202" s="186" t="str">
        <f t="shared" ref="AW202" ca="1" si="1648">IF($D202="-","-",IF(LEN(O202)=0,"", INDEX($AT$7:$AT$15,MATCH(IF($V202-INDEX(GridXRange,R202)&lt;0,"Negative",IF($V202-INDEX(GridXRange,R202)&gt;0,"Positive","Zero")) &amp; " - " &amp;IF($W202-INDEX(GridYRange,R202)&lt;0,"Negative",IF($W202-INDEX(GridYRange,R202)&gt;0,"Positive","Zero")),$AS$7:$AS$15,0))))</f>
        <v>-</v>
      </c>
      <c r="AX202" s="187"/>
      <c r="AY202" s="188"/>
      <c r="AZ202" s="188"/>
      <c r="BA202" s="184"/>
      <c r="BB202" s="187" t="str">
        <f t="shared" ca="1" si="1518"/>
        <v>-</v>
      </c>
      <c r="BC202" s="188" t="str">
        <f t="shared" ca="1" si="1518"/>
        <v>-</v>
      </c>
      <c r="BD202" s="188" t="str">
        <f t="shared" ca="1" si="1518"/>
        <v>-</v>
      </c>
      <c r="BE202" s="189" t="str">
        <f t="shared" ca="1" si="1518"/>
        <v>-</v>
      </c>
      <c r="BK202" s="192" t="str">
        <f t="shared" ref="BK202" ca="1" si="1649">IF($D202="-","-",$BK$5 + (V202-StartGridX) * (GapXDiff + $BW$7))</f>
        <v>-</v>
      </c>
      <c r="BL202" s="192" t="str">
        <f t="shared" ref="BL202" ca="1" si="1650">IF($D202="-","-",$BL$5 + (W202-StartGridY) * (GapYDiff + $BV$7))</f>
        <v>-</v>
      </c>
      <c r="BM202" s="192" t="str">
        <f t="shared" ca="1" si="1622"/>
        <v>-</v>
      </c>
      <c r="BN202" s="192" t="str">
        <f t="shared" ca="1" si="1623"/>
        <v>-</v>
      </c>
      <c r="BO202" s="192" t="str">
        <f t="shared" ca="1" si="1624"/>
        <v>-</v>
      </c>
      <c r="BP202" s="192" t="str">
        <f t="shared" ca="1" si="1625"/>
        <v>-</v>
      </c>
      <c r="BQ202" s="192" t="str">
        <f ca="1">IF($D202="-","-",IF(LEN(K202)=0,1,IFERROR(MATCH(K202,Dashboard!$L$25:$L$31,0),1)))</f>
        <v>-</v>
      </c>
      <c r="CC202" s="143" t="str">
        <f t="shared" ref="CC202" ca="1" si="1651">IF($D202="-","-",IF(COUNTIF(IDSourceRange,E202)&gt;1,1,0))</f>
        <v>-</v>
      </c>
      <c r="CD202" s="143" t="str">
        <f t="shared" ref="CD202" ca="1" si="1652">IF($D202="-","-",  IF(LEN(M202)=0,0,IF(ISERROR(MATCH(M202,IDSourceRange,0)),1,0)) + IF(LEN(N202)=0,0,IF(ISERROR(MATCH(N202,IDSourceRange,0)),1,0)) + IF(LEN(O202)=0,0,IF(ISERROR(MATCH(O202,IDSourceRange,0)),1,0)) )</f>
        <v>-</v>
      </c>
      <c r="CE202" s="143" t="str">
        <f t="shared" ref="CE202:CE206" ca="1" si="1653">IF($D202="-","-",IF(LEN(AB202)=0,0,IF(ISERROR(MATCH(AB202,$AF$7:$AF$17,0)),1,0)) + IF(LEN(AC202)=0,0,IF(ISERROR(MATCH(AC202,$AF$7:$AF$17,0)),1,0)) + IF(LEN(AD202)=0,0,IF(ISERROR(MATCH(AD202,$AF$7:$AF$17,0)),1,0)))</f>
        <v>-</v>
      </c>
      <c r="CF202" s="143" t="s">
        <v>128</v>
      </c>
      <c r="CG202" s="143" t="str">
        <f t="shared" ref="CG202" ca="1" si="1654">IF($D202="-","-",IF(X202="-",0,IF(COUNTIF(GridCombinedRange,X202)&gt;1,1,0)))</f>
        <v>-</v>
      </c>
      <c r="CH202" s="143"/>
      <c r="CI202" s="143"/>
      <c r="CJ202" s="143"/>
      <c r="CK202" s="143"/>
      <c r="CL202" s="143"/>
    </row>
    <row r="203" spans="3:90" x14ac:dyDescent="0.3">
      <c r="C203" s="170">
        <v>197</v>
      </c>
      <c r="D203" s="111" t="str">
        <f ca="1">IF(COUNTA(OFFSET(Dashboard!$B$6,C203,0,1,COUNTA(Dashboard!$B$6:$H$6)))&gt;0,"Yes","-")</f>
        <v>-</v>
      </c>
      <c r="E203" s="170" t="str">
        <f ca="1">IF(D203="-","-",IF(LEN(INDEX(Dashboard!B$6:B$206,$C203+1))=0,"x"&amp;C203&amp;"x","x"&amp;INDEX(Dashboard!B$6:B$206,$C203+1)&amp;"x"))</f>
        <v>-</v>
      </c>
      <c r="F203" s="171" t="str">
        <f ca="1">IF(D203="-","-",IF(LEN(INDEX(Dashboard!$C$6:$C$206,C203+1))=0," ",INDEX(Dashboard!$C$6:$C$206,C203+1)))</f>
        <v>-</v>
      </c>
      <c r="G203" s="219" t="str">
        <f ca="1">IF(OR(D203="-",D203=""),"-",IF(LEN(INDEX(Dashboard!$D$6:$D$228,C203+1))=0,"", "x"&amp;SUBSTITUTE(SUBSTITUTE(INDEX(Dashboard!$D$6:$D$228,C203+1)," ",""),",","x,x")&amp;"x"))</f>
        <v>-</v>
      </c>
      <c r="H203" s="111" t="str">
        <f ca="1">IF(D203="-","-",TRIM(INDEX(Dashboard!$E$6:$E$206,C203+1)))</f>
        <v>-</v>
      </c>
      <c r="I203" s="111" t="str">
        <f ca="1">IF(D203="-","-",IF(LEN(INDEX(Dashboard!$F$6:$F$206,C203+1))=0,$BS$8,IF(ISERROR(MATCH(INDEX(Dashboard!$F$6:$F$206,C203+1),$BS$7:$BS$35,0)),$BS$8,INDEX(Dashboard!$F$6:$F$206,C203+1))))</f>
        <v>-</v>
      </c>
      <c r="J203" s="111" t="str">
        <f ca="1">IF(D203="-","-",SUBSTITUTE(INDEX(Dashboard!$G$6:$G$206,C203+1)," ",""))</f>
        <v>-</v>
      </c>
      <c r="K203" s="219" t="str">
        <f ca="1">IF(D203="-","-",IF(LEN(INDEX(Dashboard!$H$6:$H$228,C203+1))=0,"",INDEX(Dashboard!$H$6:$H$228,C203+1)))</f>
        <v>-</v>
      </c>
      <c r="M203" s="172" t="str">
        <f t="shared" ca="1" si="1514"/>
        <v>-</v>
      </c>
      <c r="N203" s="172" t="str">
        <f t="shared" ca="1" si="1514"/>
        <v>-</v>
      </c>
      <c r="O203" s="172" t="str">
        <f t="shared" ca="1" si="1514"/>
        <v>-</v>
      </c>
      <c r="P203" s="173" t="str">
        <f t="shared" ca="1" si="1612"/>
        <v>-</v>
      </c>
      <c r="Q203" s="172" t="str">
        <f t="shared" ca="1" si="1612"/>
        <v>-</v>
      </c>
      <c r="R203" s="172" t="str">
        <f t="shared" ca="1" si="1612"/>
        <v>-</v>
      </c>
      <c r="S203" s="174" t="str">
        <f t="array" aca="1" ref="S203" ca="1">IF($D203="-","-",SUM(IF(LEN(M203:O203)&gt;0,1,0)))</f>
        <v>-</v>
      </c>
      <c r="T203" s="175" t="str">
        <f t="array" aca="1" ref="T203" ca="1">IF(D203="-","-",SUM(IF(ISERROR(SEARCH(E203,$G$7:$G$206)),0,1)))</f>
        <v>-</v>
      </c>
      <c r="V203" s="204"/>
      <c r="W203" s="127"/>
      <c r="X203" s="177" t="str">
        <f t="shared" si="1629"/>
        <v>-</v>
      </c>
      <c r="Y203" s="178"/>
      <c r="Z203" s="127"/>
      <c r="AB203" s="179" t="str">
        <f t="shared" ca="1" si="1613"/>
        <v>-</v>
      </c>
      <c r="AC203" s="179" t="str">
        <f t="shared" ca="1" si="1613"/>
        <v>-</v>
      </c>
      <c r="AD203" s="179" t="str">
        <f t="shared" ca="1" si="1613"/>
        <v>-</v>
      </c>
      <c r="AJ203" s="181" t="str">
        <f t="shared" ca="1" si="1614"/>
        <v>-</v>
      </c>
      <c r="AK203" s="179" t="str">
        <f t="shared" ca="1" si="1615"/>
        <v>-</v>
      </c>
      <c r="AL203" s="179" t="str">
        <f t="shared" ca="1" si="1615"/>
        <v>-</v>
      </c>
      <c r="AM203" s="179" t="str">
        <f t="shared" ca="1" si="1615"/>
        <v>-</v>
      </c>
      <c r="AO203" s="182" t="str">
        <f t="shared" ca="1" si="1616"/>
        <v>-</v>
      </c>
      <c r="AP203" s="182" t="str">
        <f t="shared" ca="1" si="1616"/>
        <v>-</v>
      </c>
      <c r="AQ203" s="182" t="str">
        <f t="shared" ca="1" si="1616"/>
        <v>-</v>
      </c>
      <c r="AU203" s="185" t="str">
        <f t="shared" ref="AU203" ca="1" si="1655">IF($D203="-","-",IF(LEN(M203)=0,"", INDEX($AT$7:$AT$15,MATCH(IF($V203-INDEX(GridXRange,P203)&lt;0,"Negative",IF($V203-INDEX(GridXRange,P203)&gt;0,"Positive","Zero")) &amp; " - " &amp;IF($W203-INDEX(GridYRange,P203)&lt;0,"Negative",IF($W203-INDEX(GridYRange,P203)&gt;0,"Positive","Zero")),$AS$7:$AS$15,0))))</f>
        <v>-</v>
      </c>
      <c r="AV203" s="186" t="str">
        <f t="shared" ref="AV203" ca="1" si="1656">IF($D203="-","-",IF(LEN(N203)=0,"", INDEX($AT$7:$AT$15,MATCH(IF($V203-INDEX(GridXRange,Q203)&lt;0,"Negative",IF($V203-INDEX(GridXRange,Q203)&gt;0,"Positive","Zero")) &amp; " - " &amp;IF($W203-INDEX(GridYRange,Q203)&lt;0,"Negative",IF($W203-INDEX(GridYRange,Q203)&gt;0,"Positive","Zero")),$AS$7:$AS$15,0))))</f>
        <v>-</v>
      </c>
      <c r="AW203" s="186" t="str">
        <f t="shared" ref="AW203" ca="1" si="1657">IF($D203="-","-",IF(LEN(O203)=0,"", INDEX($AT$7:$AT$15,MATCH(IF($V203-INDEX(GridXRange,R203)&lt;0,"Negative",IF($V203-INDEX(GridXRange,R203)&gt;0,"Positive","Zero")) &amp; " - " &amp;IF($W203-INDEX(GridYRange,R203)&lt;0,"Negative",IF($W203-INDEX(GridYRange,R203)&gt;0,"Positive","Zero")),$AS$7:$AS$15,0))))</f>
        <v>-</v>
      </c>
      <c r="AX203" s="187"/>
      <c r="AY203" s="188"/>
      <c r="AZ203" s="188"/>
      <c r="BA203" s="184"/>
      <c r="BB203" s="187" t="str">
        <f t="shared" ca="1" si="1518"/>
        <v>-</v>
      </c>
      <c r="BC203" s="188" t="str">
        <f t="shared" ca="1" si="1518"/>
        <v>-</v>
      </c>
      <c r="BD203" s="188" t="str">
        <f t="shared" ca="1" si="1518"/>
        <v>-</v>
      </c>
      <c r="BE203" s="189" t="str">
        <f t="shared" ca="1" si="1518"/>
        <v>-</v>
      </c>
      <c r="BK203" s="192" t="str">
        <f t="shared" ref="BK203" ca="1" si="1658">IF($D203="-","-",$BK$5 + (V203-StartGridX) * (GapXDiff + $BW$7))</f>
        <v>-</v>
      </c>
      <c r="BL203" s="192" t="str">
        <f t="shared" ref="BL203" ca="1" si="1659">IF($D203="-","-",$BL$5 + (W203-StartGridY) * (GapYDiff + $BV$7))</f>
        <v>-</v>
      </c>
      <c r="BM203" s="192" t="str">
        <f t="shared" ca="1" si="1622"/>
        <v>-</v>
      </c>
      <c r="BN203" s="192" t="str">
        <f t="shared" ca="1" si="1623"/>
        <v>-</v>
      </c>
      <c r="BO203" s="192" t="str">
        <f t="shared" ca="1" si="1624"/>
        <v>-</v>
      </c>
      <c r="BP203" s="192" t="str">
        <f t="shared" ca="1" si="1625"/>
        <v>-</v>
      </c>
      <c r="BQ203" s="192" t="str">
        <f ca="1">IF($D203="-","-",IF(LEN(K203)=0,1,IFERROR(MATCH(K203,Dashboard!$L$25:$L$31,0),1)))</f>
        <v>-</v>
      </c>
      <c r="CC203" s="143" t="str">
        <f t="shared" ref="CC203" ca="1" si="1660">IF($D203="-","-",IF(COUNTIF(IDSourceRange,E203)&gt;1,1,0))</f>
        <v>-</v>
      </c>
      <c r="CD203" s="143" t="str">
        <f t="shared" ref="CD203" ca="1" si="1661">IF($D203="-","-",  IF(LEN(M203)=0,0,IF(ISERROR(MATCH(M203,IDSourceRange,0)),1,0)) + IF(LEN(N203)=0,0,IF(ISERROR(MATCH(N203,IDSourceRange,0)),1,0)) + IF(LEN(O203)=0,0,IF(ISERROR(MATCH(O203,IDSourceRange,0)),1,0)) )</f>
        <v>-</v>
      </c>
      <c r="CE203" s="143" t="str">
        <f t="shared" ca="1" si="1653"/>
        <v>-</v>
      </c>
      <c r="CF203" s="143" t="s">
        <v>128</v>
      </c>
      <c r="CG203" s="143" t="str">
        <f t="shared" ref="CG203" ca="1" si="1662">IF($D203="-","-",IF(X203="-",0,IF(COUNTIF(GridCombinedRange,X203)&gt;1,1,0)))</f>
        <v>-</v>
      </c>
      <c r="CH203" s="143"/>
      <c r="CI203" s="143"/>
      <c r="CJ203" s="143"/>
      <c r="CK203" s="143"/>
      <c r="CL203" s="143"/>
    </row>
    <row r="204" spans="3:90" x14ac:dyDescent="0.3">
      <c r="C204" s="170">
        <v>198</v>
      </c>
      <c r="D204" s="111" t="str">
        <f ca="1">IF(COUNTA(OFFSET(Dashboard!$B$6,C204,0,1,COUNTA(Dashboard!$B$6:$H$6)))&gt;0,"Yes","-")</f>
        <v>-</v>
      </c>
      <c r="E204" s="170" t="str">
        <f ca="1">IF(D204="-","-",IF(LEN(INDEX(Dashboard!B$6:B$206,$C204+1))=0,"x"&amp;C204&amp;"x","x"&amp;INDEX(Dashboard!B$6:B$206,$C204+1)&amp;"x"))</f>
        <v>-</v>
      </c>
      <c r="F204" s="171" t="str">
        <f ca="1">IF(D204="-","-",IF(LEN(INDEX(Dashboard!$C$6:$C$206,C204+1))=0," ",INDEX(Dashboard!$C$6:$C$206,C204+1)))</f>
        <v>-</v>
      </c>
      <c r="G204" s="219" t="str">
        <f ca="1">IF(OR(D204="-",D204=""),"-",IF(LEN(INDEX(Dashboard!$D$6:$D$228,C204+1))=0,"", "x"&amp;SUBSTITUTE(SUBSTITUTE(INDEX(Dashboard!$D$6:$D$228,C204+1)," ",""),",","x,x")&amp;"x"))</f>
        <v>-</v>
      </c>
      <c r="H204" s="111" t="str">
        <f ca="1">IF(D204="-","-",TRIM(INDEX(Dashboard!$E$6:$E$206,C204+1)))</f>
        <v>-</v>
      </c>
      <c r="I204" s="111" t="str">
        <f ca="1">IF(D204="-","-",IF(LEN(INDEX(Dashboard!$F$6:$F$206,C204+1))=0,$BS$8,IF(ISERROR(MATCH(INDEX(Dashboard!$F$6:$F$206,C204+1),$BS$7:$BS$35,0)),$BS$8,INDEX(Dashboard!$F$6:$F$206,C204+1))))</f>
        <v>-</v>
      </c>
      <c r="J204" s="111" t="str">
        <f ca="1">IF(D204="-","-",SUBSTITUTE(INDEX(Dashboard!$G$6:$G$206,C204+1)," ",""))</f>
        <v>-</v>
      </c>
      <c r="K204" s="219" t="str">
        <f ca="1">IF(D204="-","-",IF(LEN(INDEX(Dashboard!$H$6:$H$228,C204+1))=0,"",INDEX(Dashboard!$H$6:$H$228,C204+1)))</f>
        <v>-</v>
      </c>
      <c r="M204" s="172" t="str">
        <f t="shared" ca="1" si="1514"/>
        <v>-</v>
      </c>
      <c r="N204" s="172" t="str">
        <f t="shared" ca="1" si="1514"/>
        <v>-</v>
      </c>
      <c r="O204" s="172" t="str">
        <f t="shared" ca="1" si="1514"/>
        <v>-</v>
      </c>
      <c r="P204" s="173" t="str">
        <f t="shared" ca="1" si="1612"/>
        <v>-</v>
      </c>
      <c r="Q204" s="172" t="str">
        <f t="shared" ca="1" si="1612"/>
        <v>-</v>
      </c>
      <c r="R204" s="172" t="str">
        <f t="shared" ca="1" si="1612"/>
        <v>-</v>
      </c>
      <c r="S204" s="174" t="str">
        <f t="array" aca="1" ref="S204" ca="1">IF($D204="-","-",SUM(IF(LEN(M204:O204)&gt;0,1,0)))</f>
        <v>-</v>
      </c>
      <c r="T204" s="175" t="str">
        <f t="array" aca="1" ref="T204" ca="1">IF(D204="-","-",SUM(IF(ISERROR(SEARCH(E204,$G$7:$G$206)),0,1)))</f>
        <v>-</v>
      </c>
      <c r="V204" s="204"/>
      <c r="W204" s="127"/>
      <c r="X204" s="177" t="str">
        <f t="shared" si="1629"/>
        <v>-</v>
      </c>
      <c r="Y204" s="178"/>
      <c r="Z204" s="127"/>
      <c r="AB204" s="179" t="str">
        <f t="shared" ca="1" si="1613"/>
        <v>-</v>
      </c>
      <c r="AC204" s="179" t="str">
        <f t="shared" ca="1" si="1613"/>
        <v>-</v>
      </c>
      <c r="AD204" s="179" t="str">
        <f t="shared" ca="1" si="1613"/>
        <v>-</v>
      </c>
      <c r="AJ204" s="181" t="str">
        <f t="shared" ca="1" si="1614"/>
        <v>-</v>
      </c>
      <c r="AK204" s="179" t="str">
        <f t="shared" ca="1" si="1615"/>
        <v>-</v>
      </c>
      <c r="AL204" s="179" t="str">
        <f t="shared" ca="1" si="1615"/>
        <v>-</v>
      </c>
      <c r="AM204" s="179" t="str">
        <f t="shared" ca="1" si="1615"/>
        <v>-</v>
      </c>
      <c r="AO204" s="182" t="str">
        <f t="shared" ca="1" si="1616"/>
        <v>-</v>
      </c>
      <c r="AP204" s="182" t="str">
        <f t="shared" ca="1" si="1616"/>
        <v>-</v>
      </c>
      <c r="AQ204" s="182" t="str">
        <f t="shared" ca="1" si="1616"/>
        <v>-</v>
      </c>
      <c r="AU204" s="185" t="str">
        <f t="shared" ref="AU204" ca="1" si="1663">IF($D204="-","-",IF(LEN(M204)=0,"", INDEX($AT$7:$AT$15,MATCH(IF($V204-INDEX(GridXRange,P204)&lt;0,"Negative",IF($V204-INDEX(GridXRange,P204)&gt;0,"Positive","Zero")) &amp; " - " &amp;IF($W204-INDEX(GridYRange,P204)&lt;0,"Negative",IF($W204-INDEX(GridYRange,P204)&gt;0,"Positive","Zero")),$AS$7:$AS$15,0))))</f>
        <v>-</v>
      </c>
      <c r="AV204" s="186" t="str">
        <f t="shared" ref="AV204" ca="1" si="1664">IF($D204="-","-",IF(LEN(N204)=0,"", INDEX($AT$7:$AT$15,MATCH(IF($V204-INDEX(GridXRange,Q204)&lt;0,"Negative",IF($V204-INDEX(GridXRange,Q204)&gt;0,"Positive","Zero")) &amp; " - " &amp;IF($W204-INDEX(GridYRange,Q204)&lt;0,"Negative",IF($W204-INDEX(GridYRange,Q204)&gt;0,"Positive","Zero")),$AS$7:$AS$15,0))))</f>
        <v>-</v>
      </c>
      <c r="AW204" s="186" t="str">
        <f t="shared" ref="AW204" ca="1" si="1665">IF($D204="-","-",IF(LEN(O204)=0,"", INDEX($AT$7:$AT$15,MATCH(IF($V204-INDEX(GridXRange,R204)&lt;0,"Negative",IF($V204-INDEX(GridXRange,R204)&gt;0,"Positive","Zero")) &amp; " - " &amp;IF($W204-INDEX(GridYRange,R204)&lt;0,"Negative",IF($W204-INDEX(GridYRange,R204)&gt;0,"Positive","Zero")),$AS$7:$AS$15,0))))</f>
        <v>-</v>
      </c>
      <c r="AX204" s="187"/>
      <c r="AY204" s="188"/>
      <c r="AZ204" s="188"/>
      <c r="BA204" s="184"/>
      <c r="BB204" s="187" t="str">
        <f t="shared" ca="1" si="1518"/>
        <v>-</v>
      </c>
      <c r="BC204" s="188" t="str">
        <f t="shared" ca="1" si="1518"/>
        <v>-</v>
      </c>
      <c r="BD204" s="188" t="str">
        <f t="shared" ca="1" si="1518"/>
        <v>-</v>
      </c>
      <c r="BE204" s="189" t="str">
        <f t="shared" ca="1" si="1518"/>
        <v>-</v>
      </c>
      <c r="BK204" s="192" t="str">
        <f t="shared" ref="BK204" ca="1" si="1666">IF($D204="-","-",$BK$5 + (V204-StartGridX) * (GapXDiff + $BW$7))</f>
        <v>-</v>
      </c>
      <c r="BL204" s="192" t="str">
        <f t="shared" ref="BL204" ca="1" si="1667">IF($D204="-","-",$BL$5 + (W204-StartGridY) * (GapYDiff + $BV$7))</f>
        <v>-</v>
      </c>
      <c r="BM204" s="192" t="str">
        <f t="shared" ca="1" si="1622"/>
        <v>-</v>
      </c>
      <c r="BN204" s="192" t="str">
        <f t="shared" ca="1" si="1623"/>
        <v>-</v>
      </c>
      <c r="BO204" s="192" t="str">
        <f t="shared" ca="1" si="1624"/>
        <v>-</v>
      </c>
      <c r="BP204" s="192" t="str">
        <f t="shared" ca="1" si="1625"/>
        <v>-</v>
      </c>
      <c r="BQ204" s="192" t="str">
        <f ca="1">IF($D204="-","-",IF(LEN(K204)=0,1,IFERROR(MATCH(K204,Dashboard!$L$25:$L$31,0),1)))</f>
        <v>-</v>
      </c>
      <c r="CC204" s="143" t="str">
        <f t="shared" ref="CC204" ca="1" si="1668">IF($D204="-","-",IF(COUNTIF(IDSourceRange,E204)&gt;1,1,0))</f>
        <v>-</v>
      </c>
      <c r="CD204" s="143" t="str">
        <f t="shared" ref="CD204" ca="1" si="1669">IF($D204="-","-",  IF(LEN(M204)=0,0,IF(ISERROR(MATCH(M204,IDSourceRange,0)),1,0)) + IF(LEN(N204)=0,0,IF(ISERROR(MATCH(N204,IDSourceRange,0)),1,0)) + IF(LEN(O204)=0,0,IF(ISERROR(MATCH(O204,IDSourceRange,0)),1,0)) )</f>
        <v>-</v>
      </c>
      <c r="CE204" s="143" t="str">
        <f t="shared" ca="1" si="1653"/>
        <v>-</v>
      </c>
      <c r="CF204" s="143" t="s">
        <v>128</v>
      </c>
      <c r="CG204" s="143" t="str">
        <f t="shared" ref="CG204" ca="1" si="1670">IF($D204="-","-",IF(X204="-",0,IF(COUNTIF(GridCombinedRange,X204)&gt;1,1,0)))</f>
        <v>-</v>
      </c>
      <c r="CH204" s="143"/>
      <c r="CI204" s="143"/>
      <c r="CJ204" s="143"/>
      <c r="CK204" s="143"/>
      <c r="CL204" s="143"/>
    </row>
    <row r="205" spans="3:90" x14ac:dyDescent="0.3">
      <c r="C205" s="170">
        <v>199</v>
      </c>
      <c r="D205" s="111" t="str">
        <f ca="1">IF(COUNTA(OFFSET(Dashboard!$B$6,C205,0,1,COUNTA(Dashboard!$B$6:$H$6)))&gt;0,"Yes","-")</f>
        <v>-</v>
      </c>
      <c r="E205" s="170" t="str">
        <f ca="1">IF(D205="-","-",IF(LEN(INDEX(Dashboard!B$6:B$206,$C205+1))=0,"x"&amp;C205&amp;"x","x"&amp;INDEX(Dashboard!B$6:B$206,$C205+1)&amp;"x"))</f>
        <v>-</v>
      </c>
      <c r="F205" s="171" t="str">
        <f ca="1">IF(D205="-","-",IF(LEN(INDEX(Dashboard!$C$6:$C$206,C205+1))=0," ",INDEX(Dashboard!$C$6:$C$206,C205+1)))</f>
        <v>-</v>
      </c>
      <c r="G205" s="219" t="str">
        <f ca="1">IF(OR(D205="-",D205=""),"-",IF(LEN(INDEX(Dashboard!$D$6:$D$228,C205+1))=0,"", "x"&amp;SUBSTITUTE(SUBSTITUTE(INDEX(Dashboard!$D$6:$D$228,C205+1)," ",""),",","x,x")&amp;"x"))</f>
        <v>-</v>
      </c>
      <c r="H205" s="111" t="str">
        <f ca="1">IF(D205="-","-",TRIM(INDEX(Dashboard!$E$6:$E$206,C205+1)))</f>
        <v>-</v>
      </c>
      <c r="I205" s="111" t="str">
        <f ca="1">IF(D205="-","-",IF(LEN(INDEX(Dashboard!$F$6:$F$206,C205+1))=0,$BS$8,IF(ISERROR(MATCH(INDEX(Dashboard!$F$6:$F$206,C205+1),$BS$7:$BS$35,0)),$BS$8,INDEX(Dashboard!$F$6:$F$206,C205+1))))</f>
        <v>-</v>
      </c>
      <c r="J205" s="111" t="str">
        <f ca="1">IF(D205="-","-",SUBSTITUTE(INDEX(Dashboard!$G$6:$G$206,C205+1)," ",""))</f>
        <v>-</v>
      </c>
      <c r="K205" s="111" t="str">
        <f ca="1">IF(D205="-","-",IF(LEN(INDEX(Dashboard!$H$6:$H$206,C205+1))=0,"",INDEX(Dashboard!$H$6:$H$206,C205+1)))</f>
        <v>-</v>
      </c>
      <c r="M205" s="172" t="str">
        <f t="shared" ca="1" si="1514"/>
        <v>-</v>
      </c>
      <c r="N205" s="172" t="str">
        <f t="shared" ca="1" si="1514"/>
        <v>-</v>
      </c>
      <c r="O205" s="172" t="str">
        <f t="shared" ca="1" si="1514"/>
        <v>-</v>
      </c>
      <c r="P205" s="173" t="str">
        <f t="shared" ca="1" si="1612"/>
        <v>-</v>
      </c>
      <c r="Q205" s="172" t="str">
        <f t="shared" ca="1" si="1612"/>
        <v>-</v>
      </c>
      <c r="R205" s="172" t="str">
        <f t="shared" ca="1" si="1612"/>
        <v>-</v>
      </c>
      <c r="S205" s="174" t="str">
        <f t="array" aca="1" ref="S205" ca="1">IF($D205="-","-",SUM(IF(LEN(M205:O205)&gt;0,1,0)))</f>
        <v>-</v>
      </c>
      <c r="T205" s="175" t="str">
        <f t="array" aca="1" ref="T205" ca="1">IF(D205="-","-",SUM(IF(ISERROR(SEARCH(E205,$G$7:$G$206)),0,1)))</f>
        <v>-</v>
      </c>
      <c r="V205" s="204"/>
      <c r="W205" s="127"/>
      <c r="X205" s="177" t="str">
        <f t="shared" si="1629"/>
        <v>-</v>
      </c>
      <c r="Y205" s="178"/>
      <c r="Z205" s="127"/>
      <c r="AB205" s="179" t="str">
        <f t="shared" ca="1" si="1613"/>
        <v>-</v>
      </c>
      <c r="AC205" s="179" t="str">
        <f t="shared" ca="1" si="1613"/>
        <v>-</v>
      </c>
      <c r="AD205" s="179" t="str">
        <f t="shared" ca="1" si="1613"/>
        <v>-</v>
      </c>
      <c r="AJ205" s="181" t="str">
        <f t="shared" ca="1" si="1614"/>
        <v>-</v>
      </c>
      <c r="AK205" s="179" t="str">
        <f t="shared" ca="1" si="1615"/>
        <v>-</v>
      </c>
      <c r="AL205" s="179" t="str">
        <f t="shared" ca="1" si="1615"/>
        <v>-</v>
      </c>
      <c r="AM205" s="179" t="str">
        <f t="shared" ca="1" si="1615"/>
        <v>-</v>
      </c>
      <c r="AO205" s="182" t="str">
        <f t="shared" ca="1" si="1616"/>
        <v>-</v>
      </c>
      <c r="AP205" s="182" t="str">
        <f t="shared" ca="1" si="1616"/>
        <v>-</v>
      </c>
      <c r="AQ205" s="182" t="str">
        <f t="shared" ca="1" si="1616"/>
        <v>-</v>
      </c>
      <c r="AU205" s="185" t="str">
        <f t="shared" ref="AU205" ca="1" si="1671">IF($D205="-","-",IF(LEN(M205)=0,"", INDEX($AT$7:$AT$15,MATCH(IF($V205-INDEX(GridXRange,P205)&lt;0,"Negative",IF($V205-INDEX(GridXRange,P205)&gt;0,"Positive","Zero")) &amp; " - " &amp;IF($W205-INDEX(GridYRange,P205)&lt;0,"Negative",IF($W205-INDEX(GridYRange,P205)&gt;0,"Positive","Zero")),$AS$7:$AS$15,0))))</f>
        <v>-</v>
      </c>
      <c r="AV205" s="186" t="str">
        <f t="shared" ref="AV205" ca="1" si="1672">IF($D205="-","-",IF(LEN(N205)=0,"", INDEX($AT$7:$AT$15,MATCH(IF($V205-INDEX(GridXRange,Q205)&lt;0,"Negative",IF($V205-INDEX(GridXRange,Q205)&gt;0,"Positive","Zero")) &amp; " - " &amp;IF($W205-INDEX(GridYRange,Q205)&lt;0,"Negative",IF($W205-INDEX(GridYRange,Q205)&gt;0,"Positive","Zero")),$AS$7:$AS$15,0))))</f>
        <v>-</v>
      </c>
      <c r="AW205" s="186" t="str">
        <f t="shared" ref="AW205" ca="1" si="1673">IF($D205="-","-",IF(LEN(O205)=0,"", INDEX($AT$7:$AT$15,MATCH(IF($V205-INDEX(GridXRange,R205)&lt;0,"Negative",IF($V205-INDEX(GridXRange,R205)&gt;0,"Positive","Zero")) &amp; " - " &amp;IF($W205-INDEX(GridYRange,R205)&lt;0,"Negative",IF($W205-INDEX(GridYRange,R205)&gt;0,"Positive","Zero")),$AS$7:$AS$15,0))))</f>
        <v>-</v>
      </c>
      <c r="AX205" s="187"/>
      <c r="AY205" s="188"/>
      <c r="AZ205" s="188"/>
      <c r="BA205" s="184"/>
      <c r="BB205" s="187" t="str">
        <f t="shared" ca="1" si="1518"/>
        <v>-</v>
      </c>
      <c r="BC205" s="188" t="str">
        <f t="shared" ca="1" si="1518"/>
        <v>-</v>
      </c>
      <c r="BD205" s="188" t="str">
        <f t="shared" ca="1" si="1518"/>
        <v>-</v>
      </c>
      <c r="BE205" s="189" t="str">
        <f t="shared" ca="1" si="1518"/>
        <v>-</v>
      </c>
      <c r="BK205" s="192" t="str">
        <f t="shared" ref="BK205" ca="1" si="1674">IF($D205="-","-",$BK$5 + (V205-StartGridX) * (GapXDiff + $BW$7))</f>
        <v>-</v>
      </c>
      <c r="BL205" s="192" t="str">
        <f t="shared" ref="BL205" ca="1" si="1675">IF($D205="-","-",$BL$5 + (W205-StartGridY) * (GapYDiff + $BV$7))</f>
        <v>-</v>
      </c>
      <c r="BM205" s="192" t="str">
        <f t="shared" ca="1" si="1622"/>
        <v>-</v>
      </c>
      <c r="BN205" s="192" t="str">
        <f t="shared" ca="1" si="1623"/>
        <v>-</v>
      </c>
      <c r="BO205" s="192" t="str">
        <f t="shared" ca="1" si="1624"/>
        <v>-</v>
      </c>
      <c r="BP205" s="192" t="str">
        <f t="shared" ca="1" si="1625"/>
        <v>-</v>
      </c>
      <c r="BQ205" s="192" t="str">
        <f ca="1">IF($D205="-","-",IF(LEN(K205)=0,1,IFERROR(MATCH(K205,Dashboard!$L$25:$L$31,0),1)))</f>
        <v>-</v>
      </c>
      <c r="CC205" s="143" t="str">
        <f t="shared" ref="CC205" ca="1" si="1676">IF($D205="-","-",IF(COUNTIF(IDSourceRange,E205)&gt;1,1,0))</f>
        <v>-</v>
      </c>
      <c r="CD205" s="143" t="str">
        <f t="shared" ref="CD205" ca="1" si="1677">IF($D205="-","-",  IF(LEN(M205)=0,0,IF(ISERROR(MATCH(M205,IDSourceRange,0)),1,0)) + IF(LEN(N205)=0,0,IF(ISERROR(MATCH(N205,IDSourceRange,0)),1,0)) + IF(LEN(O205)=0,0,IF(ISERROR(MATCH(O205,IDSourceRange,0)),1,0)) )</f>
        <v>-</v>
      </c>
      <c r="CE205" s="143" t="str">
        <f t="shared" ca="1" si="1653"/>
        <v>-</v>
      </c>
      <c r="CF205" s="143" t="s">
        <v>128</v>
      </c>
      <c r="CG205" s="143" t="str">
        <f t="shared" ref="CG205" ca="1" si="1678">IF($D205="-","-",IF(X205="-",0,IF(COUNTIF(GridCombinedRange,X205)&gt;1,1,0)))</f>
        <v>-</v>
      </c>
      <c r="CH205" s="143"/>
      <c r="CI205" s="143"/>
      <c r="CJ205" s="143"/>
      <c r="CK205" s="143"/>
      <c r="CL205" s="143"/>
    </row>
    <row r="206" spans="3:90" ht="15" thickBot="1" x14ac:dyDescent="0.35">
      <c r="C206" s="170">
        <v>200</v>
      </c>
      <c r="D206" s="111" t="str">
        <f ca="1">IF(COUNTA(OFFSET(Dashboard!$B$6,C206,0,1,COUNTA(Dashboard!$B$6:$H$6)))&gt;0,"Yes","-")</f>
        <v>-</v>
      </c>
      <c r="E206" s="170" t="str">
        <f ca="1">IF(D206="-","-",IF(LEN(INDEX(Dashboard!B$6:B$206,$C206+1))=0,"x"&amp;C206&amp;"x","x"&amp;INDEX(Dashboard!B$6:B$206,$C206+1)&amp;"x"))</f>
        <v>-</v>
      </c>
      <c r="F206" s="171" t="str">
        <f ca="1">IF(D206="-","-",IF(LEN(INDEX(Dashboard!$C$6:$C$206,C206+1))=0," ",INDEX(Dashboard!$C$6:$C$206,C206+1)))</f>
        <v>-</v>
      </c>
      <c r="G206" s="219" t="str">
        <f ca="1">IF(OR(D206="-",D206=""),"-",IF(LEN(INDEX(Dashboard!$D$6:$D$228,C206+1))=0,"", "x"&amp;SUBSTITUTE(SUBSTITUTE(INDEX(Dashboard!$D$6:$D$228,C206+1)," ",""),",","x,x")&amp;"x"))</f>
        <v>-</v>
      </c>
      <c r="H206" s="111" t="str">
        <f ca="1">IF(D206="-","-",TRIM(INDEX(Dashboard!$E$6:$E$206,C206+1)))</f>
        <v>-</v>
      </c>
      <c r="I206" s="111" t="str">
        <f ca="1">IF(D206="-","-",IF(LEN(INDEX(Dashboard!$F$6:$F$206,C206+1))=0,$BS$8,IF(ISERROR(MATCH(INDEX(Dashboard!$F$6:$F$206,C206+1),$BS$7:$BS$35,0)),$BS$8,INDEX(Dashboard!$F$6:$F$206,C206+1))))</f>
        <v>-</v>
      </c>
      <c r="J206" s="111" t="str">
        <f ca="1">IF(D206="-","-",SUBSTITUTE(INDEX(Dashboard!$G$6:$G$206,C206+1)," ",""))</f>
        <v>-</v>
      </c>
      <c r="K206" s="111" t="str">
        <f ca="1">IF(D206="-","-",IF(LEN(INDEX(Dashboard!$H$6:$H$206,C206+1))=0,"",INDEX(Dashboard!$H$6:$H$206,C206+1)))</f>
        <v>-</v>
      </c>
      <c r="M206" s="172" t="str">
        <f t="shared" ca="1" si="1514"/>
        <v>-</v>
      </c>
      <c r="N206" s="172" t="str">
        <f t="shared" ca="1" si="1514"/>
        <v>-</v>
      </c>
      <c r="O206" s="172" t="str">
        <f t="shared" ca="1" si="1514"/>
        <v>-</v>
      </c>
      <c r="P206" s="173" t="str">
        <f t="shared" ca="1" si="1612"/>
        <v>-</v>
      </c>
      <c r="Q206" s="172" t="str">
        <f t="shared" ca="1" si="1612"/>
        <v>-</v>
      </c>
      <c r="R206" s="172" t="str">
        <f t="shared" ca="1" si="1612"/>
        <v>-</v>
      </c>
      <c r="S206" s="174" t="str">
        <f t="array" aca="1" ref="S206" ca="1">IF($D206="-","-",SUM(IF(LEN(M206:O206)&gt;0,1,0)))</f>
        <v>-</v>
      </c>
      <c r="T206" s="175" t="str">
        <f t="array" aca="1" ref="T206" ca="1">IF(D206="-","-",SUM(IF(ISERROR(SEARCH(E206,$G$7:$G$206)),0,1)))</f>
        <v>-</v>
      </c>
      <c r="V206" s="214"/>
      <c r="W206" s="127"/>
      <c r="X206" s="177" t="str">
        <f t="shared" si="1629"/>
        <v>-</v>
      </c>
      <c r="Y206" s="178"/>
      <c r="Z206" s="127"/>
      <c r="AB206" s="179" t="str">
        <f t="shared" ca="1" si="1613"/>
        <v>-</v>
      </c>
      <c r="AC206" s="179" t="str">
        <f t="shared" ca="1" si="1613"/>
        <v>-</v>
      </c>
      <c r="AD206" s="179" t="str">
        <f t="shared" ca="1" si="1613"/>
        <v>-</v>
      </c>
      <c r="AJ206" s="181" t="str">
        <f t="shared" ca="1" si="1614"/>
        <v>-</v>
      </c>
      <c r="AK206" s="179" t="str">
        <f t="shared" ca="1" si="1615"/>
        <v>-</v>
      </c>
      <c r="AL206" s="179" t="str">
        <f t="shared" ca="1" si="1615"/>
        <v>-</v>
      </c>
      <c r="AM206" s="179" t="str">
        <f t="shared" ca="1" si="1615"/>
        <v>-</v>
      </c>
      <c r="AO206" s="182" t="str">
        <f t="shared" ca="1" si="1616"/>
        <v>-</v>
      </c>
      <c r="AP206" s="182" t="str">
        <f t="shared" ca="1" si="1616"/>
        <v>-</v>
      </c>
      <c r="AQ206" s="182" t="str">
        <f t="shared" ca="1" si="1616"/>
        <v>-</v>
      </c>
      <c r="AU206" s="185" t="str">
        <f t="shared" ref="AU206" ca="1" si="1679">IF($D206="-","-",IF(LEN(M206)=0,"", INDEX($AT$7:$AT$15,MATCH(IF($V206-INDEX(GridXRange,P206)&lt;0,"Negative",IF($V206-INDEX(GridXRange,P206)&gt;0,"Positive","Zero")) &amp; " - " &amp;IF($W206-INDEX(GridYRange,P206)&lt;0,"Negative",IF($W206-INDEX(GridYRange,P206)&gt;0,"Positive","Zero")),$AS$7:$AS$15,0))))</f>
        <v>-</v>
      </c>
      <c r="AV206" s="186" t="str">
        <f t="shared" ref="AV206" ca="1" si="1680">IF($D206="-","-",IF(LEN(N206)=0,"", INDEX($AT$7:$AT$15,MATCH(IF($V206-INDEX(GridXRange,Q206)&lt;0,"Negative",IF($V206-INDEX(GridXRange,Q206)&gt;0,"Positive","Zero")) &amp; " - " &amp;IF($W206-INDEX(GridYRange,Q206)&lt;0,"Negative",IF($W206-INDEX(GridYRange,Q206)&gt;0,"Positive","Zero")),$AS$7:$AS$15,0))))</f>
        <v>-</v>
      </c>
      <c r="AW206" s="186" t="str">
        <f t="shared" ref="AW206" ca="1" si="1681">IF($D206="-","-",IF(LEN(O206)=0,"", INDEX($AT$7:$AT$15,MATCH(IF($V206-INDEX(GridXRange,R206)&lt;0,"Negative",IF($V206-INDEX(GridXRange,R206)&gt;0,"Positive","Zero")) &amp; " - " &amp;IF($W206-INDEX(GridYRange,R206)&lt;0,"Negative",IF($W206-INDEX(GridYRange,R206)&gt;0,"Positive","Zero")),$AS$7:$AS$15,0))))</f>
        <v>-</v>
      </c>
      <c r="AX206" s="187"/>
      <c r="AY206" s="188"/>
      <c r="AZ206" s="188"/>
      <c r="BA206" s="184"/>
      <c r="BB206" s="187" t="str">
        <f t="shared" ca="1" si="1518"/>
        <v>-</v>
      </c>
      <c r="BC206" s="188" t="str">
        <f t="shared" ca="1" si="1518"/>
        <v>-</v>
      </c>
      <c r="BD206" s="188" t="str">
        <f t="shared" ca="1" si="1518"/>
        <v>-</v>
      </c>
      <c r="BE206" s="189" t="str">
        <f t="shared" ca="1" si="1518"/>
        <v>-</v>
      </c>
      <c r="BK206" s="192" t="str">
        <f t="shared" ref="BK206" ca="1" si="1682">IF($D206="-","-",$BK$5 + (V206-StartGridX) * (GapXDiff + $BW$7))</f>
        <v>-</v>
      </c>
      <c r="BL206" s="192" t="str">
        <f t="shared" ref="BL206" ca="1" si="1683">IF($D206="-","-",$BL$5 + (W206-StartGridY) * (GapYDiff + $BV$7))</f>
        <v>-</v>
      </c>
      <c r="BM206" s="192" t="str">
        <f t="shared" ca="1" si="1622"/>
        <v>-</v>
      </c>
      <c r="BN206" s="192" t="str">
        <f t="shared" ca="1" si="1623"/>
        <v>-</v>
      </c>
      <c r="BO206" s="192" t="str">
        <f t="shared" ca="1" si="1624"/>
        <v>-</v>
      </c>
      <c r="BP206" s="192" t="str">
        <f t="shared" ca="1" si="1625"/>
        <v>-</v>
      </c>
      <c r="BQ206" s="192" t="str">
        <f ca="1">IF($D206="-","-",IF(LEN(K206)=0,1,IFERROR(MATCH(K206,Dashboard!$L$25:$L$31,0),1)))</f>
        <v>-</v>
      </c>
      <c r="CC206" s="143" t="str">
        <f t="shared" ref="CC206" ca="1" si="1684">IF($D206="-","-",IF(COUNTIF(IDSourceRange,E206)&gt;1,1,0))</f>
        <v>-</v>
      </c>
      <c r="CD206" s="143" t="str">
        <f t="shared" ref="CD206" ca="1" si="1685">IF($D206="-","-",  IF(LEN(M206)=0,0,IF(ISERROR(MATCH(M206,IDSourceRange,0)),1,0)) + IF(LEN(N206)=0,0,IF(ISERROR(MATCH(N206,IDSourceRange,0)),1,0)) + IF(LEN(O206)=0,0,IF(ISERROR(MATCH(O206,IDSourceRange,0)),1,0)) )</f>
        <v>-</v>
      </c>
      <c r="CE206" s="143" t="str">
        <f t="shared" ca="1" si="1653"/>
        <v>-</v>
      </c>
      <c r="CF206" s="143" t="s">
        <v>128</v>
      </c>
      <c r="CG206" s="143" t="str">
        <f t="shared" ref="CG206" ca="1" si="1686">IF($D206="-","-",IF(X206="-",0,IF(COUNTIF(GridCombinedRange,X206)&gt;1,1,0)))</f>
        <v>-</v>
      </c>
      <c r="CH206" s="143"/>
      <c r="CI206" s="143"/>
      <c r="CJ206" s="143"/>
      <c r="CK206" s="143"/>
      <c r="CL206" s="143"/>
    </row>
    <row r="207" spans="3:90" ht="15" thickTop="1" x14ac:dyDescent="0.3">
      <c r="Z207" s="85">
        <v>3</v>
      </c>
    </row>
    <row r="1005" spans="26:26" x14ac:dyDescent="0.3">
      <c r="Z1005" s="85">
        <v>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N228"/>
  <sheetViews>
    <sheetView tabSelected="1" workbookViewId="0">
      <selection activeCell="A7" sqref="A7"/>
    </sheetView>
  </sheetViews>
  <sheetFormatPr defaultColWidth="9.109375" defaultRowHeight="14.4" x14ac:dyDescent="0.3"/>
  <cols>
    <col min="1" max="1" width="2.6640625" style="15" customWidth="1"/>
    <col min="2" max="2" width="8.6640625" style="14" customWidth="1"/>
    <col min="3" max="3" width="33.6640625" style="15" customWidth="1"/>
    <col min="4" max="4" width="11.33203125" style="14" customWidth="1"/>
    <col min="5" max="6" width="19.6640625" style="15" customWidth="1"/>
    <col min="7" max="8" width="16.6640625" style="15" customWidth="1"/>
    <col min="9" max="9" width="1.6640625" style="15" customWidth="1"/>
    <col min="10" max="10" width="8.6640625" style="15" customWidth="1"/>
    <col min="11" max="11" width="4.6640625" style="15" customWidth="1"/>
    <col min="12" max="12" width="24.44140625" style="15" bestFit="1" customWidth="1"/>
    <col min="13" max="13" width="11.33203125" style="15" customWidth="1"/>
    <col min="14" max="14" width="4.6640625" style="15" customWidth="1"/>
    <col min="15" max="15" width="4.109375" style="15" customWidth="1"/>
    <col min="16" max="16384" width="9.109375" style="15"/>
  </cols>
  <sheetData>
    <row r="1" spans="2:14" s="3" customFormat="1" x14ac:dyDescent="0.3">
      <c r="B1" s="1"/>
      <c r="C1" s="1" t="s">
        <v>268</v>
      </c>
      <c r="D1" s="2"/>
      <c r="F1" s="2"/>
    </row>
    <row r="2" spans="2:14" s="8" customFormat="1" ht="17.399999999999999" x14ac:dyDescent="0.3">
      <c r="B2" s="4"/>
      <c r="C2" s="5" t="s">
        <v>246</v>
      </c>
      <c r="D2" s="6"/>
      <c r="E2" s="7"/>
      <c r="F2" s="6"/>
      <c r="G2" s="7"/>
      <c r="H2" s="7"/>
      <c r="I2" s="7"/>
      <c r="J2" s="7"/>
      <c r="K2" s="7"/>
      <c r="L2" s="7"/>
      <c r="M2" s="7"/>
      <c r="N2" s="7"/>
    </row>
    <row r="3" spans="2:14" s="13" customFormat="1" ht="21" x14ac:dyDescent="0.3">
      <c r="B3" s="9"/>
      <c r="C3" s="10" t="s">
        <v>1</v>
      </c>
      <c r="D3" s="11"/>
      <c r="E3" s="12"/>
      <c r="F3" s="11"/>
      <c r="G3" s="12"/>
      <c r="H3" s="12"/>
      <c r="I3" s="12"/>
      <c r="J3" s="12"/>
      <c r="K3" s="12"/>
      <c r="L3" s="12"/>
      <c r="M3" s="12"/>
      <c r="N3" s="12"/>
    </row>
    <row r="5" spans="2:14" ht="15.6" x14ac:dyDescent="0.3">
      <c r="B5" s="16" t="s">
        <v>2</v>
      </c>
      <c r="C5" s="17"/>
      <c r="D5" s="17"/>
      <c r="E5" s="17"/>
      <c r="F5" s="17"/>
      <c r="G5" s="17"/>
      <c r="H5" s="18"/>
      <c r="J5" s="19" t="s">
        <v>3</v>
      </c>
      <c r="K5" s="20"/>
      <c r="L5" s="20"/>
      <c r="M5" s="20"/>
      <c r="N5" s="21"/>
    </row>
    <row r="6" spans="2:14" ht="28.2" x14ac:dyDescent="0.3">
      <c r="B6" s="22" t="s">
        <v>4</v>
      </c>
      <c r="C6" s="23" t="s">
        <v>5</v>
      </c>
      <c r="D6" s="24" t="s">
        <v>6</v>
      </c>
      <c r="E6" s="24" t="s">
        <v>7</v>
      </c>
      <c r="F6" s="24" t="s">
        <v>8</v>
      </c>
      <c r="G6" s="25" t="s">
        <v>9</v>
      </c>
      <c r="H6" s="26" t="s">
        <v>10</v>
      </c>
      <c r="J6" s="27" t="str">
        <f ca="1">IF(Calculations!CP5&gt;0,"Error Check","")</f>
        <v/>
      </c>
      <c r="K6" s="28" t="s">
        <v>11</v>
      </c>
      <c r="L6" s="28"/>
      <c r="M6" s="28"/>
      <c r="N6" s="29"/>
    </row>
    <row r="7" spans="2:14" x14ac:dyDescent="0.3">
      <c r="B7" s="217">
        <v>1</v>
      </c>
      <c r="C7" s="217" t="s">
        <v>249</v>
      </c>
      <c r="D7" s="217">
        <v>2</v>
      </c>
      <c r="E7" s="217"/>
      <c r="F7" s="217" t="s">
        <v>269</v>
      </c>
      <c r="G7" s="217"/>
      <c r="H7" s="217" t="s">
        <v>31</v>
      </c>
      <c r="J7" s="32" t="str">
        <f ca="1">IF(SUM(Calculations!CC7:CL7)&gt;0,"← Check","")</f>
        <v/>
      </c>
      <c r="K7" s="33" t="str">
        <f ca="1">Calculations!CO19</f>
        <v/>
      </c>
      <c r="L7" s="34"/>
      <c r="M7" s="34"/>
      <c r="N7" s="35"/>
    </row>
    <row r="8" spans="2:14" x14ac:dyDescent="0.3">
      <c r="B8" s="217">
        <v>2</v>
      </c>
      <c r="C8" s="217" t="s">
        <v>250</v>
      </c>
      <c r="D8" s="217">
        <v>3</v>
      </c>
      <c r="E8" s="217"/>
      <c r="F8" s="217" t="s">
        <v>251</v>
      </c>
      <c r="G8" s="217"/>
      <c r="H8" s="217" t="s">
        <v>31</v>
      </c>
      <c r="J8" s="36" t="str">
        <f ca="1">IF(SUM(Calculations!CC8:CL8)&gt;0,"← Check","")</f>
        <v/>
      </c>
      <c r="K8" s="37" t="str">
        <f ca="1">Calculations!CO20</f>
        <v>Ready! Click the button to Create your Chart.</v>
      </c>
      <c r="L8" s="38"/>
      <c r="M8" s="38"/>
      <c r="N8" s="39"/>
    </row>
    <row r="9" spans="2:14" x14ac:dyDescent="0.3">
      <c r="B9" s="217">
        <v>3</v>
      </c>
      <c r="C9" s="217" t="s">
        <v>252</v>
      </c>
      <c r="D9" s="217">
        <v>4</v>
      </c>
      <c r="E9" s="217"/>
      <c r="F9" s="217" t="s">
        <v>251</v>
      </c>
      <c r="G9" s="217"/>
      <c r="H9" s="217" t="s">
        <v>31</v>
      </c>
      <c r="J9" s="36" t="str">
        <f ca="1">IF(SUM(Calculations!CC9:CL9)&gt;0,"← Check","")</f>
        <v/>
      </c>
      <c r="K9" s="40" t="str">
        <f ca="1">Calculations!CO21</f>
        <v/>
      </c>
      <c r="L9" s="41"/>
      <c r="M9" s="41"/>
      <c r="N9" s="42"/>
    </row>
    <row r="10" spans="2:14" x14ac:dyDescent="0.3">
      <c r="B10" s="217">
        <v>4</v>
      </c>
      <c r="C10" s="217" t="s">
        <v>253</v>
      </c>
      <c r="D10" s="217" t="s">
        <v>254</v>
      </c>
      <c r="E10" s="217" t="s">
        <v>255</v>
      </c>
      <c r="F10" s="217" t="s">
        <v>256</v>
      </c>
      <c r="G10" s="217"/>
      <c r="H10" s="217" t="s">
        <v>31</v>
      </c>
      <c r="J10" s="43" t="str">
        <f ca="1">IF(SUM(Calculations!CC10:CL10)&gt;0,"← Check","")</f>
        <v/>
      </c>
      <c r="L10" s="44"/>
      <c r="M10" s="44"/>
      <c r="N10" s="44"/>
    </row>
    <row r="11" spans="2:14" x14ac:dyDescent="0.3">
      <c r="B11" s="217">
        <v>5</v>
      </c>
      <c r="C11" s="217" t="s">
        <v>257</v>
      </c>
      <c r="D11" s="217">
        <v>6</v>
      </c>
      <c r="E11" s="217"/>
      <c r="F11" s="217" t="s">
        <v>251</v>
      </c>
      <c r="G11" s="217"/>
      <c r="H11" s="217" t="s">
        <v>31</v>
      </c>
      <c r="J11" s="43" t="str">
        <f ca="1">IF(SUM(Calculations!CC11:CL11)&gt;0,"← Check","")</f>
        <v/>
      </c>
      <c r="K11" s="45"/>
      <c r="L11" s="46" t="s">
        <v>16</v>
      </c>
      <c r="M11" s="46"/>
      <c r="N11" s="47"/>
    </row>
    <row r="12" spans="2:14" x14ac:dyDescent="0.3">
      <c r="B12" s="217">
        <v>6</v>
      </c>
      <c r="C12" s="217" t="s">
        <v>258</v>
      </c>
      <c r="D12" s="217">
        <v>7</v>
      </c>
      <c r="E12" s="217"/>
      <c r="F12" s="217" t="s">
        <v>251</v>
      </c>
      <c r="G12" s="217"/>
      <c r="H12" s="217" t="s">
        <v>31</v>
      </c>
      <c r="J12" s="43" t="str">
        <f ca="1">IF(SUM(Calculations!CC12:CL12)&gt;0,"← Check","")</f>
        <v/>
      </c>
      <c r="K12" s="48"/>
      <c r="L12" s="49"/>
      <c r="M12" s="49"/>
      <c r="N12" s="50"/>
    </row>
    <row r="13" spans="2:14" x14ac:dyDescent="0.3">
      <c r="B13" s="217">
        <v>7</v>
      </c>
      <c r="C13" s="217" t="s">
        <v>259</v>
      </c>
      <c r="D13" s="217" t="s">
        <v>260</v>
      </c>
      <c r="E13" s="217" t="s">
        <v>255</v>
      </c>
      <c r="F13" s="217" t="s">
        <v>256</v>
      </c>
      <c r="G13" s="217"/>
      <c r="H13" s="217" t="s">
        <v>31</v>
      </c>
      <c r="J13" s="43" t="str">
        <f ca="1">IF(SUM(Calculations!CC13:CL13)&gt;0,"← Check","")</f>
        <v/>
      </c>
      <c r="K13" s="48"/>
      <c r="L13" s="51" t="s">
        <v>18</v>
      </c>
      <c r="M13" s="52" t="s">
        <v>19</v>
      </c>
      <c r="N13" s="50"/>
    </row>
    <row r="14" spans="2:14" x14ac:dyDescent="0.3">
      <c r="B14" s="217">
        <v>8</v>
      </c>
      <c r="C14" s="217" t="s">
        <v>261</v>
      </c>
      <c r="D14" s="217">
        <v>9</v>
      </c>
      <c r="E14" s="217"/>
      <c r="F14" s="217" t="s">
        <v>251</v>
      </c>
      <c r="G14" s="217"/>
      <c r="H14" s="217" t="s">
        <v>31</v>
      </c>
      <c r="J14" s="43" t="str">
        <f ca="1">IF(SUM(Calculations!CC14:CL14)&gt;0,"← Check","")</f>
        <v/>
      </c>
      <c r="K14" s="48"/>
      <c r="L14" s="53"/>
      <c r="M14" s="49"/>
      <c r="N14" s="50"/>
    </row>
    <row r="15" spans="2:14" x14ac:dyDescent="0.3">
      <c r="B15" s="217">
        <v>9</v>
      </c>
      <c r="C15" s="217" t="s">
        <v>262</v>
      </c>
      <c r="D15" s="217"/>
      <c r="E15" s="217"/>
      <c r="F15" s="217" t="s">
        <v>251</v>
      </c>
      <c r="G15" s="217"/>
      <c r="H15" s="217" t="s">
        <v>31</v>
      </c>
      <c r="J15" s="43" t="str">
        <f ca="1">IF(SUM(Calculations!CC15:CL15)&gt;0,"← Check","")</f>
        <v/>
      </c>
      <c r="K15" s="48"/>
      <c r="L15" s="51" t="s">
        <v>20</v>
      </c>
      <c r="M15" s="52">
        <v>110</v>
      </c>
      <c r="N15" s="50"/>
    </row>
    <row r="16" spans="2:14" x14ac:dyDescent="0.3">
      <c r="B16" s="217">
        <v>10</v>
      </c>
      <c r="C16" s="217" t="s">
        <v>263</v>
      </c>
      <c r="D16" s="217">
        <v>11</v>
      </c>
      <c r="E16" s="217"/>
      <c r="F16" s="217" t="s">
        <v>251</v>
      </c>
      <c r="G16" s="217" t="s">
        <v>125</v>
      </c>
      <c r="H16" s="217" t="s">
        <v>31</v>
      </c>
      <c r="J16" s="43" t="str">
        <f ca="1">IF(SUM(Calculations!CC16:CL16)&gt;0,"← Check","")</f>
        <v/>
      </c>
      <c r="K16" s="48"/>
      <c r="L16" s="51" t="s">
        <v>22</v>
      </c>
      <c r="M16" s="52">
        <v>50</v>
      </c>
      <c r="N16" s="50"/>
    </row>
    <row r="17" spans="2:14" x14ac:dyDescent="0.3">
      <c r="B17" s="217">
        <v>11</v>
      </c>
      <c r="C17" s="217" t="s">
        <v>264</v>
      </c>
      <c r="D17" s="217">
        <v>12</v>
      </c>
      <c r="E17" s="217"/>
      <c r="F17" s="217" t="s">
        <v>251</v>
      </c>
      <c r="G17" s="217" t="s">
        <v>125</v>
      </c>
      <c r="H17" s="217" t="s">
        <v>31</v>
      </c>
      <c r="J17" s="43" t="str">
        <f ca="1">IF(SUM(Calculations!CC17:CL17)&gt;0,"← Check","")</f>
        <v/>
      </c>
      <c r="K17" s="48"/>
      <c r="L17" s="51" t="s">
        <v>23</v>
      </c>
      <c r="M17" s="52">
        <v>50</v>
      </c>
      <c r="N17" s="50"/>
    </row>
    <row r="18" spans="2:14" x14ac:dyDescent="0.3">
      <c r="B18" s="217">
        <v>12</v>
      </c>
      <c r="C18" s="217" t="s">
        <v>265</v>
      </c>
      <c r="D18" s="217">
        <v>13</v>
      </c>
      <c r="E18" s="217"/>
      <c r="F18" s="217" t="s">
        <v>251</v>
      </c>
      <c r="G18" s="217"/>
      <c r="H18" s="217" t="s">
        <v>31</v>
      </c>
      <c r="J18" s="43" t="str">
        <f ca="1">IF(SUM(Calculations!CC18:CL18)&gt;0,"← Check","")</f>
        <v/>
      </c>
      <c r="K18" s="48"/>
      <c r="L18" s="51" t="s">
        <v>24</v>
      </c>
      <c r="M18" s="52">
        <v>40</v>
      </c>
      <c r="N18" s="50"/>
    </row>
    <row r="19" spans="2:14" x14ac:dyDescent="0.3">
      <c r="B19" s="217">
        <v>13</v>
      </c>
      <c r="C19" s="217" t="s">
        <v>259</v>
      </c>
      <c r="D19" s="217" t="s">
        <v>247</v>
      </c>
      <c r="E19" s="217" t="s">
        <v>255</v>
      </c>
      <c r="F19" s="217" t="s">
        <v>256</v>
      </c>
      <c r="G19" s="217"/>
      <c r="H19" s="217" t="s">
        <v>31</v>
      </c>
      <c r="J19" s="43" t="str">
        <f ca="1">IF(SUM(Calculations!CC19:CL19)&gt;0,"← Check","")</f>
        <v/>
      </c>
      <c r="K19" s="48"/>
      <c r="L19" s="51" t="s">
        <v>25</v>
      </c>
      <c r="M19" s="54">
        <v>11</v>
      </c>
      <c r="N19" s="50"/>
    </row>
    <row r="20" spans="2:14" x14ac:dyDescent="0.3">
      <c r="B20" s="217">
        <v>14</v>
      </c>
      <c r="C20" s="217" t="s">
        <v>266</v>
      </c>
      <c r="D20" s="217">
        <v>16</v>
      </c>
      <c r="E20" s="217"/>
      <c r="F20" s="217" t="s">
        <v>251</v>
      </c>
      <c r="G20" s="217"/>
      <c r="H20" s="217" t="s">
        <v>31</v>
      </c>
      <c r="J20" s="43" t="str">
        <f ca="1">IF(SUM(Calculations!CC20:CL20)&gt;0,"← Check","")</f>
        <v/>
      </c>
      <c r="K20" s="55"/>
      <c r="L20" s="56"/>
      <c r="M20" s="56"/>
      <c r="N20" s="57"/>
    </row>
    <row r="21" spans="2:14" x14ac:dyDescent="0.3">
      <c r="B21" s="217">
        <v>15</v>
      </c>
      <c r="C21" s="217" t="s">
        <v>267</v>
      </c>
      <c r="D21" s="217">
        <v>16</v>
      </c>
      <c r="E21" s="217"/>
      <c r="F21" s="217"/>
      <c r="G21" s="217"/>
      <c r="H21" s="217" t="s">
        <v>31</v>
      </c>
      <c r="J21" s="43" t="str">
        <f ca="1">IF(SUM(Calculations!CC21:CL21)&gt;0,"← Check","")</f>
        <v/>
      </c>
    </row>
    <row r="22" spans="2:14" x14ac:dyDescent="0.3">
      <c r="B22" s="217">
        <v>16</v>
      </c>
      <c r="C22" s="217" t="s">
        <v>248</v>
      </c>
      <c r="D22" s="217"/>
      <c r="E22" s="217"/>
      <c r="F22" s="217"/>
      <c r="G22" s="217"/>
      <c r="H22" s="217" t="s">
        <v>29</v>
      </c>
      <c r="J22" s="43" t="str">
        <f ca="1">IF(SUM(Calculations!CC22:CL22)&gt;0,"← Check","")</f>
        <v/>
      </c>
      <c r="K22" s="58"/>
      <c r="L22" s="46" t="s">
        <v>26</v>
      </c>
      <c r="M22" s="46"/>
      <c r="N22" s="59"/>
    </row>
    <row r="23" spans="2:14" x14ac:dyDescent="0.3">
      <c r="B23" s="30"/>
      <c r="C23" s="31"/>
      <c r="D23" s="30"/>
      <c r="E23" s="30"/>
      <c r="F23" s="30"/>
      <c r="G23" s="30"/>
      <c r="H23" s="30"/>
      <c r="J23" s="43" t="str">
        <f ca="1">IF(SUM(Calculations!CC23:CL23)&gt;0,"← Check","")</f>
        <v/>
      </c>
      <c r="K23" s="48"/>
      <c r="L23" s="49"/>
      <c r="M23" s="49"/>
      <c r="N23" s="50"/>
    </row>
    <row r="24" spans="2:14" x14ac:dyDescent="0.3">
      <c r="B24" s="30"/>
      <c r="C24" s="31"/>
      <c r="D24" s="30"/>
      <c r="E24" s="30"/>
      <c r="F24" s="30"/>
      <c r="G24" s="30"/>
      <c r="H24" s="30"/>
      <c r="J24" s="43" t="str">
        <f ca="1">IF(SUM(Calculations!CC24:CL24)&gt;0,"← Check","")</f>
        <v/>
      </c>
      <c r="K24" s="48"/>
      <c r="L24" s="60" t="s">
        <v>27</v>
      </c>
      <c r="M24" s="61" t="s">
        <v>28</v>
      </c>
      <c r="N24" s="50"/>
    </row>
    <row r="25" spans="2:14" x14ac:dyDescent="0.3">
      <c r="B25" s="30"/>
      <c r="C25" s="31"/>
      <c r="D25" s="30"/>
      <c r="E25" s="30"/>
      <c r="F25" s="30"/>
      <c r="G25" s="30"/>
      <c r="H25" s="30"/>
      <c r="J25" s="43" t="str">
        <f ca="1">IF(SUM(Calculations!CC25:CL25)&gt;0,"← Check","")</f>
        <v/>
      </c>
      <c r="K25" s="48"/>
      <c r="L25" s="62" t="s">
        <v>29</v>
      </c>
      <c r="M25" s="63"/>
      <c r="N25" s="50"/>
    </row>
    <row r="26" spans="2:14" x14ac:dyDescent="0.3">
      <c r="B26" s="30"/>
      <c r="C26" s="31"/>
      <c r="D26" s="30"/>
      <c r="E26" s="30"/>
      <c r="F26" s="30"/>
      <c r="G26" s="30"/>
      <c r="H26" s="30"/>
      <c r="J26" s="43" t="str">
        <f ca="1">IF(SUM(Calculations!CC26:CL26)&gt;0,"← Check","")</f>
        <v/>
      </c>
      <c r="K26" s="48"/>
      <c r="L26" s="62" t="s">
        <v>30</v>
      </c>
      <c r="M26" s="64"/>
      <c r="N26" s="50"/>
    </row>
    <row r="27" spans="2:14" x14ac:dyDescent="0.3">
      <c r="B27" s="30"/>
      <c r="C27" s="31"/>
      <c r="D27" s="30"/>
      <c r="E27" s="30"/>
      <c r="F27" s="30"/>
      <c r="G27" s="30"/>
      <c r="H27" s="30"/>
      <c r="J27" s="43" t="str">
        <f ca="1">IF(SUM(Calculations!CC27:CL27)&gt;0,"← Check","")</f>
        <v/>
      </c>
      <c r="K27" s="48"/>
      <c r="L27" s="62" t="s">
        <v>31</v>
      </c>
      <c r="M27" s="65"/>
      <c r="N27" s="50"/>
    </row>
    <row r="28" spans="2:14" x14ac:dyDescent="0.3">
      <c r="B28" s="30"/>
      <c r="C28" s="31"/>
      <c r="D28" s="30"/>
      <c r="E28" s="30"/>
      <c r="F28" s="30"/>
      <c r="G28" s="30"/>
      <c r="H28" s="30"/>
      <c r="J28" s="43" t="str">
        <f ca="1">IF(SUM(Calculations!CC28:CL28)&gt;0,"← Check","")</f>
        <v/>
      </c>
      <c r="K28" s="48"/>
      <c r="L28" s="62" t="s">
        <v>32</v>
      </c>
      <c r="M28" s="66"/>
      <c r="N28" s="50"/>
    </row>
    <row r="29" spans="2:14" x14ac:dyDescent="0.3">
      <c r="B29" s="30"/>
      <c r="C29" s="31"/>
      <c r="D29" s="30"/>
      <c r="E29" s="30"/>
      <c r="F29" s="30"/>
      <c r="G29" s="30"/>
      <c r="H29" s="30"/>
      <c r="J29" s="43" t="str">
        <f ca="1">IF(SUM(Calculations!CC29:CL29)&gt;0,"← Check","")</f>
        <v/>
      </c>
      <c r="K29" s="48"/>
      <c r="L29" s="62" t="s">
        <v>33</v>
      </c>
      <c r="M29" s="67"/>
      <c r="N29" s="50"/>
    </row>
    <row r="30" spans="2:14" x14ac:dyDescent="0.3">
      <c r="B30" s="30"/>
      <c r="C30" s="31"/>
      <c r="D30" s="30"/>
      <c r="E30" s="30"/>
      <c r="F30" s="30"/>
      <c r="G30" s="30"/>
      <c r="H30" s="30"/>
      <c r="J30" s="43" t="str">
        <f ca="1">IF(SUM(Calculations!CC30:CL30)&gt;0,"← Check","")</f>
        <v/>
      </c>
      <c r="K30" s="48"/>
      <c r="L30" s="62" t="s">
        <v>34</v>
      </c>
      <c r="M30" s="52"/>
      <c r="N30" s="50"/>
    </row>
    <row r="31" spans="2:14" x14ac:dyDescent="0.3">
      <c r="B31" s="30"/>
      <c r="C31" s="31"/>
      <c r="D31" s="30"/>
      <c r="E31" s="30"/>
      <c r="F31" s="30"/>
      <c r="G31" s="30"/>
      <c r="H31" s="30"/>
      <c r="J31" s="43" t="str">
        <f ca="1">IF(SUM(Calculations!CC31:CL31)&gt;0,"← Check","")</f>
        <v/>
      </c>
      <c r="K31" s="48"/>
      <c r="L31" s="62" t="s">
        <v>35</v>
      </c>
      <c r="M31" s="218"/>
      <c r="N31" s="50"/>
    </row>
    <row r="32" spans="2:14" x14ac:dyDescent="0.3">
      <c r="B32" s="30"/>
      <c r="C32" s="31"/>
      <c r="D32" s="30"/>
      <c r="E32" s="30"/>
      <c r="F32" s="30"/>
      <c r="G32" s="30"/>
      <c r="H32" s="30"/>
      <c r="J32" s="43" t="str">
        <f ca="1">IF(SUM(Calculations!CC32:CL32)&gt;0,"← Check","")</f>
        <v/>
      </c>
      <c r="K32" s="48"/>
      <c r="L32" s="49"/>
      <c r="M32" s="49"/>
      <c r="N32" s="50"/>
    </row>
    <row r="33" spans="2:14" x14ac:dyDescent="0.3">
      <c r="B33" s="30"/>
      <c r="C33" s="31"/>
      <c r="D33" s="30"/>
      <c r="E33" s="30"/>
      <c r="F33" s="30"/>
      <c r="G33" s="30"/>
      <c r="H33" s="30"/>
      <c r="J33" s="43" t="str">
        <f ca="1">IF(SUM(Calculations!CC33:CL33)&gt;0,"← Check","")</f>
        <v/>
      </c>
      <c r="K33" s="48"/>
      <c r="L33" s="68" t="s">
        <v>36</v>
      </c>
      <c r="M33" s="69"/>
      <c r="N33" s="50"/>
    </row>
    <row r="34" spans="2:14" x14ac:dyDescent="0.3">
      <c r="B34" s="30"/>
      <c r="C34" s="31"/>
      <c r="D34" s="30"/>
      <c r="E34" s="30"/>
      <c r="F34" s="30"/>
      <c r="G34" s="30"/>
      <c r="H34" s="30"/>
      <c r="J34" s="43" t="str">
        <f ca="1">IF(SUM(Calculations!CC34:CL34)&gt;0,"← Check","")</f>
        <v/>
      </c>
      <c r="K34" s="48"/>
      <c r="L34" s="68" t="s">
        <v>37</v>
      </c>
      <c r="M34" s="70"/>
      <c r="N34" s="50"/>
    </row>
    <row r="35" spans="2:14" x14ac:dyDescent="0.3">
      <c r="B35" s="30"/>
      <c r="C35" s="31"/>
      <c r="D35" s="30"/>
      <c r="E35" s="30"/>
      <c r="F35" s="30"/>
      <c r="G35" s="30"/>
      <c r="H35" s="30"/>
      <c r="J35" s="43" t="str">
        <f ca="1">IF(SUM(Calculations!CC35:CL35)&gt;0,"← Check","")</f>
        <v/>
      </c>
      <c r="K35" s="55"/>
      <c r="L35" s="56"/>
      <c r="M35" s="56"/>
      <c r="N35" s="57"/>
    </row>
    <row r="36" spans="2:14" x14ac:dyDescent="0.3">
      <c r="B36" s="30"/>
      <c r="C36" s="31"/>
      <c r="D36" s="30"/>
      <c r="E36" s="30"/>
      <c r="F36" s="30"/>
      <c r="G36" s="30"/>
      <c r="H36" s="30"/>
      <c r="J36" s="43" t="str">
        <f ca="1">IF(SUM(Calculations!CC36:CL36)&gt;0,"← Check","")</f>
        <v/>
      </c>
    </row>
    <row r="37" spans="2:14" x14ac:dyDescent="0.3">
      <c r="B37" s="30"/>
      <c r="C37" s="31"/>
      <c r="D37" s="30"/>
      <c r="E37" s="30"/>
      <c r="F37" s="30"/>
      <c r="G37" s="30"/>
      <c r="H37" s="30"/>
      <c r="J37" s="43" t="str">
        <f ca="1">IF(SUM(Calculations!CC37:CL37)&gt;0,"← Check","")</f>
        <v/>
      </c>
    </row>
    <row r="38" spans="2:14" x14ac:dyDescent="0.3">
      <c r="B38" s="30"/>
      <c r="C38" s="31"/>
      <c r="D38" s="30"/>
      <c r="E38" s="30"/>
      <c r="F38" s="30"/>
      <c r="G38" s="30"/>
      <c r="H38" s="30"/>
      <c r="J38" s="43" t="str">
        <f ca="1">IF(SUM(Calculations!CC38:CL38)&gt;0,"← Check","")</f>
        <v/>
      </c>
    </row>
    <row r="39" spans="2:14" x14ac:dyDescent="0.3">
      <c r="B39" s="30"/>
      <c r="C39" s="31"/>
      <c r="D39" s="30"/>
      <c r="E39" s="30"/>
      <c r="F39" s="30"/>
      <c r="G39" s="30"/>
      <c r="H39" s="30"/>
      <c r="J39" s="43" t="str">
        <f ca="1">IF(SUM(Calculations!CC39:CL39)&gt;0,"← Check","")</f>
        <v/>
      </c>
    </row>
    <row r="40" spans="2:14" x14ac:dyDescent="0.3">
      <c r="B40" s="30"/>
      <c r="C40" s="31"/>
      <c r="D40" s="30"/>
      <c r="E40" s="30"/>
      <c r="F40" s="30"/>
      <c r="G40" s="30"/>
      <c r="H40" s="30"/>
      <c r="J40" s="43" t="str">
        <f ca="1">IF(SUM(Calculations!CC40:CL40)&gt;0,"← Check","")</f>
        <v/>
      </c>
    </row>
    <row r="41" spans="2:14" x14ac:dyDescent="0.3">
      <c r="B41" s="30"/>
      <c r="C41" s="31"/>
      <c r="D41" s="30"/>
      <c r="E41" s="30"/>
      <c r="F41" s="30"/>
      <c r="G41" s="30"/>
      <c r="H41" s="30"/>
      <c r="J41" s="43" t="str">
        <f ca="1">IF(SUM(Calculations!CC41:CL41)&gt;0,"← Check","")</f>
        <v/>
      </c>
    </row>
    <row r="42" spans="2:14" x14ac:dyDescent="0.3">
      <c r="B42" s="30"/>
      <c r="C42" s="31"/>
      <c r="D42" s="30"/>
      <c r="E42" s="30"/>
      <c r="F42" s="30"/>
      <c r="G42" s="30"/>
      <c r="H42" s="30"/>
      <c r="J42" s="43" t="str">
        <f ca="1">IF(SUM(Calculations!CC42:CL42)&gt;0,"← Check","")</f>
        <v/>
      </c>
    </row>
    <row r="43" spans="2:14" x14ac:dyDescent="0.3">
      <c r="B43" s="30"/>
      <c r="C43" s="31"/>
      <c r="D43" s="30"/>
      <c r="E43" s="30"/>
      <c r="F43" s="30"/>
      <c r="G43" s="30"/>
      <c r="H43" s="30"/>
      <c r="J43" s="43" t="str">
        <f ca="1">IF(SUM(Calculations!CC43:CL43)&gt;0,"← Check","")</f>
        <v/>
      </c>
    </row>
    <row r="44" spans="2:14" x14ac:dyDescent="0.3">
      <c r="B44" s="30"/>
      <c r="C44" s="31"/>
      <c r="D44" s="30"/>
      <c r="E44" s="30"/>
      <c r="F44" s="30"/>
      <c r="G44" s="30"/>
      <c r="H44" s="30"/>
      <c r="J44" s="43" t="str">
        <f ca="1">IF(SUM(Calculations!CC44:CL44)&gt;0,"← Check","")</f>
        <v/>
      </c>
    </row>
    <row r="45" spans="2:14" x14ac:dyDescent="0.3">
      <c r="B45" s="30"/>
      <c r="C45" s="31"/>
      <c r="D45" s="30"/>
      <c r="E45" s="30"/>
      <c r="F45" s="30"/>
      <c r="G45" s="30"/>
      <c r="H45" s="30"/>
      <c r="J45" s="43" t="str">
        <f ca="1">IF(SUM(Calculations!CC45:CL45)&gt;0,"← Check","")</f>
        <v/>
      </c>
    </row>
    <row r="46" spans="2:14" x14ac:dyDescent="0.3">
      <c r="B46" s="30"/>
      <c r="C46" s="31"/>
      <c r="D46" s="30"/>
      <c r="E46" s="30"/>
      <c r="F46" s="30"/>
      <c r="G46" s="30"/>
      <c r="H46" s="30"/>
      <c r="J46" s="43" t="str">
        <f ca="1">IF(SUM(Calculations!CC46:CL46)&gt;0,"← Check","")</f>
        <v/>
      </c>
    </row>
    <row r="47" spans="2:14" x14ac:dyDescent="0.3">
      <c r="B47" s="30"/>
      <c r="C47" s="31"/>
      <c r="D47" s="30"/>
      <c r="E47" s="30"/>
      <c r="F47" s="30"/>
      <c r="G47" s="30"/>
      <c r="H47" s="30"/>
      <c r="J47" s="43" t="str">
        <f ca="1">IF(SUM(Calculations!CC47:CL47)&gt;0,"← Check","")</f>
        <v/>
      </c>
    </row>
    <row r="48" spans="2:14" x14ac:dyDescent="0.3">
      <c r="B48" s="30"/>
      <c r="C48" s="31"/>
      <c r="D48" s="30"/>
      <c r="E48" s="30"/>
      <c r="F48" s="30"/>
      <c r="G48" s="30"/>
      <c r="H48" s="30"/>
      <c r="J48" s="43" t="str">
        <f ca="1">IF(SUM(Calculations!CC48:CL48)&gt;0,"← Check","")</f>
        <v/>
      </c>
    </row>
    <row r="49" spans="2:10" x14ac:dyDescent="0.3">
      <c r="B49" s="30"/>
      <c r="C49" s="31"/>
      <c r="D49" s="30"/>
      <c r="E49" s="30"/>
      <c r="F49" s="30"/>
      <c r="G49" s="30"/>
      <c r="H49" s="30"/>
      <c r="J49" s="43" t="str">
        <f ca="1">IF(SUM(Calculations!CC49:CL49)&gt;0,"← Check","")</f>
        <v/>
      </c>
    </row>
    <row r="50" spans="2:10" x14ac:dyDescent="0.3">
      <c r="B50" s="30"/>
      <c r="C50" s="31"/>
      <c r="D50" s="30"/>
      <c r="E50" s="30"/>
      <c r="F50" s="30"/>
      <c r="G50" s="30"/>
      <c r="H50" s="30"/>
      <c r="J50" s="43" t="str">
        <f ca="1">IF(SUM(Calculations!CC50:CL50)&gt;0,"← Check","")</f>
        <v/>
      </c>
    </row>
    <row r="51" spans="2:10" x14ac:dyDescent="0.3">
      <c r="B51" s="30"/>
      <c r="C51" s="31"/>
      <c r="D51" s="30"/>
      <c r="E51" s="30"/>
      <c r="F51" s="30"/>
      <c r="G51" s="30"/>
      <c r="H51" s="30"/>
      <c r="J51" s="43" t="str">
        <f ca="1">IF(SUM(Calculations!CC51:CL51)&gt;0,"← Check","")</f>
        <v/>
      </c>
    </row>
    <row r="52" spans="2:10" x14ac:dyDescent="0.3">
      <c r="B52" s="30"/>
      <c r="C52" s="31"/>
      <c r="D52" s="30"/>
      <c r="E52" s="30"/>
      <c r="F52" s="30"/>
      <c r="G52" s="30"/>
      <c r="H52" s="30"/>
      <c r="J52" s="43" t="str">
        <f ca="1">IF(SUM(Calculations!CC52:CL52)&gt;0,"← Check","")</f>
        <v/>
      </c>
    </row>
    <row r="53" spans="2:10" x14ac:dyDescent="0.3">
      <c r="B53" s="30"/>
      <c r="C53" s="31"/>
      <c r="D53" s="30"/>
      <c r="E53" s="30"/>
      <c r="F53" s="30"/>
      <c r="G53" s="30"/>
      <c r="H53" s="30"/>
      <c r="J53" s="43" t="str">
        <f ca="1">IF(SUM(Calculations!CC53:CL53)&gt;0,"← Check","")</f>
        <v/>
      </c>
    </row>
    <row r="54" spans="2:10" x14ac:dyDescent="0.3">
      <c r="B54" s="30"/>
      <c r="C54" s="31"/>
      <c r="D54" s="30"/>
      <c r="E54" s="30"/>
      <c r="F54" s="30"/>
      <c r="G54" s="30"/>
      <c r="H54" s="30"/>
      <c r="J54" s="43" t="str">
        <f ca="1">IF(SUM(Calculations!CC54:CL54)&gt;0,"← Check","")</f>
        <v/>
      </c>
    </row>
    <row r="55" spans="2:10" x14ac:dyDescent="0.3">
      <c r="B55" s="30"/>
      <c r="C55" s="31"/>
      <c r="D55" s="30"/>
      <c r="E55" s="30"/>
      <c r="F55" s="30"/>
      <c r="G55" s="30"/>
      <c r="H55" s="30"/>
      <c r="J55" s="43" t="str">
        <f ca="1">IF(SUM(Calculations!CC55:CL55)&gt;0,"← Check","")</f>
        <v/>
      </c>
    </row>
    <row r="56" spans="2:10" x14ac:dyDescent="0.3">
      <c r="B56" s="30"/>
      <c r="C56" s="31"/>
      <c r="D56" s="30"/>
      <c r="E56" s="30"/>
      <c r="F56" s="30"/>
      <c r="G56" s="30"/>
      <c r="H56" s="30"/>
      <c r="J56" s="43" t="str">
        <f ca="1">IF(SUM(Calculations!CC56:CL56)&gt;0,"← Check","")</f>
        <v/>
      </c>
    </row>
    <row r="57" spans="2:10" x14ac:dyDescent="0.3">
      <c r="B57" s="30"/>
      <c r="C57" s="31"/>
      <c r="D57" s="30"/>
      <c r="E57" s="30"/>
      <c r="F57" s="30"/>
      <c r="G57" s="30"/>
      <c r="H57" s="30"/>
      <c r="J57" s="43" t="str">
        <f ca="1">IF(SUM(Calculations!CC57:CL57)&gt;0,"← Check","")</f>
        <v/>
      </c>
    </row>
    <row r="58" spans="2:10" x14ac:dyDescent="0.3">
      <c r="B58" s="30"/>
      <c r="C58" s="31"/>
      <c r="D58" s="30"/>
      <c r="E58" s="30"/>
      <c r="F58" s="30"/>
      <c r="G58" s="30"/>
      <c r="H58" s="30"/>
      <c r="J58" s="43" t="str">
        <f ca="1">IF(SUM(Calculations!CC58:CL58)&gt;0,"← Check","")</f>
        <v/>
      </c>
    </row>
    <row r="59" spans="2:10" x14ac:dyDescent="0.3">
      <c r="B59" s="30"/>
      <c r="C59" s="31"/>
      <c r="D59" s="30"/>
      <c r="E59" s="30"/>
      <c r="F59" s="30"/>
      <c r="G59" s="30"/>
      <c r="H59" s="30"/>
      <c r="J59" s="43" t="str">
        <f ca="1">IF(SUM(Calculations!CC59:CL59)&gt;0,"← Check","")</f>
        <v/>
      </c>
    </row>
    <row r="60" spans="2:10" x14ac:dyDescent="0.3">
      <c r="B60" s="30"/>
      <c r="C60" s="31"/>
      <c r="D60" s="30"/>
      <c r="E60" s="30"/>
      <c r="F60" s="30"/>
      <c r="G60" s="30"/>
      <c r="H60" s="30"/>
      <c r="J60" s="43" t="str">
        <f ca="1">IF(SUM(Calculations!CC60:CL60)&gt;0,"← Check","")</f>
        <v/>
      </c>
    </row>
    <row r="61" spans="2:10" x14ac:dyDescent="0.3">
      <c r="B61" s="30"/>
      <c r="C61" s="31"/>
      <c r="D61" s="30"/>
      <c r="E61" s="30"/>
      <c r="F61" s="30"/>
      <c r="G61" s="30"/>
      <c r="H61" s="30"/>
      <c r="J61" s="43" t="str">
        <f ca="1">IF(SUM(Calculations!CC61:CL61)&gt;0,"← Check","")</f>
        <v/>
      </c>
    </row>
    <row r="62" spans="2:10" x14ac:dyDescent="0.3">
      <c r="B62" s="30"/>
      <c r="C62" s="31"/>
      <c r="D62" s="30"/>
      <c r="E62" s="30"/>
      <c r="F62" s="30"/>
      <c r="G62" s="30"/>
      <c r="H62" s="30"/>
      <c r="J62" s="43" t="str">
        <f ca="1">IF(SUM(Calculations!CC62:CL62)&gt;0,"← Check","")</f>
        <v/>
      </c>
    </row>
    <row r="63" spans="2:10" x14ac:dyDescent="0.3">
      <c r="B63" s="30"/>
      <c r="C63" s="31"/>
      <c r="D63" s="30"/>
      <c r="E63" s="30"/>
      <c r="F63" s="30"/>
      <c r="G63" s="30"/>
      <c r="H63" s="30"/>
      <c r="J63" s="43" t="str">
        <f ca="1">IF(SUM(Calculations!CC63:CL63)&gt;0,"← Check","")</f>
        <v/>
      </c>
    </row>
    <row r="64" spans="2:10" x14ac:dyDescent="0.3">
      <c r="B64" s="30"/>
      <c r="C64" s="31"/>
      <c r="D64" s="30"/>
      <c r="E64" s="30"/>
      <c r="F64" s="30"/>
      <c r="G64" s="30"/>
      <c r="H64" s="30"/>
      <c r="J64" s="43" t="str">
        <f ca="1">IF(SUM(Calculations!CC64:CL64)&gt;0,"← Check","")</f>
        <v/>
      </c>
    </row>
    <row r="65" spans="2:10" x14ac:dyDescent="0.3">
      <c r="B65" s="30"/>
      <c r="C65" s="31"/>
      <c r="D65" s="30"/>
      <c r="E65" s="30"/>
      <c r="F65" s="30"/>
      <c r="G65" s="30"/>
      <c r="H65" s="30"/>
      <c r="J65" s="43" t="str">
        <f ca="1">IF(SUM(Calculations!CC65:CL65)&gt;0,"← Check","")</f>
        <v/>
      </c>
    </row>
    <row r="66" spans="2:10" x14ac:dyDescent="0.3">
      <c r="B66" s="30"/>
      <c r="C66" s="31"/>
      <c r="D66" s="30"/>
      <c r="E66" s="30"/>
      <c r="F66" s="30"/>
      <c r="G66" s="30"/>
      <c r="H66" s="30"/>
      <c r="J66" s="43" t="str">
        <f ca="1">IF(SUM(Calculations!CC66:CL66)&gt;0,"← Check","")</f>
        <v/>
      </c>
    </row>
    <row r="67" spans="2:10" x14ac:dyDescent="0.3">
      <c r="B67" s="30"/>
      <c r="C67" s="31"/>
      <c r="D67" s="30"/>
      <c r="E67" s="30"/>
      <c r="F67" s="30"/>
      <c r="G67" s="30"/>
      <c r="H67" s="30"/>
      <c r="J67" s="43" t="str">
        <f ca="1">IF(SUM(Calculations!CC67:CL67)&gt;0,"← Check","")</f>
        <v/>
      </c>
    </row>
    <row r="68" spans="2:10" x14ac:dyDescent="0.3">
      <c r="B68" s="30"/>
      <c r="C68" s="31"/>
      <c r="D68" s="30"/>
      <c r="E68" s="30"/>
      <c r="F68" s="30"/>
      <c r="G68" s="30"/>
      <c r="H68" s="30"/>
      <c r="J68" s="43" t="str">
        <f ca="1">IF(SUM(Calculations!CC68:CL68)&gt;0,"← Check","")</f>
        <v/>
      </c>
    </row>
    <row r="69" spans="2:10" x14ac:dyDescent="0.3">
      <c r="B69" s="30"/>
      <c r="C69" s="31"/>
      <c r="D69" s="30"/>
      <c r="E69" s="30"/>
      <c r="F69" s="30"/>
      <c r="G69" s="30"/>
      <c r="H69" s="30"/>
      <c r="J69" s="43" t="str">
        <f ca="1">IF(SUM(Calculations!CC69:CL69)&gt;0,"← Check","")</f>
        <v/>
      </c>
    </row>
    <row r="70" spans="2:10" x14ac:dyDescent="0.3">
      <c r="B70" s="30"/>
      <c r="C70" s="31"/>
      <c r="D70" s="30"/>
      <c r="E70" s="30"/>
      <c r="F70" s="30"/>
      <c r="G70" s="30"/>
      <c r="H70" s="30"/>
      <c r="J70" s="43" t="str">
        <f ca="1">IF(SUM(Calculations!CC70:CL70)&gt;0,"← Check","")</f>
        <v/>
      </c>
    </row>
    <row r="71" spans="2:10" x14ac:dyDescent="0.3">
      <c r="B71" s="30"/>
      <c r="C71" s="31"/>
      <c r="D71" s="30"/>
      <c r="E71" s="30"/>
      <c r="F71" s="30"/>
      <c r="G71" s="30"/>
      <c r="H71" s="30"/>
      <c r="J71" s="43" t="str">
        <f ca="1">IF(SUM(Calculations!CC71:CL71)&gt;0,"← Check","")</f>
        <v/>
      </c>
    </row>
    <row r="72" spans="2:10" x14ac:dyDescent="0.3">
      <c r="B72" s="30"/>
      <c r="C72" s="31"/>
      <c r="D72" s="30"/>
      <c r="E72" s="30"/>
      <c r="F72" s="30"/>
      <c r="G72" s="30"/>
      <c r="H72" s="30"/>
      <c r="J72" s="43" t="str">
        <f ca="1">IF(SUM(Calculations!CC72:CL72)&gt;0,"← Check","")</f>
        <v/>
      </c>
    </row>
    <row r="73" spans="2:10" x14ac:dyDescent="0.3">
      <c r="B73" s="30"/>
      <c r="C73" s="31"/>
      <c r="D73" s="30"/>
      <c r="E73" s="30"/>
      <c r="F73" s="30"/>
      <c r="G73" s="30"/>
      <c r="H73" s="30"/>
      <c r="J73" s="43" t="str">
        <f ca="1">IF(SUM(Calculations!CC73:CL73)&gt;0,"← Check","")</f>
        <v/>
      </c>
    </row>
    <row r="74" spans="2:10" x14ac:dyDescent="0.3">
      <c r="B74" s="30"/>
      <c r="C74" s="31"/>
      <c r="D74" s="30"/>
      <c r="E74" s="30"/>
      <c r="F74" s="30"/>
      <c r="G74" s="30"/>
      <c r="H74" s="30"/>
      <c r="J74" s="43" t="str">
        <f ca="1">IF(SUM(Calculations!CC74:CL74)&gt;0,"← Check","")</f>
        <v/>
      </c>
    </row>
    <row r="75" spans="2:10" x14ac:dyDescent="0.3">
      <c r="B75" s="30"/>
      <c r="C75" s="31"/>
      <c r="D75" s="30"/>
      <c r="E75" s="30"/>
      <c r="F75" s="30"/>
      <c r="G75" s="30"/>
      <c r="H75" s="30"/>
      <c r="J75" s="43" t="str">
        <f ca="1">IF(SUM(Calculations!CC75:CL75)&gt;0,"← Check","")</f>
        <v/>
      </c>
    </row>
    <row r="76" spans="2:10" x14ac:dyDescent="0.3">
      <c r="B76" s="30"/>
      <c r="C76" s="31"/>
      <c r="D76" s="30"/>
      <c r="E76" s="30"/>
      <c r="F76" s="30"/>
      <c r="G76" s="30"/>
      <c r="H76" s="30"/>
      <c r="J76" s="43" t="str">
        <f ca="1">IF(SUM(Calculations!CC76:CL76)&gt;0,"← Check","")</f>
        <v/>
      </c>
    </row>
    <row r="77" spans="2:10" x14ac:dyDescent="0.3">
      <c r="B77" s="30"/>
      <c r="C77" s="31"/>
      <c r="D77" s="30"/>
      <c r="E77" s="30"/>
      <c r="F77" s="30"/>
      <c r="G77" s="30"/>
      <c r="H77" s="30"/>
      <c r="J77" s="43" t="str">
        <f ca="1">IF(SUM(Calculations!CC77:CL77)&gt;0,"← Check","")</f>
        <v/>
      </c>
    </row>
    <row r="78" spans="2:10" x14ac:dyDescent="0.3">
      <c r="B78" s="30"/>
      <c r="C78" s="31"/>
      <c r="D78" s="30"/>
      <c r="E78" s="30"/>
      <c r="F78" s="30"/>
      <c r="G78" s="30"/>
      <c r="H78" s="30"/>
      <c r="J78" s="43" t="str">
        <f ca="1">IF(SUM(Calculations!CC78:CL78)&gt;0,"← Check","")</f>
        <v/>
      </c>
    </row>
    <row r="79" spans="2:10" x14ac:dyDescent="0.3">
      <c r="B79" s="30"/>
      <c r="C79" s="31"/>
      <c r="D79" s="30"/>
      <c r="E79" s="30"/>
      <c r="F79" s="30"/>
      <c r="G79" s="30"/>
      <c r="H79" s="30"/>
      <c r="J79" s="43" t="str">
        <f ca="1">IF(SUM(Calculations!CC79:CL79)&gt;0,"← Check","")</f>
        <v/>
      </c>
    </row>
    <row r="80" spans="2:10" x14ac:dyDescent="0.3">
      <c r="B80" s="30"/>
      <c r="C80" s="31"/>
      <c r="D80" s="30"/>
      <c r="E80" s="30"/>
      <c r="F80" s="30"/>
      <c r="G80" s="30"/>
      <c r="H80" s="30"/>
      <c r="J80" s="43" t="str">
        <f ca="1">IF(SUM(Calculations!CC80:CL80)&gt;0,"← Check","")</f>
        <v/>
      </c>
    </row>
    <row r="81" spans="2:10" x14ac:dyDescent="0.3">
      <c r="B81" s="30"/>
      <c r="C81" s="31"/>
      <c r="D81" s="30"/>
      <c r="E81" s="30"/>
      <c r="F81" s="30"/>
      <c r="G81" s="30"/>
      <c r="H81" s="30"/>
      <c r="J81" s="43" t="str">
        <f ca="1">IF(SUM(Calculations!CC81:CL81)&gt;0,"← Check","")</f>
        <v/>
      </c>
    </row>
    <row r="82" spans="2:10" x14ac:dyDescent="0.3">
      <c r="B82" s="30"/>
      <c r="C82" s="31"/>
      <c r="D82" s="30"/>
      <c r="E82" s="30"/>
      <c r="F82" s="30"/>
      <c r="G82" s="30"/>
      <c r="H82" s="30"/>
      <c r="J82" s="43" t="str">
        <f ca="1">IF(SUM(Calculations!CC82:CL82)&gt;0,"← Check","")</f>
        <v/>
      </c>
    </row>
    <row r="83" spans="2:10" x14ac:dyDescent="0.3">
      <c r="B83" s="30"/>
      <c r="C83" s="31"/>
      <c r="D83" s="30"/>
      <c r="E83" s="30"/>
      <c r="F83" s="30"/>
      <c r="G83" s="30"/>
      <c r="H83" s="30"/>
      <c r="J83" s="43" t="str">
        <f ca="1">IF(SUM(Calculations!CC83:CL83)&gt;0,"← Check","")</f>
        <v/>
      </c>
    </row>
    <row r="84" spans="2:10" x14ac:dyDescent="0.3">
      <c r="B84" s="30"/>
      <c r="C84" s="31"/>
      <c r="D84" s="30"/>
      <c r="E84" s="30"/>
      <c r="F84" s="30"/>
      <c r="G84" s="30"/>
      <c r="H84" s="30"/>
      <c r="J84" s="43" t="str">
        <f ca="1">IF(SUM(Calculations!CC84:CL84)&gt;0,"← Check","")</f>
        <v/>
      </c>
    </row>
    <row r="85" spans="2:10" x14ac:dyDescent="0.3">
      <c r="B85" s="30"/>
      <c r="C85" s="31"/>
      <c r="D85" s="30"/>
      <c r="E85" s="30"/>
      <c r="F85" s="30"/>
      <c r="G85" s="30"/>
      <c r="H85" s="30"/>
      <c r="J85" s="43" t="str">
        <f ca="1">IF(SUM(Calculations!CC85:CL85)&gt;0,"← Check","")</f>
        <v/>
      </c>
    </row>
    <row r="86" spans="2:10" x14ac:dyDescent="0.3">
      <c r="B86" s="30"/>
      <c r="C86" s="31"/>
      <c r="D86" s="30"/>
      <c r="E86" s="30"/>
      <c r="F86" s="30"/>
      <c r="G86" s="30"/>
      <c r="H86" s="30"/>
      <c r="J86" s="43" t="str">
        <f ca="1">IF(SUM(Calculations!CC86:CL86)&gt;0,"← Check","")</f>
        <v/>
      </c>
    </row>
    <row r="87" spans="2:10" x14ac:dyDescent="0.3">
      <c r="B87" s="30"/>
      <c r="C87" s="31"/>
      <c r="D87" s="30"/>
      <c r="E87" s="30"/>
      <c r="F87" s="30"/>
      <c r="G87" s="30"/>
      <c r="H87" s="30"/>
      <c r="J87" s="43" t="str">
        <f ca="1">IF(SUM(Calculations!CC87:CL87)&gt;0,"← Check","")</f>
        <v/>
      </c>
    </row>
    <row r="88" spans="2:10" x14ac:dyDescent="0.3">
      <c r="B88" s="30"/>
      <c r="C88" s="31"/>
      <c r="D88" s="30"/>
      <c r="E88" s="30"/>
      <c r="F88" s="30"/>
      <c r="G88" s="30"/>
      <c r="H88" s="30"/>
      <c r="J88" s="43" t="str">
        <f ca="1">IF(SUM(Calculations!CC88:CL88)&gt;0,"← Check","")</f>
        <v/>
      </c>
    </row>
    <row r="89" spans="2:10" x14ac:dyDescent="0.3">
      <c r="B89" s="30"/>
      <c r="C89" s="31"/>
      <c r="D89" s="30"/>
      <c r="E89" s="30"/>
      <c r="F89" s="30"/>
      <c r="G89" s="30"/>
      <c r="H89" s="30"/>
      <c r="J89" s="43" t="str">
        <f ca="1">IF(SUM(Calculations!CC89:CL89)&gt;0,"← Check","")</f>
        <v/>
      </c>
    </row>
    <row r="90" spans="2:10" x14ac:dyDescent="0.3">
      <c r="B90" s="30"/>
      <c r="C90" s="31"/>
      <c r="D90" s="30"/>
      <c r="E90" s="30"/>
      <c r="F90" s="30"/>
      <c r="G90" s="30"/>
      <c r="H90" s="30"/>
      <c r="J90" s="43" t="str">
        <f ca="1">IF(SUM(Calculations!CC90:CL90)&gt;0,"← Check","")</f>
        <v/>
      </c>
    </row>
    <row r="91" spans="2:10" x14ac:dyDescent="0.3">
      <c r="B91" s="30"/>
      <c r="C91" s="31"/>
      <c r="D91" s="30"/>
      <c r="E91" s="30"/>
      <c r="F91" s="30"/>
      <c r="G91" s="30"/>
      <c r="H91" s="30"/>
      <c r="J91" s="43" t="str">
        <f ca="1">IF(SUM(Calculations!CC91:CL91)&gt;0,"← Check","")</f>
        <v/>
      </c>
    </row>
    <row r="92" spans="2:10" x14ac:dyDescent="0.3">
      <c r="B92" s="30"/>
      <c r="C92" s="31"/>
      <c r="D92" s="30"/>
      <c r="E92" s="30"/>
      <c r="F92" s="30"/>
      <c r="G92" s="30"/>
      <c r="H92" s="30"/>
      <c r="J92" s="43" t="str">
        <f ca="1">IF(SUM(Calculations!CC92:CL92)&gt;0,"← Check","")</f>
        <v/>
      </c>
    </row>
    <row r="93" spans="2:10" x14ac:dyDescent="0.3">
      <c r="B93" s="30"/>
      <c r="C93" s="31"/>
      <c r="D93" s="30"/>
      <c r="E93" s="30"/>
      <c r="F93" s="30"/>
      <c r="G93" s="30"/>
      <c r="H93" s="30"/>
      <c r="J93" s="43" t="str">
        <f ca="1">IF(SUM(Calculations!CC93:CL93)&gt;0,"← Check","")</f>
        <v/>
      </c>
    </row>
    <row r="94" spans="2:10" x14ac:dyDescent="0.3">
      <c r="B94" s="30"/>
      <c r="C94" s="31"/>
      <c r="D94" s="30"/>
      <c r="E94" s="30"/>
      <c r="F94" s="30"/>
      <c r="G94" s="30"/>
      <c r="H94" s="30"/>
      <c r="J94" s="43" t="str">
        <f ca="1">IF(SUM(Calculations!CC94:CL94)&gt;0,"← Check","")</f>
        <v/>
      </c>
    </row>
    <row r="95" spans="2:10" x14ac:dyDescent="0.3">
      <c r="B95" s="30"/>
      <c r="C95" s="31"/>
      <c r="D95" s="30"/>
      <c r="E95" s="30"/>
      <c r="F95" s="30"/>
      <c r="G95" s="30"/>
      <c r="H95" s="30"/>
      <c r="J95" s="43" t="str">
        <f ca="1">IF(SUM(Calculations!CC95:CL95)&gt;0,"← Check","")</f>
        <v/>
      </c>
    </row>
    <row r="96" spans="2:10" x14ac:dyDescent="0.3">
      <c r="B96" s="30"/>
      <c r="C96" s="31"/>
      <c r="D96" s="30"/>
      <c r="E96" s="30"/>
      <c r="F96" s="30"/>
      <c r="G96" s="30"/>
      <c r="H96" s="30"/>
      <c r="J96" s="43" t="str">
        <f ca="1">IF(SUM(Calculations!CC96:CL96)&gt;0,"← Check","")</f>
        <v/>
      </c>
    </row>
    <row r="97" spans="2:10" x14ac:dyDescent="0.3">
      <c r="B97" s="30"/>
      <c r="C97" s="31"/>
      <c r="D97" s="30"/>
      <c r="E97" s="30"/>
      <c r="F97" s="30"/>
      <c r="G97" s="30"/>
      <c r="H97" s="30"/>
      <c r="J97" s="43" t="str">
        <f ca="1">IF(SUM(Calculations!CC97:CL97)&gt;0,"← Check","")</f>
        <v/>
      </c>
    </row>
    <row r="98" spans="2:10" x14ac:dyDescent="0.3">
      <c r="B98" s="30"/>
      <c r="C98" s="31"/>
      <c r="D98" s="30"/>
      <c r="E98" s="30"/>
      <c r="F98" s="30"/>
      <c r="G98" s="30"/>
      <c r="H98" s="30"/>
      <c r="J98" s="43" t="str">
        <f ca="1">IF(SUM(Calculations!CC98:CL98)&gt;0,"← Check","")</f>
        <v/>
      </c>
    </row>
    <row r="99" spans="2:10" x14ac:dyDescent="0.3">
      <c r="B99" s="30"/>
      <c r="C99" s="31"/>
      <c r="D99" s="30"/>
      <c r="E99" s="30"/>
      <c r="F99" s="30"/>
      <c r="G99" s="30"/>
      <c r="H99" s="30"/>
      <c r="J99" s="43" t="str">
        <f ca="1">IF(SUM(Calculations!CC99:CL99)&gt;0,"← Check","")</f>
        <v/>
      </c>
    </row>
    <row r="100" spans="2:10" x14ac:dyDescent="0.3">
      <c r="B100" s="30"/>
      <c r="C100" s="31"/>
      <c r="D100" s="30"/>
      <c r="E100" s="30"/>
      <c r="F100" s="30"/>
      <c r="G100" s="30"/>
      <c r="H100" s="30"/>
      <c r="J100" s="43" t="str">
        <f ca="1">IF(SUM(Calculations!CC100:CL100)&gt;0,"← Check","")</f>
        <v/>
      </c>
    </row>
    <row r="101" spans="2:10" x14ac:dyDescent="0.3">
      <c r="B101" s="30"/>
      <c r="C101" s="31"/>
      <c r="D101" s="30"/>
      <c r="E101" s="30"/>
      <c r="F101" s="30"/>
      <c r="G101" s="30"/>
      <c r="H101" s="30"/>
      <c r="J101" s="43" t="str">
        <f ca="1">IF(SUM(Calculations!CC101:CL101)&gt;0,"← Check","")</f>
        <v/>
      </c>
    </row>
    <row r="102" spans="2:10" x14ac:dyDescent="0.3">
      <c r="B102" s="30"/>
      <c r="C102" s="31"/>
      <c r="D102" s="30"/>
      <c r="E102" s="30"/>
      <c r="F102" s="30"/>
      <c r="G102" s="30"/>
      <c r="H102" s="30"/>
      <c r="J102" s="43" t="str">
        <f ca="1">IF(SUM(Calculations!CC102:CL102)&gt;0,"← Check","")</f>
        <v/>
      </c>
    </row>
    <row r="103" spans="2:10" x14ac:dyDescent="0.3">
      <c r="B103" s="30"/>
      <c r="C103" s="31"/>
      <c r="D103" s="30"/>
      <c r="E103" s="30"/>
      <c r="F103" s="30"/>
      <c r="G103" s="30"/>
      <c r="H103" s="30"/>
      <c r="J103" s="43" t="str">
        <f ca="1">IF(SUM(Calculations!CC103:CL103)&gt;0,"← Check","")</f>
        <v/>
      </c>
    </row>
    <row r="104" spans="2:10" x14ac:dyDescent="0.3">
      <c r="B104" s="30"/>
      <c r="C104" s="31"/>
      <c r="D104" s="30"/>
      <c r="E104" s="30"/>
      <c r="F104" s="30"/>
      <c r="G104" s="30"/>
      <c r="H104" s="30"/>
      <c r="J104" s="43" t="str">
        <f ca="1">IF(SUM(Calculations!CC104:CL104)&gt;0,"← Check","")</f>
        <v/>
      </c>
    </row>
    <row r="105" spans="2:10" x14ac:dyDescent="0.3">
      <c r="B105" s="30"/>
      <c r="C105" s="31"/>
      <c r="D105" s="30"/>
      <c r="E105" s="30"/>
      <c r="F105" s="30"/>
      <c r="G105" s="30"/>
      <c r="H105" s="30"/>
      <c r="J105" s="43" t="str">
        <f ca="1">IF(SUM(Calculations!CC105:CL105)&gt;0,"← Check","")</f>
        <v/>
      </c>
    </row>
    <row r="106" spans="2:10" x14ac:dyDescent="0.3">
      <c r="B106" s="30"/>
      <c r="C106" s="31"/>
      <c r="D106" s="30"/>
      <c r="E106" s="30"/>
      <c r="F106" s="30"/>
      <c r="G106" s="30"/>
      <c r="H106" s="30"/>
      <c r="J106" s="43" t="str">
        <f ca="1">IF(SUM(Calculations!CC106:CL106)&gt;0,"← Check","")</f>
        <v/>
      </c>
    </row>
    <row r="107" spans="2:10" x14ac:dyDescent="0.3">
      <c r="B107" s="30"/>
      <c r="C107" s="31"/>
      <c r="D107" s="30"/>
      <c r="E107" s="30"/>
      <c r="F107" s="30"/>
      <c r="G107" s="30"/>
      <c r="H107" s="30"/>
      <c r="J107" s="43" t="str">
        <f ca="1">IF(SUM(Calculations!CC107:CL107)&gt;0,"← Check","")</f>
        <v/>
      </c>
    </row>
    <row r="108" spans="2:10" x14ac:dyDescent="0.3">
      <c r="B108" s="30"/>
      <c r="C108" s="31"/>
      <c r="D108" s="30"/>
      <c r="E108" s="30"/>
      <c r="F108" s="30"/>
      <c r="G108" s="30"/>
      <c r="H108" s="30"/>
      <c r="J108" s="43" t="str">
        <f ca="1">IF(SUM(Calculations!CC108:CL108)&gt;0,"← Check","")</f>
        <v/>
      </c>
    </row>
    <row r="109" spans="2:10" x14ac:dyDescent="0.3">
      <c r="B109" s="30"/>
      <c r="C109" s="31"/>
      <c r="D109" s="30"/>
      <c r="E109" s="30"/>
      <c r="F109" s="30"/>
      <c r="G109" s="30"/>
      <c r="H109" s="30"/>
      <c r="J109" s="43" t="str">
        <f ca="1">IF(SUM(Calculations!CC109:CL109)&gt;0,"← Check","")</f>
        <v/>
      </c>
    </row>
    <row r="110" spans="2:10" x14ac:dyDescent="0.3">
      <c r="B110" s="30"/>
      <c r="C110" s="31"/>
      <c r="D110" s="30"/>
      <c r="E110" s="30"/>
      <c r="F110" s="30"/>
      <c r="G110" s="30"/>
      <c r="H110" s="30"/>
      <c r="J110" s="43" t="str">
        <f ca="1">IF(SUM(Calculations!CC110:CL110)&gt;0,"← Check","")</f>
        <v/>
      </c>
    </row>
    <row r="111" spans="2:10" x14ac:dyDescent="0.3">
      <c r="B111" s="30"/>
      <c r="C111" s="31"/>
      <c r="D111" s="30"/>
      <c r="E111" s="30"/>
      <c r="F111" s="30"/>
      <c r="G111" s="30"/>
      <c r="H111" s="30"/>
      <c r="J111" s="43" t="str">
        <f ca="1">IF(SUM(Calculations!CC111:CL111)&gt;0,"← Check","")</f>
        <v/>
      </c>
    </row>
    <row r="112" spans="2:10" x14ac:dyDescent="0.3">
      <c r="B112" s="30"/>
      <c r="C112" s="31"/>
      <c r="D112" s="30"/>
      <c r="E112" s="30"/>
      <c r="F112" s="30"/>
      <c r="G112" s="30"/>
      <c r="H112" s="30"/>
      <c r="J112" s="43" t="str">
        <f ca="1">IF(SUM(Calculations!CC112:CL112)&gt;0,"← Check","")</f>
        <v/>
      </c>
    </row>
    <row r="113" spans="2:10" x14ac:dyDescent="0.3">
      <c r="B113" s="30"/>
      <c r="C113" s="31"/>
      <c r="D113" s="30"/>
      <c r="E113" s="30"/>
      <c r="F113" s="30"/>
      <c r="G113" s="30"/>
      <c r="H113" s="30"/>
      <c r="J113" s="43" t="str">
        <f ca="1">IF(SUM(Calculations!CC113:CL113)&gt;0,"← Check","")</f>
        <v/>
      </c>
    </row>
    <row r="114" spans="2:10" x14ac:dyDescent="0.3">
      <c r="B114" s="30"/>
      <c r="C114" s="31"/>
      <c r="D114" s="30"/>
      <c r="E114" s="30"/>
      <c r="F114" s="30"/>
      <c r="G114" s="30"/>
      <c r="H114" s="30"/>
      <c r="J114" s="43" t="str">
        <f ca="1">IF(SUM(Calculations!CC114:CL114)&gt;0,"← Check","")</f>
        <v/>
      </c>
    </row>
    <row r="115" spans="2:10" x14ac:dyDescent="0.3">
      <c r="B115" s="30"/>
      <c r="C115" s="31"/>
      <c r="D115" s="30"/>
      <c r="E115" s="30"/>
      <c r="F115" s="30"/>
      <c r="G115" s="30"/>
      <c r="H115" s="30"/>
      <c r="J115" s="43" t="str">
        <f ca="1">IF(SUM(Calculations!CC115:CL115)&gt;0,"← Check","")</f>
        <v/>
      </c>
    </row>
    <row r="116" spans="2:10" x14ac:dyDescent="0.3">
      <c r="B116" s="30"/>
      <c r="C116" s="31"/>
      <c r="D116" s="30"/>
      <c r="E116" s="30"/>
      <c r="F116" s="30"/>
      <c r="G116" s="30"/>
      <c r="H116" s="30"/>
      <c r="J116" s="43" t="str">
        <f ca="1">IF(SUM(Calculations!CC116:CL116)&gt;0,"← Check","")</f>
        <v/>
      </c>
    </row>
    <row r="117" spans="2:10" x14ac:dyDescent="0.3">
      <c r="B117" s="30"/>
      <c r="C117" s="31"/>
      <c r="D117" s="30"/>
      <c r="E117" s="30"/>
      <c r="F117" s="30"/>
      <c r="G117" s="30"/>
      <c r="H117" s="30"/>
      <c r="J117" s="43" t="str">
        <f ca="1">IF(SUM(Calculations!CC117:CL117)&gt;0,"← Check","")</f>
        <v/>
      </c>
    </row>
    <row r="118" spans="2:10" x14ac:dyDescent="0.3">
      <c r="B118" s="30"/>
      <c r="C118" s="31"/>
      <c r="D118" s="30"/>
      <c r="E118" s="30"/>
      <c r="F118" s="30"/>
      <c r="G118" s="30"/>
      <c r="H118" s="30"/>
      <c r="J118" s="43" t="str">
        <f ca="1">IF(SUM(Calculations!CC118:CL118)&gt;0,"← Check","")</f>
        <v/>
      </c>
    </row>
    <row r="119" spans="2:10" x14ac:dyDescent="0.3">
      <c r="B119" s="30"/>
      <c r="C119" s="31"/>
      <c r="D119" s="30"/>
      <c r="E119" s="30"/>
      <c r="F119" s="30"/>
      <c r="G119" s="30"/>
      <c r="H119" s="30"/>
      <c r="J119" s="43" t="str">
        <f ca="1">IF(SUM(Calculations!CC119:CL119)&gt;0,"← Check","")</f>
        <v/>
      </c>
    </row>
    <row r="120" spans="2:10" x14ac:dyDescent="0.3">
      <c r="B120" s="30"/>
      <c r="C120" s="31"/>
      <c r="D120" s="30"/>
      <c r="E120" s="30"/>
      <c r="F120" s="30"/>
      <c r="G120" s="30"/>
      <c r="H120" s="30"/>
      <c r="J120" s="43" t="str">
        <f ca="1">IF(SUM(Calculations!CC120:CL120)&gt;0,"← Check","")</f>
        <v/>
      </c>
    </row>
    <row r="121" spans="2:10" x14ac:dyDescent="0.3">
      <c r="B121" s="30"/>
      <c r="C121" s="31"/>
      <c r="D121" s="30"/>
      <c r="E121" s="30"/>
      <c r="F121" s="30"/>
      <c r="G121" s="30"/>
      <c r="H121" s="30"/>
      <c r="J121" s="43" t="str">
        <f ca="1">IF(SUM(Calculations!CC121:CL121)&gt;0,"← Check","")</f>
        <v/>
      </c>
    </row>
    <row r="122" spans="2:10" x14ac:dyDescent="0.3">
      <c r="B122" s="30"/>
      <c r="C122" s="31"/>
      <c r="D122" s="30"/>
      <c r="E122" s="30"/>
      <c r="F122" s="30"/>
      <c r="G122" s="30"/>
      <c r="H122" s="30"/>
      <c r="J122" s="43" t="str">
        <f ca="1">IF(SUM(Calculations!CC122:CL122)&gt;0,"← Check","")</f>
        <v/>
      </c>
    </row>
    <row r="123" spans="2:10" x14ac:dyDescent="0.3">
      <c r="B123" s="30"/>
      <c r="C123" s="31"/>
      <c r="D123" s="30"/>
      <c r="E123" s="30"/>
      <c r="F123" s="30"/>
      <c r="G123" s="30"/>
      <c r="H123" s="30"/>
      <c r="J123" s="43" t="str">
        <f ca="1">IF(SUM(Calculations!CC123:CL123)&gt;0,"← Check","")</f>
        <v/>
      </c>
    </row>
    <row r="124" spans="2:10" x14ac:dyDescent="0.3">
      <c r="B124" s="30"/>
      <c r="C124" s="31"/>
      <c r="D124" s="30"/>
      <c r="E124" s="30"/>
      <c r="F124" s="30"/>
      <c r="G124" s="30"/>
      <c r="H124" s="30"/>
      <c r="J124" s="43" t="str">
        <f ca="1">IF(SUM(Calculations!CC124:CL124)&gt;0,"← Check","")</f>
        <v/>
      </c>
    </row>
    <row r="125" spans="2:10" x14ac:dyDescent="0.3">
      <c r="B125" s="30"/>
      <c r="C125" s="31"/>
      <c r="D125" s="30"/>
      <c r="E125" s="30"/>
      <c r="F125" s="30"/>
      <c r="G125" s="30"/>
      <c r="H125" s="30"/>
      <c r="J125" s="43" t="str">
        <f ca="1">IF(SUM(Calculations!CC125:CL125)&gt;0,"← Check","")</f>
        <v/>
      </c>
    </row>
    <row r="126" spans="2:10" x14ac:dyDescent="0.3">
      <c r="B126" s="30"/>
      <c r="C126" s="31"/>
      <c r="D126" s="30"/>
      <c r="E126" s="30"/>
      <c r="F126" s="30"/>
      <c r="G126" s="30"/>
      <c r="H126" s="30"/>
      <c r="J126" s="43" t="str">
        <f ca="1">IF(SUM(Calculations!CC126:CL126)&gt;0,"← Check","")</f>
        <v/>
      </c>
    </row>
    <row r="127" spans="2:10" x14ac:dyDescent="0.3">
      <c r="B127" s="30"/>
      <c r="C127" s="31"/>
      <c r="D127" s="30"/>
      <c r="E127" s="30"/>
      <c r="F127" s="30"/>
      <c r="G127" s="30"/>
      <c r="H127" s="30"/>
      <c r="J127" s="43" t="str">
        <f ca="1">IF(SUM(Calculations!CC127:CL127)&gt;0,"← Check","")</f>
        <v/>
      </c>
    </row>
    <row r="128" spans="2:10" x14ac:dyDescent="0.3">
      <c r="B128" s="30"/>
      <c r="C128" s="31"/>
      <c r="D128" s="30"/>
      <c r="E128" s="30"/>
      <c r="F128" s="30"/>
      <c r="G128" s="30"/>
      <c r="H128" s="30"/>
      <c r="J128" s="43" t="str">
        <f ca="1">IF(SUM(Calculations!CC128:CL128)&gt;0,"← Check","")</f>
        <v/>
      </c>
    </row>
    <row r="129" spans="2:10" x14ac:dyDescent="0.3">
      <c r="B129" s="30"/>
      <c r="C129" s="31"/>
      <c r="D129" s="30"/>
      <c r="E129" s="30"/>
      <c r="F129" s="30"/>
      <c r="G129" s="30"/>
      <c r="H129" s="30"/>
      <c r="J129" s="43" t="str">
        <f ca="1">IF(SUM(Calculations!CC129:CL129)&gt;0,"← Check","")</f>
        <v/>
      </c>
    </row>
    <row r="130" spans="2:10" x14ac:dyDescent="0.3">
      <c r="B130" s="30"/>
      <c r="C130" s="31"/>
      <c r="D130" s="30"/>
      <c r="E130" s="30"/>
      <c r="F130" s="30"/>
      <c r="G130" s="30"/>
      <c r="H130" s="30"/>
      <c r="J130" s="43" t="str">
        <f ca="1">IF(SUM(Calculations!CC130:CL130)&gt;0,"← Check","")</f>
        <v/>
      </c>
    </row>
    <row r="131" spans="2:10" x14ac:dyDescent="0.3">
      <c r="B131" s="30"/>
      <c r="C131" s="31"/>
      <c r="D131" s="30"/>
      <c r="E131" s="30"/>
      <c r="F131" s="30"/>
      <c r="G131" s="30"/>
      <c r="H131" s="30"/>
      <c r="J131" s="43" t="str">
        <f ca="1">IF(SUM(Calculations!CC131:CL131)&gt;0,"← Check","")</f>
        <v/>
      </c>
    </row>
    <row r="132" spans="2:10" x14ac:dyDescent="0.3">
      <c r="B132" s="30"/>
      <c r="C132" s="31"/>
      <c r="D132" s="30"/>
      <c r="E132" s="30"/>
      <c r="F132" s="30"/>
      <c r="G132" s="30"/>
      <c r="H132" s="30"/>
      <c r="J132" s="43" t="str">
        <f ca="1">IF(SUM(Calculations!CC132:CL132)&gt;0,"← Check","")</f>
        <v/>
      </c>
    </row>
    <row r="133" spans="2:10" x14ac:dyDescent="0.3">
      <c r="B133" s="30"/>
      <c r="C133" s="31"/>
      <c r="D133" s="30"/>
      <c r="E133" s="30"/>
      <c r="F133" s="30"/>
      <c r="G133" s="30"/>
      <c r="H133" s="30"/>
      <c r="J133" s="43" t="str">
        <f ca="1">IF(SUM(Calculations!CC133:CL133)&gt;0,"← Check","")</f>
        <v/>
      </c>
    </row>
    <row r="134" spans="2:10" x14ac:dyDescent="0.3">
      <c r="B134" s="30"/>
      <c r="C134" s="31"/>
      <c r="D134" s="30"/>
      <c r="E134" s="30"/>
      <c r="F134" s="30"/>
      <c r="G134" s="30"/>
      <c r="H134" s="30"/>
      <c r="J134" s="43" t="str">
        <f ca="1">IF(SUM(Calculations!CC134:CL134)&gt;0,"← Check","")</f>
        <v/>
      </c>
    </row>
    <row r="135" spans="2:10" x14ac:dyDescent="0.3">
      <c r="B135" s="30"/>
      <c r="C135" s="31"/>
      <c r="D135" s="30"/>
      <c r="E135" s="30"/>
      <c r="F135" s="30"/>
      <c r="G135" s="30"/>
      <c r="H135" s="30"/>
      <c r="J135" s="43" t="str">
        <f ca="1">IF(SUM(Calculations!CC135:CL135)&gt;0,"← Check","")</f>
        <v/>
      </c>
    </row>
    <row r="136" spans="2:10" x14ac:dyDescent="0.3">
      <c r="B136" s="30"/>
      <c r="C136" s="31"/>
      <c r="D136" s="30"/>
      <c r="E136" s="30"/>
      <c r="F136" s="30"/>
      <c r="G136" s="30"/>
      <c r="H136" s="30"/>
      <c r="J136" s="43" t="str">
        <f ca="1">IF(SUM(Calculations!CC136:CL136)&gt;0,"← Check","")</f>
        <v/>
      </c>
    </row>
    <row r="137" spans="2:10" x14ac:dyDescent="0.3">
      <c r="B137" s="30"/>
      <c r="C137" s="31"/>
      <c r="D137" s="30"/>
      <c r="E137" s="30"/>
      <c r="F137" s="30"/>
      <c r="G137" s="30"/>
      <c r="H137" s="30"/>
      <c r="J137" s="43" t="str">
        <f ca="1">IF(SUM(Calculations!CC137:CL137)&gt;0,"← Check","")</f>
        <v/>
      </c>
    </row>
    <row r="138" spans="2:10" x14ac:dyDescent="0.3">
      <c r="B138" s="30"/>
      <c r="C138" s="31"/>
      <c r="D138" s="30"/>
      <c r="E138" s="30"/>
      <c r="F138" s="30"/>
      <c r="G138" s="30"/>
      <c r="H138" s="30"/>
      <c r="J138" s="43" t="str">
        <f ca="1">IF(SUM(Calculations!CC138:CL138)&gt;0,"← Check","")</f>
        <v/>
      </c>
    </row>
    <row r="139" spans="2:10" x14ac:dyDescent="0.3">
      <c r="B139" s="30"/>
      <c r="C139" s="31"/>
      <c r="D139" s="30"/>
      <c r="E139" s="30"/>
      <c r="F139" s="30"/>
      <c r="G139" s="30"/>
      <c r="H139" s="30"/>
      <c r="J139" s="43" t="str">
        <f ca="1">IF(SUM(Calculations!CC139:CL139)&gt;0,"← Check","")</f>
        <v/>
      </c>
    </row>
    <row r="140" spans="2:10" x14ac:dyDescent="0.3">
      <c r="B140" s="30"/>
      <c r="C140" s="31"/>
      <c r="D140" s="30"/>
      <c r="E140" s="30"/>
      <c r="F140" s="30"/>
      <c r="G140" s="30"/>
      <c r="H140" s="30"/>
      <c r="J140" s="43" t="str">
        <f ca="1">IF(SUM(Calculations!CC140:CL140)&gt;0,"← Check","")</f>
        <v/>
      </c>
    </row>
    <row r="141" spans="2:10" x14ac:dyDescent="0.3">
      <c r="B141" s="30"/>
      <c r="C141" s="31"/>
      <c r="D141" s="30"/>
      <c r="E141" s="30"/>
      <c r="F141" s="30"/>
      <c r="G141" s="30"/>
      <c r="H141" s="30"/>
      <c r="J141" s="43" t="str">
        <f ca="1">IF(SUM(Calculations!CC141:CL141)&gt;0,"← Check","")</f>
        <v/>
      </c>
    </row>
    <row r="142" spans="2:10" x14ac:dyDescent="0.3">
      <c r="B142" s="30"/>
      <c r="C142" s="31"/>
      <c r="D142" s="30"/>
      <c r="E142" s="30"/>
      <c r="F142" s="30"/>
      <c r="G142" s="30"/>
      <c r="H142" s="30"/>
      <c r="J142" s="43" t="str">
        <f ca="1">IF(SUM(Calculations!CC142:CL142)&gt;0,"← Check","")</f>
        <v/>
      </c>
    </row>
    <row r="143" spans="2:10" x14ac:dyDescent="0.3">
      <c r="B143" s="30"/>
      <c r="C143" s="31"/>
      <c r="D143" s="30"/>
      <c r="E143" s="30"/>
      <c r="F143" s="30"/>
      <c r="G143" s="30"/>
      <c r="H143" s="30"/>
      <c r="J143" s="43" t="str">
        <f ca="1">IF(SUM(Calculations!CC143:CL143)&gt;0,"← Check","")</f>
        <v/>
      </c>
    </row>
    <row r="144" spans="2:10" x14ac:dyDescent="0.3">
      <c r="B144" s="30"/>
      <c r="C144" s="31"/>
      <c r="D144" s="30"/>
      <c r="E144" s="30"/>
      <c r="F144" s="30"/>
      <c r="G144" s="30"/>
      <c r="H144" s="30"/>
      <c r="J144" s="43" t="str">
        <f ca="1">IF(SUM(Calculations!CC144:CL144)&gt;0,"← Check","")</f>
        <v/>
      </c>
    </row>
    <row r="145" spans="2:10" x14ac:dyDescent="0.3">
      <c r="B145" s="30"/>
      <c r="C145" s="31"/>
      <c r="D145" s="30"/>
      <c r="E145" s="30"/>
      <c r="F145" s="30"/>
      <c r="G145" s="30"/>
      <c r="H145" s="30"/>
      <c r="J145" s="43" t="str">
        <f ca="1">IF(SUM(Calculations!CC145:CL145)&gt;0,"← Check","")</f>
        <v/>
      </c>
    </row>
    <row r="146" spans="2:10" x14ac:dyDescent="0.3">
      <c r="B146" s="30"/>
      <c r="C146" s="31"/>
      <c r="D146" s="30"/>
      <c r="E146" s="30"/>
      <c r="F146" s="30"/>
      <c r="G146" s="30"/>
      <c r="H146" s="30"/>
      <c r="J146" s="43" t="str">
        <f ca="1">IF(SUM(Calculations!CC146:CL146)&gt;0,"← Check","")</f>
        <v/>
      </c>
    </row>
    <row r="147" spans="2:10" x14ac:dyDescent="0.3">
      <c r="B147" s="30"/>
      <c r="C147" s="31"/>
      <c r="D147" s="30"/>
      <c r="E147" s="30"/>
      <c r="F147" s="30"/>
      <c r="G147" s="30"/>
      <c r="H147" s="30"/>
      <c r="J147" s="43" t="str">
        <f ca="1">IF(SUM(Calculations!CC147:CL147)&gt;0,"← Check","")</f>
        <v/>
      </c>
    </row>
    <row r="148" spans="2:10" x14ac:dyDescent="0.3">
      <c r="B148" s="30"/>
      <c r="C148" s="31"/>
      <c r="D148" s="30"/>
      <c r="E148" s="30"/>
      <c r="F148" s="30"/>
      <c r="G148" s="30"/>
      <c r="H148" s="30"/>
      <c r="J148" s="43" t="str">
        <f ca="1">IF(SUM(Calculations!CC148:CL148)&gt;0,"← Check","")</f>
        <v/>
      </c>
    </row>
    <row r="149" spans="2:10" x14ac:dyDescent="0.3">
      <c r="B149" s="30"/>
      <c r="C149" s="31"/>
      <c r="D149" s="30"/>
      <c r="E149" s="30"/>
      <c r="F149" s="30"/>
      <c r="G149" s="30"/>
      <c r="H149" s="30"/>
      <c r="J149" s="43" t="str">
        <f ca="1">IF(SUM(Calculations!CC149:CL149)&gt;0,"← Check","")</f>
        <v/>
      </c>
    </row>
    <row r="150" spans="2:10" x14ac:dyDescent="0.3">
      <c r="B150" s="30"/>
      <c r="C150" s="31"/>
      <c r="D150" s="30"/>
      <c r="E150" s="30"/>
      <c r="F150" s="30"/>
      <c r="G150" s="30"/>
      <c r="H150" s="30"/>
      <c r="J150" s="43" t="str">
        <f ca="1">IF(SUM(Calculations!CC150:CL150)&gt;0,"← Check","")</f>
        <v/>
      </c>
    </row>
    <row r="151" spans="2:10" x14ac:dyDescent="0.3">
      <c r="B151" s="30"/>
      <c r="C151" s="31"/>
      <c r="D151" s="30"/>
      <c r="E151" s="30"/>
      <c r="F151" s="30"/>
      <c r="G151" s="30"/>
      <c r="H151" s="30"/>
      <c r="J151" s="43" t="str">
        <f ca="1">IF(SUM(Calculations!CC151:CL151)&gt;0,"← Check","")</f>
        <v/>
      </c>
    </row>
    <row r="152" spans="2:10" x14ac:dyDescent="0.3">
      <c r="B152" s="30"/>
      <c r="C152" s="31"/>
      <c r="D152" s="30"/>
      <c r="E152" s="30"/>
      <c r="F152" s="30"/>
      <c r="G152" s="30"/>
      <c r="H152" s="30"/>
      <c r="J152" s="43" t="str">
        <f ca="1">IF(SUM(Calculations!CC152:CL152)&gt;0,"← Check","")</f>
        <v/>
      </c>
    </row>
    <row r="153" spans="2:10" x14ac:dyDescent="0.3">
      <c r="B153" s="30"/>
      <c r="C153" s="31"/>
      <c r="D153" s="30"/>
      <c r="E153" s="30"/>
      <c r="F153" s="30"/>
      <c r="G153" s="30"/>
      <c r="H153" s="30"/>
      <c r="J153" s="43" t="str">
        <f ca="1">IF(SUM(Calculations!CC153:CL153)&gt;0,"← Check","")</f>
        <v/>
      </c>
    </row>
    <row r="154" spans="2:10" x14ac:dyDescent="0.3">
      <c r="B154" s="30"/>
      <c r="C154" s="31"/>
      <c r="D154" s="30"/>
      <c r="E154" s="30"/>
      <c r="F154" s="30"/>
      <c r="G154" s="30"/>
      <c r="H154" s="30"/>
      <c r="J154" s="43" t="str">
        <f ca="1">IF(SUM(Calculations!CC154:CL154)&gt;0,"← Check","")</f>
        <v/>
      </c>
    </row>
    <row r="155" spans="2:10" x14ac:dyDescent="0.3">
      <c r="B155" s="30"/>
      <c r="C155" s="31"/>
      <c r="D155" s="30"/>
      <c r="E155" s="30"/>
      <c r="F155" s="30"/>
      <c r="G155" s="30"/>
      <c r="H155" s="30"/>
      <c r="J155" s="43" t="str">
        <f ca="1">IF(SUM(Calculations!CC155:CL155)&gt;0,"← Check","")</f>
        <v/>
      </c>
    </row>
    <row r="156" spans="2:10" x14ac:dyDescent="0.3">
      <c r="B156" s="30"/>
      <c r="C156" s="31"/>
      <c r="D156" s="30"/>
      <c r="E156" s="30"/>
      <c r="F156" s="30"/>
      <c r="G156" s="30"/>
      <c r="H156" s="30"/>
      <c r="J156" s="43" t="str">
        <f ca="1">IF(SUM(Calculations!CC156:CL156)&gt;0,"← Check","")</f>
        <v/>
      </c>
    </row>
    <row r="157" spans="2:10" x14ac:dyDescent="0.3">
      <c r="B157" s="30"/>
      <c r="C157" s="31"/>
      <c r="D157" s="30"/>
      <c r="E157" s="30"/>
      <c r="F157" s="30"/>
      <c r="G157" s="30"/>
      <c r="H157" s="30"/>
      <c r="J157" s="43" t="str">
        <f ca="1">IF(SUM(Calculations!CC157:CL157)&gt;0,"← Check","")</f>
        <v/>
      </c>
    </row>
    <row r="158" spans="2:10" x14ac:dyDescent="0.3">
      <c r="B158" s="30"/>
      <c r="C158" s="31"/>
      <c r="D158" s="30"/>
      <c r="E158" s="30"/>
      <c r="F158" s="30"/>
      <c r="G158" s="30"/>
      <c r="H158" s="30"/>
      <c r="J158" s="43" t="str">
        <f ca="1">IF(SUM(Calculations!CC158:CL158)&gt;0,"← Check","")</f>
        <v/>
      </c>
    </row>
    <row r="159" spans="2:10" x14ac:dyDescent="0.3">
      <c r="B159" s="30"/>
      <c r="C159" s="31"/>
      <c r="D159" s="30"/>
      <c r="E159" s="30"/>
      <c r="F159" s="30"/>
      <c r="G159" s="30"/>
      <c r="H159" s="30"/>
      <c r="J159" s="43" t="str">
        <f ca="1">IF(SUM(Calculations!CC159:CL159)&gt;0,"← Check","")</f>
        <v/>
      </c>
    </row>
    <row r="160" spans="2:10" x14ac:dyDescent="0.3">
      <c r="B160" s="30"/>
      <c r="C160" s="31"/>
      <c r="D160" s="30"/>
      <c r="E160" s="30"/>
      <c r="F160" s="30"/>
      <c r="G160" s="30"/>
      <c r="H160" s="30"/>
      <c r="J160" s="43" t="str">
        <f ca="1">IF(SUM(Calculations!CC160:CL160)&gt;0,"← Check","")</f>
        <v/>
      </c>
    </row>
    <row r="161" spans="2:10" x14ac:dyDescent="0.3">
      <c r="B161" s="30"/>
      <c r="C161" s="31"/>
      <c r="D161" s="30"/>
      <c r="E161" s="30"/>
      <c r="F161" s="30"/>
      <c r="G161" s="30"/>
      <c r="H161" s="30"/>
      <c r="J161" s="43" t="str">
        <f ca="1">IF(SUM(Calculations!CC161:CL161)&gt;0,"← Check","")</f>
        <v/>
      </c>
    </row>
    <row r="162" spans="2:10" x14ac:dyDescent="0.3">
      <c r="B162" s="30"/>
      <c r="C162" s="31"/>
      <c r="D162" s="30"/>
      <c r="E162" s="30"/>
      <c r="F162" s="30"/>
      <c r="G162" s="30"/>
      <c r="H162" s="30"/>
      <c r="J162" s="43" t="str">
        <f ca="1">IF(SUM(Calculations!CC162:CL162)&gt;0,"← Check","")</f>
        <v/>
      </c>
    </row>
    <row r="163" spans="2:10" x14ac:dyDescent="0.3">
      <c r="B163" s="30"/>
      <c r="C163" s="31"/>
      <c r="D163" s="30"/>
      <c r="E163" s="30"/>
      <c r="F163" s="30"/>
      <c r="G163" s="30"/>
      <c r="H163" s="30"/>
      <c r="J163" s="43" t="str">
        <f ca="1">IF(SUM(Calculations!CC163:CL163)&gt;0,"← Check","")</f>
        <v/>
      </c>
    </row>
    <row r="164" spans="2:10" x14ac:dyDescent="0.3">
      <c r="B164" s="30"/>
      <c r="C164" s="31"/>
      <c r="D164" s="30"/>
      <c r="E164" s="30"/>
      <c r="F164" s="30"/>
      <c r="G164" s="30"/>
      <c r="H164" s="30"/>
      <c r="J164" s="43" t="str">
        <f ca="1">IF(SUM(Calculations!CC164:CL164)&gt;0,"← Check","")</f>
        <v/>
      </c>
    </row>
    <row r="165" spans="2:10" x14ac:dyDescent="0.3">
      <c r="B165" s="30"/>
      <c r="C165" s="31"/>
      <c r="D165" s="30"/>
      <c r="E165" s="30"/>
      <c r="F165" s="30"/>
      <c r="G165" s="30"/>
      <c r="H165" s="30"/>
      <c r="J165" s="43" t="str">
        <f ca="1">IF(SUM(Calculations!CC165:CL165)&gt;0,"← Check","")</f>
        <v/>
      </c>
    </row>
    <row r="166" spans="2:10" x14ac:dyDescent="0.3">
      <c r="B166" s="30"/>
      <c r="C166" s="31"/>
      <c r="D166" s="30"/>
      <c r="E166" s="30"/>
      <c r="F166" s="30"/>
      <c r="G166" s="30"/>
      <c r="H166" s="30"/>
      <c r="J166" s="43" t="str">
        <f ca="1">IF(SUM(Calculations!CC166:CL166)&gt;0,"← Check","")</f>
        <v/>
      </c>
    </row>
    <row r="167" spans="2:10" x14ac:dyDescent="0.3">
      <c r="B167" s="30"/>
      <c r="C167" s="31"/>
      <c r="D167" s="30"/>
      <c r="E167" s="30"/>
      <c r="F167" s="30"/>
      <c r="G167" s="30"/>
      <c r="H167" s="30"/>
      <c r="J167" s="43" t="str">
        <f ca="1">IF(SUM(Calculations!CC167:CL167)&gt;0,"← Check","")</f>
        <v/>
      </c>
    </row>
    <row r="168" spans="2:10" x14ac:dyDescent="0.3">
      <c r="B168" s="30"/>
      <c r="C168" s="31"/>
      <c r="D168" s="30"/>
      <c r="E168" s="30"/>
      <c r="F168" s="30"/>
      <c r="G168" s="30"/>
      <c r="H168" s="30"/>
      <c r="J168" s="43" t="str">
        <f ca="1">IF(SUM(Calculations!CC168:CL168)&gt;0,"← Check","")</f>
        <v/>
      </c>
    </row>
    <row r="169" spans="2:10" x14ac:dyDescent="0.3">
      <c r="B169" s="30"/>
      <c r="C169" s="31"/>
      <c r="D169" s="30"/>
      <c r="E169" s="30"/>
      <c r="F169" s="30"/>
      <c r="G169" s="30"/>
      <c r="H169" s="30"/>
      <c r="J169" s="43" t="str">
        <f ca="1">IF(SUM(Calculations!CC169:CL169)&gt;0,"← Check","")</f>
        <v/>
      </c>
    </row>
    <row r="170" spans="2:10" x14ac:dyDescent="0.3">
      <c r="B170" s="30"/>
      <c r="C170" s="31"/>
      <c r="D170" s="30"/>
      <c r="E170" s="30"/>
      <c r="F170" s="30"/>
      <c r="G170" s="30"/>
      <c r="H170" s="30"/>
      <c r="J170" s="43" t="str">
        <f ca="1">IF(SUM(Calculations!CC170:CL170)&gt;0,"← Check","")</f>
        <v/>
      </c>
    </row>
    <row r="171" spans="2:10" x14ac:dyDescent="0.3">
      <c r="B171" s="30"/>
      <c r="C171" s="31"/>
      <c r="D171" s="30"/>
      <c r="E171" s="30"/>
      <c r="F171" s="30"/>
      <c r="G171" s="30"/>
      <c r="H171" s="30"/>
      <c r="J171" s="43" t="str">
        <f ca="1">IF(SUM(Calculations!CC171:CL171)&gt;0,"← Check","")</f>
        <v/>
      </c>
    </row>
    <row r="172" spans="2:10" x14ac:dyDescent="0.3">
      <c r="B172" s="30"/>
      <c r="C172" s="31"/>
      <c r="D172" s="30"/>
      <c r="E172" s="30"/>
      <c r="F172" s="30"/>
      <c r="G172" s="30"/>
      <c r="H172" s="30"/>
      <c r="J172" s="43" t="str">
        <f ca="1">IF(SUM(Calculations!CC172:CL172)&gt;0,"← Check","")</f>
        <v/>
      </c>
    </row>
    <row r="173" spans="2:10" x14ac:dyDescent="0.3">
      <c r="B173" s="30"/>
      <c r="C173" s="31"/>
      <c r="D173" s="30"/>
      <c r="E173" s="30"/>
      <c r="F173" s="30"/>
      <c r="G173" s="30"/>
      <c r="H173" s="30"/>
      <c r="J173" s="43" t="str">
        <f ca="1">IF(SUM(Calculations!CC173:CL173)&gt;0,"← Check","")</f>
        <v/>
      </c>
    </row>
    <row r="174" spans="2:10" x14ac:dyDescent="0.3">
      <c r="B174" s="30"/>
      <c r="C174" s="31"/>
      <c r="D174" s="30"/>
      <c r="E174" s="30"/>
      <c r="F174" s="30"/>
      <c r="G174" s="30"/>
      <c r="H174" s="30"/>
      <c r="J174" s="43" t="str">
        <f ca="1">IF(SUM(Calculations!CC174:CL174)&gt;0,"← Check","")</f>
        <v/>
      </c>
    </row>
    <row r="175" spans="2:10" x14ac:dyDescent="0.3">
      <c r="B175" s="30"/>
      <c r="C175" s="31"/>
      <c r="D175" s="30"/>
      <c r="E175" s="30"/>
      <c r="F175" s="30"/>
      <c r="G175" s="30"/>
      <c r="H175" s="30"/>
      <c r="J175" s="43" t="str">
        <f ca="1">IF(SUM(Calculations!CC175:CL175)&gt;0,"← Check","")</f>
        <v/>
      </c>
    </row>
    <row r="176" spans="2:10" x14ac:dyDescent="0.3">
      <c r="B176" s="30"/>
      <c r="C176" s="31"/>
      <c r="D176" s="30"/>
      <c r="E176" s="30"/>
      <c r="F176" s="30"/>
      <c r="G176" s="30"/>
      <c r="H176" s="30"/>
      <c r="J176" s="43" t="str">
        <f ca="1">IF(SUM(Calculations!CC176:CL176)&gt;0,"← Check","")</f>
        <v/>
      </c>
    </row>
    <row r="177" spans="2:10" x14ac:dyDescent="0.3">
      <c r="B177" s="30"/>
      <c r="C177" s="31"/>
      <c r="D177" s="30"/>
      <c r="E177" s="30"/>
      <c r="F177" s="30"/>
      <c r="G177" s="30"/>
      <c r="H177" s="30"/>
      <c r="J177" s="43" t="str">
        <f ca="1">IF(SUM(Calculations!CC177:CL177)&gt;0,"← Check","")</f>
        <v/>
      </c>
    </row>
    <row r="178" spans="2:10" x14ac:dyDescent="0.3">
      <c r="B178" s="30"/>
      <c r="C178" s="31"/>
      <c r="D178" s="30"/>
      <c r="E178" s="30"/>
      <c r="F178" s="30"/>
      <c r="G178" s="30"/>
      <c r="H178" s="30"/>
      <c r="J178" s="43" t="str">
        <f ca="1">IF(SUM(Calculations!CC178:CL178)&gt;0,"← Check","")</f>
        <v/>
      </c>
    </row>
    <row r="179" spans="2:10" x14ac:dyDescent="0.3">
      <c r="B179" s="30"/>
      <c r="C179" s="31"/>
      <c r="D179" s="30"/>
      <c r="E179" s="30"/>
      <c r="F179" s="30"/>
      <c r="G179" s="30"/>
      <c r="H179" s="30"/>
      <c r="J179" s="43" t="str">
        <f ca="1">IF(SUM(Calculations!CC179:CL179)&gt;0,"← Check","")</f>
        <v/>
      </c>
    </row>
    <row r="180" spans="2:10" x14ac:dyDescent="0.3">
      <c r="B180" s="30"/>
      <c r="C180" s="31"/>
      <c r="D180" s="30"/>
      <c r="E180" s="30"/>
      <c r="F180" s="30"/>
      <c r="G180" s="30"/>
      <c r="H180" s="30"/>
      <c r="J180" s="43" t="str">
        <f ca="1">IF(SUM(Calculations!CC180:CL180)&gt;0,"← Check","")</f>
        <v/>
      </c>
    </row>
    <row r="181" spans="2:10" x14ac:dyDescent="0.3">
      <c r="B181" s="30"/>
      <c r="C181" s="31"/>
      <c r="D181" s="30"/>
      <c r="E181" s="30"/>
      <c r="F181" s="30"/>
      <c r="G181" s="30"/>
      <c r="H181" s="30"/>
      <c r="J181" s="43" t="str">
        <f ca="1">IF(SUM(Calculations!CC181:CL181)&gt;0,"← Check","")</f>
        <v/>
      </c>
    </row>
    <row r="182" spans="2:10" x14ac:dyDescent="0.3">
      <c r="B182" s="30"/>
      <c r="C182" s="31"/>
      <c r="D182" s="30"/>
      <c r="E182" s="30"/>
      <c r="F182" s="30"/>
      <c r="G182" s="30"/>
      <c r="H182" s="30"/>
      <c r="J182" s="43" t="str">
        <f ca="1">IF(SUM(Calculations!CC182:CL182)&gt;0,"← Check","")</f>
        <v/>
      </c>
    </row>
    <row r="183" spans="2:10" x14ac:dyDescent="0.3">
      <c r="B183" s="30"/>
      <c r="C183" s="31"/>
      <c r="D183" s="30"/>
      <c r="E183" s="30"/>
      <c r="F183" s="30"/>
      <c r="G183" s="30"/>
      <c r="H183" s="30"/>
      <c r="J183" s="43" t="str">
        <f ca="1">IF(SUM(Calculations!CC183:CL183)&gt;0,"← Check","")</f>
        <v/>
      </c>
    </row>
    <row r="184" spans="2:10" x14ac:dyDescent="0.3">
      <c r="B184" s="30"/>
      <c r="C184" s="31"/>
      <c r="D184" s="30"/>
      <c r="E184" s="30"/>
      <c r="F184" s="30"/>
      <c r="G184" s="30"/>
      <c r="H184" s="30"/>
      <c r="J184" s="43" t="str">
        <f ca="1">IF(SUM(Calculations!CC184:CL184)&gt;0,"← Check","")</f>
        <v/>
      </c>
    </row>
    <row r="185" spans="2:10" x14ac:dyDescent="0.3">
      <c r="B185" s="30"/>
      <c r="C185" s="31"/>
      <c r="D185" s="30"/>
      <c r="E185" s="30"/>
      <c r="F185" s="30"/>
      <c r="G185" s="30"/>
      <c r="H185" s="30"/>
      <c r="J185" s="43" t="str">
        <f ca="1">IF(SUM(Calculations!CC185:CL185)&gt;0,"← Check","")</f>
        <v/>
      </c>
    </row>
    <row r="186" spans="2:10" x14ac:dyDescent="0.3">
      <c r="B186" s="30"/>
      <c r="C186" s="31"/>
      <c r="D186" s="30"/>
      <c r="E186" s="30"/>
      <c r="F186" s="30"/>
      <c r="G186" s="30"/>
      <c r="H186" s="30"/>
      <c r="J186" s="43" t="str">
        <f ca="1">IF(SUM(Calculations!CC186:CL186)&gt;0,"← Check","")</f>
        <v/>
      </c>
    </row>
    <row r="187" spans="2:10" x14ac:dyDescent="0.3">
      <c r="B187" s="30"/>
      <c r="C187" s="31"/>
      <c r="D187" s="30"/>
      <c r="E187" s="30"/>
      <c r="F187" s="30"/>
      <c r="G187" s="30"/>
      <c r="H187" s="30"/>
      <c r="J187" s="43" t="str">
        <f ca="1">IF(SUM(Calculations!CC187:CL187)&gt;0,"← Check","")</f>
        <v/>
      </c>
    </row>
    <row r="188" spans="2:10" x14ac:dyDescent="0.3">
      <c r="B188" s="30"/>
      <c r="C188" s="31"/>
      <c r="D188" s="30"/>
      <c r="E188" s="30"/>
      <c r="F188" s="30"/>
      <c r="G188" s="30"/>
      <c r="H188" s="30"/>
      <c r="J188" s="43" t="str">
        <f ca="1">IF(SUM(Calculations!CC188:CL188)&gt;0,"← Check","")</f>
        <v/>
      </c>
    </row>
    <row r="189" spans="2:10" x14ac:dyDescent="0.3">
      <c r="B189" s="30"/>
      <c r="C189" s="31"/>
      <c r="D189" s="30"/>
      <c r="E189" s="30"/>
      <c r="F189" s="30"/>
      <c r="G189" s="30"/>
      <c r="H189" s="30"/>
      <c r="J189" s="43" t="str">
        <f ca="1">IF(SUM(Calculations!CC189:CL189)&gt;0,"← Check","")</f>
        <v/>
      </c>
    </row>
    <row r="190" spans="2:10" x14ac:dyDescent="0.3">
      <c r="B190" s="30"/>
      <c r="C190" s="31"/>
      <c r="D190" s="30"/>
      <c r="E190" s="30"/>
      <c r="F190" s="30"/>
      <c r="G190" s="30"/>
      <c r="H190" s="30"/>
      <c r="J190" s="43" t="str">
        <f ca="1">IF(SUM(Calculations!CC190:CL190)&gt;0,"← Check","")</f>
        <v/>
      </c>
    </row>
    <row r="191" spans="2:10" x14ac:dyDescent="0.3">
      <c r="B191" s="30"/>
      <c r="C191" s="31"/>
      <c r="D191" s="30"/>
      <c r="E191" s="30"/>
      <c r="F191" s="30"/>
      <c r="G191" s="30"/>
      <c r="H191" s="30"/>
      <c r="J191" s="43" t="str">
        <f ca="1">IF(SUM(Calculations!CC191:CL191)&gt;0,"← Check","")</f>
        <v/>
      </c>
    </row>
    <row r="192" spans="2:10" x14ac:dyDescent="0.3">
      <c r="B192" s="30"/>
      <c r="C192" s="31"/>
      <c r="D192" s="30"/>
      <c r="E192" s="30"/>
      <c r="F192" s="30"/>
      <c r="G192" s="30"/>
      <c r="H192" s="30"/>
      <c r="J192" s="43" t="str">
        <f ca="1">IF(SUM(Calculations!CC192:CL192)&gt;0,"← Check","")</f>
        <v/>
      </c>
    </row>
    <row r="193" spans="2:10" x14ac:dyDescent="0.3">
      <c r="B193" s="30"/>
      <c r="C193" s="31"/>
      <c r="D193" s="30"/>
      <c r="E193" s="30"/>
      <c r="F193" s="30"/>
      <c r="G193" s="30"/>
      <c r="H193" s="30"/>
      <c r="J193" s="43" t="str">
        <f ca="1">IF(SUM(Calculations!CC193:CL193)&gt;0,"← Check","")</f>
        <v/>
      </c>
    </row>
    <row r="194" spans="2:10" x14ac:dyDescent="0.3">
      <c r="B194" s="30"/>
      <c r="C194" s="31"/>
      <c r="D194" s="30"/>
      <c r="E194" s="30"/>
      <c r="F194" s="30"/>
      <c r="G194" s="30"/>
      <c r="H194" s="30"/>
      <c r="J194" s="43" t="str">
        <f ca="1">IF(SUM(Calculations!CC194:CL194)&gt;0,"← Check","")</f>
        <v/>
      </c>
    </row>
    <row r="195" spans="2:10" x14ac:dyDescent="0.3">
      <c r="B195" s="30"/>
      <c r="C195" s="31"/>
      <c r="D195" s="30"/>
      <c r="E195" s="30"/>
      <c r="F195" s="30"/>
      <c r="G195" s="30"/>
      <c r="H195" s="30"/>
      <c r="J195" s="43" t="str">
        <f ca="1">IF(SUM(Calculations!CC195:CL195)&gt;0,"← Check","")</f>
        <v/>
      </c>
    </row>
    <row r="196" spans="2:10" x14ac:dyDescent="0.3">
      <c r="B196" s="30"/>
      <c r="C196" s="31"/>
      <c r="D196" s="30"/>
      <c r="E196" s="30"/>
      <c r="F196" s="30"/>
      <c r="G196" s="30"/>
      <c r="H196" s="30"/>
      <c r="J196" s="43" t="str">
        <f ca="1">IF(SUM(Calculations!CC196:CL196)&gt;0,"← Check","")</f>
        <v/>
      </c>
    </row>
    <row r="197" spans="2:10" x14ac:dyDescent="0.3">
      <c r="B197" s="30"/>
      <c r="C197" s="31"/>
      <c r="D197" s="30"/>
      <c r="E197" s="30"/>
      <c r="F197" s="30"/>
      <c r="G197" s="30"/>
      <c r="H197" s="30"/>
      <c r="J197" s="43" t="str">
        <f ca="1">IF(SUM(Calculations!CC197:CL197)&gt;0,"← Check","")</f>
        <v/>
      </c>
    </row>
    <row r="198" spans="2:10" x14ac:dyDescent="0.3">
      <c r="B198" s="30"/>
      <c r="C198" s="31"/>
      <c r="D198" s="30"/>
      <c r="E198" s="30"/>
      <c r="F198" s="30"/>
      <c r="G198" s="30"/>
      <c r="H198" s="30"/>
      <c r="J198" s="43" t="str">
        <f ca="1">IF(SUM(Calculations!CC198:CL198)&gt;0,"← Check","")</f>
        <v/>
      </c>
    </row>
    <row r="199" spans="2:10" x14ac:dyDescent="0.3">
      <c r="B199" s="30"/>
      <c r="C199" s="31"/>
      <c r="D199" s="30"/>
      <c r="E199" s="30"/>
      <c r="F199" s="30"/>
      <c r="G199" s="30"/>
      <c r="H199" s="30"/>
      <c r="J199" s="43" t="str">
        <f ca="1">IF(SUM(Calculations!CC199:CL199)&gt;0,"← Check","")</f>
        <v/>
      </c>
    </row>
    <row r="200" spans="2:10" x14ac:dyDescent="0.3">
      <c r="B200" s="30"/>
      <c r="C200" s="31"/>
      <c r="D200" s="30"/>
      <c r="E200" s="30"/>
      <c r="F200" s="30"/>
      <c r="G200" s="30"/>
      <c r="H200" s="30"/>
      <c r="J200" s="43" t="str">
        <f ca="1">IF(SUM(Calculations!CC200:CL200)&gt;0,"← Check","")</f>
        <v/>
      </c>
    </row>
    <row r="201" spans="2:10" x14ac:dyDescent="0.3">
      <c r="B201" s="30"/>
      <c r="C201" s="31"/>
      <c r="D201" s="30"/>
      <c r="E201" s="30"/>
      <c r="F201" s="30"/>
      <c r="G201" s="30"/>
      <c r="H201" s="30"/>
      <c r="J201" s="43" t="str">
        <f ca="1">IF(SUM(Calculations!CC201:CL201)&gt;0,"← Check","")</f>
        <v/>
      </c>
    </row>
    <row r="202" spans="2:10" x14ac:dyDescent="0.3">
      <c r="B202" s="30"/>
      <c r="C202" s="31"/>
      <c r="D202" s="30"/>
      <c r="E202" s="30"/>
      <c r="F202" s="30"/>
      <c r="G202" s="30"/>
      <c r="H202" s="30"/>
      <c r="J202" s="43" t="str">
        <f ca="1">IF(SUM(Calculations!CC202:CL202)&gt;0,"← Check","")</f>
        <v/>
      </c>
    </row>
    <row r="203" spans="2:10" x14ac:dyDescent="0.3">
      <c r="B203" s="30"/>
      <c r="C203" s="31"/>
      <c r="D203" s="30"/>
      <c r="E203" s="30"/>
      <c r="F203" s="30"/>
      <c r="G203" s="30"/>
      <c r="H203" s="30"/>
      <c r="J203" s="43" t="str">
        <f ca="1">IF(SUM(Calculations!CC203:CL203)&gt;0,"← Check","")</f>
        <v/>
      </c>
    </row>
    <row r="204" spans="2:10" x14ac:dyDescent="0.3">
      <c r="B204" s="30"/>
      <c r="C204" s="31"/>
      <c r="D204" s="30"/>
      <c r="E204" s="30"/>
      <c r="F204" s="30"/>
      <c r="G204" s="30"/>
      <c r="H204" s="30"/>
      <c r="J204" s="43" t="str">
        <f ca="1">IF(SUM(Calculations!CC204:CL204)&gt;0,"← Check","")</f>
        <v/>
      </c>
    </row>
    <row r="205" spans="2:10" x14ac:dyDescent="0.3">
      <c r="B205" s="30"/>
      <c r="C205" s="31"/>
      <c r="D205" s="30"/>
      <c r="E205" s="30"/>
      <c r="F205" s="30"/>
      <c r="G205" s="30"/>
      <c r="H205" s="30"/>
      <c r="J205" s="43" t="str">
        <f ca="1">IF(SUM(Calculations!CC205:CL205)&gt;0,"← Check","")</f>
        <v/>
      </c>
    </row>
    <row r="206" spans="2:10" x14ac:dyDescent="0.3">
      <c r="B206" s="30"/>
      <c r="C206" s="31"/>
      <c r="D206" s="30"/>
      <c r="E206" s="30"/>
      <c r="F206" s="30"/>
      <c r="G206" s="30"/>
      <c r="H206" s="30"/>
      <c r="J206" s="71" t="str">
        <f ca="1">IF(SUM(Calculations!CC206:CL206)&gt;0,"← Check","")</f>
        <v/>
      </c>
    </row>
    <row r="207" spans="2:10" x14ac:dyDescent="0.3">
      <c r="B207" s="222"/>
      <c r="C207" s="223"/>
      <c r="D207" s="222"/>
      <c r="E207" s="222"/>
      <c r="F207" s="222"/>
      <c r="G207" s="222"/>
      <c r="H207" s="222"/>
    </row>
    <row r="208" spans="2:10" x14ac:dyDescent="0.3">
      <c r="B208" s="222"/>
      <c r="C208" s="223"/>
      <c r="D208" s="222"/>
      <c r="E208" s="222"/>
      <c r="F208" s="222"/>
      <c r="G208" s="222"/>
      <c r="H208" s="222"/>
    </row>
    <row r="209" spans="2:8" x14ac:dyDescent="0.3">
      <c r="B209" s="222"/>
      <c r="C209" s="223"/>
      <c r="D209" s="222"/>
      <c r="E209" s="222"/>
      <c r="F209" s="222"/>
      <c r="G209" s="222"/>
      <c r="H209" s="222"/>
    </row>
    <row r="210" spans="2:8" x14ac:dyDescent="0.3">
      <c r="B210" s="222"/>
      <c r="C210" s="223"/>
      <c r="D210" s="222"/>
      <c r="E210" s="222"/>
      <c r="F210" s="222"/>
      <c r="G210" s="222"/>
      <c r="H210" s="222"/>
    </row>
    <row r="211" spans="2:8" x14ac:dyDescent="0.3">
      <c r="B211" s="222"/>
      <c r="C211" s="223"/>
      <c r="D211" s="222"/>
      <c r="E211" s="222"/>
      <c r="F211" s="222"/>
      <c r="G211" s="222"/>
      <c r="H211" s="222"/>
    </row>
    <row r="212" spans="2:8" x14ac:dyDescent="0.3">
      <c r="B212" s="222"/>
      <c r="C212" s="223"/>
      <c r="D212" s="222"/>
      <c r="E212" s="222"/>
      <c r="F212" s="222"/>
      <c r="G212" s="222"/>
      <c r="H212" s="222"/>
    </row>
    <row r="213" spans="2:8" x14ac:dyDescent="0.3">
      <c r="B213" s="222"/>
      <c r="C213" s="223"/>
      <c r="D213" s="222"/>
      <c r="E213" s="222"/>
      <c r="F213" s="222"/>
      <c r="G213" s="222"/>
      <c r="H213" s="222"/>
    </row>
    <row r="214" spans="2:8" x14ac:dyDescent="0.3">
      <c r="B214" s="222"/>
      <c r="C214" s="223"/>
      <c r="D214" s="222"/>
      <c r="E214" s="222"/>
      <c r="F214" s="222"/>
      <c r="G214" s="222"/>
      <c r="H214" s="222"/>
    </row>
    <row r="215" spans="2:8" x14ac:dyDescent="0.3">
      <c r="B215" s="222"/>
      <c r="C215" s="223"/>
      <c r="D215" s="222"/>
      <c r="E215" s="222"/>
      <c r="F215" s="222"/>
      <c r="G215" s="222"/>
      <c r="H215" s="222"/>
    </row>
    <row r="216" spans="2:8" x14ac:dyDescent="0.3">
      <c r="B216" s="222"/>
      <c r="C216" s="223"/>
      <c r="D216" s="222"/>
      <c r="E216" s="222"/>
      <c r="F216" s="222"/>
      <c r="G216" s="222"/>
      <c r="H216" s="222"/>
    </row>
    <row r="217" spans="2:8" x14ac:dyDescent="0.3">
      <c r="B217" s="222"/>
      <c r="C217" s="223"/>
      <c r="D217" s="222"/>
      <c r="E217" s="222"/>
      <c r="F217" s="222"/>
      <c r="G217" s="222"/>
      <c r="H217" s="222"/>
    </row>
    <row r="218" spans="2:8" x14ac:dyDescent="0.3">
      <c r="B218" s="222"/>
      <c r="C218" s="223"/>
      <c r="D218" s="222"/>
      <c r="E218" s="222"/>
      <c r="F218" s="222"/>
      <c r="G218" s="222"/>
      <c r="H218" s="222"/>
    </row>
    <row r="219" spans="2:8" x14ac:dyDescent="0.3">
      <c r="B219" s="222"/>
      <c r="C219" s="223"/>
      <c r="D219" s="222"/>
      <c r="E219" s="222"/>
      <c r="F219" s="222"/>
      <c r="G219" s="222"/>
      <c r="H219" s="222"/>
    </row>
    <row r="220" spans="2:8" x14ac:dyDescent="0.3">
      <c r="B220" s="222"/>
      <c r="C220" s="223"/>
      <c r="D220" s="222"/>
      <c r="E220" s="222"/>
      <c r="F220" s="222"/>
      <c r="G220" s="222"/>
      <c r="H220" s="222"/>
    </row>
    <row r="221" spans="2:8" x14ac:dyDescent="0.3">
      <c r="B221" s="222"/>
      <c r="C221" s="223"/>
      <c r="D221" s="222"/>
      <c r="E221" s="222"/>
      <c r="F221" s="222"/>
      <c r="G221" s="222"/>
      <c r="H221" s="222"/>
    </row>
    <row r="222" spans="2:8" x14ac:dyDescent="0.3">
      <c r="B222" s="222"/>
      <c r="C222" s="223"/>
      <c r="D222" s="222"/>
      <c r="E222" s="222"/>
      <c r="F222" s="222"/>
      <c r="G222" s="222"/>
      <c r="H222" s="222"/>
    </row>
    <row r="223" spans="2:8" x14ac:dyDescent="0.3">
      <c r="B223" s="222"/>
      <c r="C223" s="223"/>
      <c r="D223" s="222"/>
      <c r="E223" s="222"/>
      <c r="F223" s="222"/>
      <c r="G223" s="222"/>
      <c r="H223" s="222"/>
    </row>
    <row r="224" spans="2:8" x14ac:dyDescent="0.3">
      <c r="B224" s="222"/>
      <c r="C224" s="223"/>
      <c r="D224" s="222"/>
      <c r="E224" s="222"/>
      <c r="F224" s="222"/>
      <c r="G224" s="222"/>
      <c r="H224" s="222"/>
    </row>
    <row r="225" spans="2:8" x14ac:dyDescent="0.3">
      <c r="B225" s="222"/>
      <c r="C225" s="223"/>
      <c r="D225" s="222"/>
      <c r="E225" s="222"/>
      <c r="F225" s="222"/>
      <c r="G225" s="222"/>
      <c r="H225" s="222"/>
    </row>
    <row r="226" spans="2:8" x14ac:dyDescent="0.3">
      <c r="B226" s="222"/>
      <c r="C226" s="223"/>
      <c r="D226" s="222"/>
      <c r="E226" s="222"/>
      <c r="F226" s="222"/>
      <c r="G226" s="222"/>
      <c r="H226" s="222"/>
    </row>
    <row r="227" spans="2:8" x14ac:dyDescent="0.3">
      <c r="B227" s="222"/>
      <c r="C227" s="223"/>
      <c r="D227" s="222"/>
      <c r="E227" s="222"/>
      <c r="F227" s="222"/>
      <c r="G227" s="222"/>
      <c r="H227" s="222"/>
    </row>
    <row r="228" spans="2:8" x14ac:dyDescent="0.3">
      <c r="B228" s="222"/>
      <c r="C228" s="223"/>
      <c r="D228" s="222"/>
      <c r="E228" s="222"/>
      <c r="F228" s="222"/>
      <c r="G228" s="222"/>
      <c r="H228" s="222"/>
    </row>
  </sheetData>
  <dataValidations disablePrompts="1" count="2">
    <dataValidation type="list" allowBlank="1" showInputMessage="1" showErrorMessage="1" sqref="H7:H228" xr:uid="{00000000-0002-0000-0100-000000000000}">
      <formula1>OFFSET($L$25,0,0,COUNTA($L$25:$L$31),1)</formula1>
    </dataValidation>
    <dataValidation type="list" allowBlank="1" showInputMessage="1" showErrorMessage="1" sqref="M13" xr:uid="{00000000-0002-0000-0100-000001000000}">
      <formula1>"Horizontal,Vertical"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14</xdr:col>
                    <xdr:colOff>205740</xdr:colOff>
                    <xdr:row>1</xdr:row>
                    <xdr:rowOff>60960</xdr:rowOff>
                  </from>
                  <to>
                    <xdr:col>17</xdr:col>
                    <xdr:colOff>45720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InsOn">
                <anchor moveWithCells="1">
                  <from>
                    <xdr:col>15</xdr:col>
                    <xdr:colOff>60960</xdr:colOff>
                    <xdr:row>1</xdr:row>
                    <xdr:rowOff>182880</xdr:rowOff>
                  </from>
                  <to>
                    <xdr:col>15</xdr:col>
                    <xdr:colOff>403860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 macro="[0]!InsOff">
                <anchor moveWithCells="1">
                  <from>
                    <xdr:col>16</xdr:col>
                    <xdr:colOff>30480</xdr:colOff>
                    <xdr:row>1</xdr:row>
                    <xdr:rowOff>182880</xdr:rowOff>
                  </from>
                  <to>
                    <xdr:col>16</xdr:col>
                    <xdr:colOff>426720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H2000"/>
  <sheetViews>
    <sheetView workbookViewId="0">
      <selection activeCell="A4" sqref="A4"/>
    </sheetView>
  </sheetViews>
  <sheetFormatPr defaultRowHeight="14.4" x14ac:dyDescent="0.3"/>
  <cols>
    <col min="1" max="55" width="3.44140625" customWidth="1"/>
  </cols>
  <sheetData>
    <row r="1" spans="1:60" x14ac:dyDescent="0.3">
      <c r="A1" s="74"/>
      <c r="B1" s="75"/>
      <c r="C1" s="75"/>
      <c r="D1" s="76"/>
      <c r="E1" s="74"/>
      <c r="F1" s="76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22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</row>
    <row r="2" spans="1:60" ht="17.399999999999999" x14ac:dyDescent="0.3">
      <c r="A2" s="80"/>
      <c r="B2" s="77"/>
      <c r="C2" s="79"/>
      <c r="D2" s="79"/>
      <c r="E2" s="79" t="s">
        <v>0</v>
      </c>
      <c r="F2" s="79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>
        <v>1</v>
      </c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1"/>
      <c r="BC2" s="81"/>
      <c r="BD2" s="81"/>
      <c r="BE2" s="81"/>
      <c r="BF2" s="81"/>
      <c r="BG2" s="81"/>
      <c r="BH2" s="81"/>
    </row>
    <row r="3" spans="1:60" ht="21" x14ac:dyDescent="0.3">
      <c r="A3" s="78"/>
      <c r="B3" s="82"/>
      <c r="C3" s="83"/>
      <c r="D3" s="83"/>
      <c r="E3" s="84" t="s">
        <v>38</v>
      </c>
      <c r="F3" s="83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4"/>
      <c r="AN3" s="84"/>
      <c r="AO3" s="84"/>
      <c r="AP3" s="84"/>
      <c r="AQ3" s="84"/>
      <c r="AR3" s="84"/>
      <c r="AS3" s="84"/>
      <c r="AT3" s="84"/>
      <c r="AU3" s="84"/>
      <c r="AV3" s="84"/>
      <c r="AW3" s="84"/>
      <c r="AX3" s="84"/>
      <c r="AY3" s="84"/>
      <c r="AZ3" s="84"/>
      <c r="BA3" s="84"/>
      <c r="BB3" s="84"/>
      <c r="BC3" s="84"/>
      <c r="BD3" s="84"/>
      <c r="BE3" s="84"/>
      <c r="BF3" s="84"/>
      <c r="BG3" s="84"/>
      <c r="BH3" s="84"/>
    </row>
    <row r="4" spans="1:60" x14ac:dyDescent="0.3">
      <c r="A4" s="72"/>
      <c r="B4" s="73"/>
      <c r="C4" s="72"/>
      <c r="D4" s="73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</row>
    <row r="5" spans="1:60" s="216" customFormat="1" x14ac:dyDescent="0.3">
      <c r="A5" s="215"/>
      <c r="B5" s="215"/>
      <c r="C5" s="215"/>
      <c r="D5" s="215"/>
      <c r="E5" s="215"/>
      <c r="F5" s="215"/>
      <c r="G5" s="215"/>
      <c r="H5" s="215"/>
      <c r="I5" s="215"/>
      <c r="J5" s="215"/>
      <c r="K5" s="215"/>
      <c r="L5" s="215"/>
      <c r="M5" s="215"/>
      <c r="N5" s="215"/>
      <c r="O5" s="215"/>
      <c r="P5" s="215"/>
      <c r="Q5" s="215"/>
      <c r="R5" s="215"/>
      <c r="S5" s="215"/>
      <c r="T5" s="215"/>
      <c r="U5" s="215"/>
      <c r="V5" s="215"/>
      <c r="W5" s="215"/>
      <c r="X5" s="215"/>
      <c r="Y5" s="215"/>
      <c r="Z5" s="215"/>
      <c r="AA5" s="215"/>
      <c r="AB5" s="215"/>
      <c r="AC5" s="215"/>
      <c r="AD5" s="215"/>
      <c r="AE5" s="215"/>
      <c r="AF5" s="215"/>
      <c r="AG5" s="215"/>
      <c r="AH5" s="215"/>
      <c r="AI5" s="215"/>
      <c r="AJ5" s="215"/>
      <c r="AK5" s="215"/>
      <c r="AL5" s="215"/>
      <c r="AM5" s="215"/>
      <c r="AN5" s="215"/>
      <c r="AO5" s="215"/>
      <c r="AP5" s="215"/>
      <c r="AQ5" s="215"/>
      <c r="AR5" s="215"/>
      <c r="AS5" s="215"/>
      <c r="AT5" s="215"/>
      <c r="AU5" s="215"/>
      <c r="AV5" s="215"/>
      <c r="AW5" s="215"/>
      <c r="AX5" s="215"/>
      <c r="AY5" s="215"/>
      <c r="AZ5" s="215"/>
      <c r="BA5" s="215"/>
      <c r="BB5" s="215"/>
      <c r="BC5" s="215"/>
      <c r="BD5" s="215"/>
      <c r="BE5" s="215"/>
      <c r="BF5" s="215"/>
      <c r="BG5" s="215"/>
      <c r="BH5" s="215"/>
    </row>
    <row r="6" spans="1:60" s="216" customFormat="1" x14ac:dyDescent="0.3">
      <c r="A6" s="215"/>
      <c r="B6" s="215"/>
      <c r="C6" s="215"/>
      <c r="D6" s="215"/>
      <c r="E6" s="215"/>
      <c r="F6" s="215"/>
      <c r="G6" s="215"/>
      <c r="H6" s="215"/>
      <c r="I6" s="215"/>
      <c r="J6" s="215"/>
      <c r="K6" s="215"/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  <c r="BA6" s="215"/>
      <c r="BB6" s="215"/>
      <c r="BC6" s="215"/>
      <c r="BD6" s="215"/>
      <c r="BE6" s="215"/>
      <c r="BF6" s="215"/>
      <c r="BG6" s="215"/>
      <c r="BH6" s="215"/>
    </row>
    <row r="7" spans="1:60" s="216" customFormat="1" x14ac:dyDescent="0.3">
      <c r="A7" s="215"/>
      <c r="B7" s="215"/>
      <c r="C7" s="215"/>
      <c r="D7" s="215"/>
      <c r="E7" s="215"/>
      <c r="F7" s="215"/>
      <c r="G7" s="215"/>
      <c r="H7" s="215"/>
      <c r="I7" s="215"/>
      <c r="J7" s="215"/>
      <c r="K7" s="215"/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</row>
    <row r="8" spans="1:60" s="216" customFormat="1" x14ac:dyDescent="0.3">
      <c r="A8" s="215"/>
      <c r="B8" s="215"/>
      <c r="C8" s="215"/>
      <c r="D8" s="215"/>
      <c r="E8" s="215"/>
      <c r="F8" s="215"/>
      <c r="G8" s="215"/>
      <c r="H8" s="215"/>
      <c r="I8" s="215"/>
      <c r="J8" s="215"/>
      <c r="K8" s="215"/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5"/>
      <c r="BC8" s="215"/>
      <c r="BD8" s="215"/>
      <c r="BE8" s="215"/>
      <c r="BF8" s="215"/>
      <c r="BG8" s="215"/>
      <c r="BH8" s="215"/>
    </row>
    <row r="9" spans="1:60" s="216" customFormat="1" x14ac:dyDescent="0.3">
      <c r="A9" s="215"/>
      <c r="B9" s="215"/>
      <c r="C9" s="215"/>
      <c r="D9" s="215"/>
      <c r="E9" s="215"/>
      <c r="F9" s="215"/>
      <c r="G9" s="215"/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</row>
    <row r="10" spans="1:60" s="216" customFormat="1" x14ac:dyDescent="0.3">
      <c r="A10" s="215"/>
      <c r="B10" s="215"/>
      <c r="C10" s="215"/>
      <c r="D10" s="215"/>
      <c r="E10" s="215"/>
      <c r="F10" s="215"/>
      <c r="G10" s="215"/>
      <c r="H10" s="215"/>
      <c r="I10" s="21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</row>
    <row r="11" spans="1:60" s="216" customFormat="1" x14ac:dyDescent="0.3">
      <c r="A11" s="215"/>
      <c r="B11" s="215"/>
      <c r="C11" s="215"/>
      <c r="D11" s="215"/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</row>
    <row r="12" spans="1:60" s="216" customFormat="1" x14ac:dyDescent="0.3">
      <c r="A12" s="215"/>
      <c r="B12" s="215"/>
      <c r="C12" s="215"/>
      <c r="D12" s="215"/>
      <c r="E12" s="215"/>
      <c r="F12" s="215"/>
      <c r="G12" s="215"/>
      <c r="H12" s="215"/>
      <c r="I12" s="215"/>
      <c r="J12" s="215"/>
      <c r="K12" s="215"/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</row>
    <row r="13" spans="1:60" s="216" customFormat="1" x14ac:dyDescent="0.3">
      <c r="A13" s="215"/>
      <c r="B13" s="215"/>
      <c r="C13" s="215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</row>
    <row r="14" spans="1:60" s="216" customFormat="1" x14ac:dyDescent="0.3">
      <c r="A14" s="215"/>
      <c r="B14" s="215"/>
      <c r="C14" s="215"/>
      <c r="D14" s="215"/>
      <c r="E14" s="215"/>
      <c r="F14" s="215"/>
      <c r="G14" s="215"/>
      <c r="H14" s="215"/>
      <c r="I14" s="215"/>
      <c r="J14" s="215"/>
      <c r="K14" s="215"/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</row>
    <row r="15" spans="1:60" s="216" customFormat="1" x14ac:dyDescent="0.3">
      <c r="A15" s="215"/>
      <c r="B15" s="215"/>
      <c r="C15" s="215"/>
      <c r="D15" s="215"/>
      <c r="E15" s="215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  <c r="AU15" s="215"/>
      <c r="AV15" s="215"/>
      <c r="AW15" s="215"/>
      <c r="AX15" s="215"/>
      <c r="AY15" s="215"/>
      <c r="AZ15" s="215"/>
      <c r="BA15" s="215"/>
      <c r="BB15" s="215"/>
      <c r="BC15" s="215"/>
      <c r="BD15" s="215"/>
      <c r="BE15" s="215"/>
      <c r="BF15" s="215"/>
      <c r="BG15" s="215"/>
      <c r="BH15" s="215"/>
    </row>
    <row r="16" spans="1:60" s="216" customFormat="1" x14ac:dyDescent="0.3">
      <c r="A16" s="215"/>
      <c r="B16" s="215"/>
      <c r="C16" s="215"/>
      <c r="D16" s="215"/>
      <c r="E16" s="215"/>
      <c r="F16" s="215"/>
      <c r="G16" s="215"/>
      <c r="H16" s="215"/>
      <c r="I16" s="215"/>
      <c r="J16" s="215"/>
      <c r="K16" s="215"/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  <c r="AN16" s="215"/>
      <c r="AO16" s="215"/>
      <c r="AP16" s="215"/>
      <c r="AQ16" s="215"/>
      <c r="AR16" s="215"/>
      <c r="AS16" s="215"/>
      <c r="AT16" s="215"/>
      <c r="AU16" s="215"/>
      <c r="AV16" s="215"/>
      <c r="AW16" s="215"/>
      <c r="AX16" s="215"/>
      <c r="AY16" s="215"/>
      <c r="AZ16" s="215"/>
      <c r="BA16" s="215"/>
      <c r="BB16" s="215"/>
      <c r="BC16" s="215"/>
      <c r="BD16" s="215"/>
      <c r="BE16" s="215"/>
      <c r="BF16" s="215"/>
      <c r="BG16" s="215"/>
      <c r="BH16" s="215"/>
    </row>
    <row r="17" spans="2:53" s="216" customFormat="1" x14ac:dyDescent="0.3">
      <c r="B17" s="215"/>
      <c r="C17" s="215"/>
      <c r="D17" s="215"/>
      <c r="E17" s="215"/>
      <c r="F17" s="215"/>
      <c r="G17" s="215"/>
      <c r="H17" s="215"/>
      <c r="I17" s="215"/>
      <c r="J17" s="215"/>
      <c r="K17" s="215"/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215"/>
      <c r="AN17" s="215"/>
      <c r="AO17" s="215"/>
      <c r="AP17" s="215"/>
      <c r="AQ17" s="215"/>
      <c r="AR17" s="215"/>
      <c r="AS17" s="215"/>
      <c r="AT17" s="215"/>
      <c r="AU17" s="215"/>
      <c r="AV17" s="215"/>
      <c r="AW17" s="215"/>
      <c r="AX17" s="215"/>
      <c r="AY17" s="215"/>
      <c r="AZ17" s="215"/>
      <c r="BA17" s="215"/>
    </row>
    <row r="18" spans="2:53" s="216" customFormat="1" x14ac:dyDescent="0.3">
      <c r="B18" s="215"/>
      <c r="C18" s="215"/>
      <c r="D18" s="215"/>
      <c r="E18" s="215"/>
      <c r="F18" s="215"/>
      <c r="G18" s="215"/>
      <c r="H18" s="215"/>
      <c r="I18" s="215"/>
      <c r="J18" s="215"/>
      <c r="K18" s="215"/>
      <c r="L18" s="215"/>
      <c r="M18" s="215"/>
      <c r="N18" s="215"/>
      <c r="O18" s="215"/>
      <c r="P18" s="215"/>
      <c r="Q18" s="215"/>
      <c r="R18" s="215"/>
      <c r="S18" s="215"/>
      <c r="T18" s="215"/>
      <c r="U18" s="215"/>
      <c r="V18" s="215"/>
      <c r="W18" s="215"/>
      <c r="X18" s="215"/>
      <c r="Y18" s="215"/>
      <c r="Z18" s="215"/>
      <c r="AA18" s="215"/>
      <c r="AB18" s="215"/>
      <c r="AC18" s="215"/>
      <c r="AD18" s="215"/>
      <c r="AE18" s="215"/>
      <c r="AF18" s="215"/>
      <c r="AG18" s="215"/>
      <c r="AH18" s="215"/>
      <c r="AI18" s="215"/>
      <c r="AJ18" s="215"/>
      <c r="AK18" s="215"/>
      <c r="AL18" s="215"/>
      <c r="AM18" s="215"/>
      <c r="AN18" s="215"/>
      <c r="AO18" s="215"/>
      <c r="AP18" s="215"/>
      <c r="AQ18" s="215"/>
      <c r="AR18" s="215"/>
      <c r="AS18" s="215"/>
      <c r="AT18" s="215"/>
      <c r="AU18" s="215"/>
      <c r="AV18" s="215"/>
      <c r="AW18" s="215"/>
      <c r="AX18" s="215"/>
      <c r="AY18" s="215"/>
      <c r="AZ18" s="215"/>
      <c r="BA18" s="215"/>
    </row>
    <row r="19" spans="2:53" s="216" customFormat="1" x14ac:dyDescent="0.3">
      <c r="B19" s="215"/>
      <c r="C19" s="215"/>
      <c r="D19" s="215"/>
      <c r="E19" s="215"/>
      <c r="F19" s="215"/>
      <c r="G19" s="215"/>
      <c r="H19" s="215"/>
      <c r="I19" s="215"/>
      <c r="J19" s="215"/>
      <c r="K19" s="215"/>
      <c r="L19" s="215"/>
      <c r="M19" s="215"/>
      <c r="N19" s="215"/>
      <c r="O19" s="215"/>
      <c r="P19" s="215"/>
      <c r="Q19" s="215"/>
      <c r="R19" s="215"/>
      <c r="S19" s="215"/>
      <c r="T19" s="215"/>
      <c r="U19" s="215"/>
      <c r="V19" s="215"/>
      <c r="W19" s="215"/>
      <c r="X19" s="215"/>
      <c r="Y19" s="215"/>
      <c r="Z19" s="215"/>
      <c r="AA19" s="215"/>
      <c r="AB19" s="215"/>
      <c r="AC19" s="215"/>
      <c r="AD19" s="215"/>
      <c r="AE19" s="215"/>
      <c r="AF19" s="215"/>
      <c r="AG19" s="215"/>
      <c r="AH19" s="215"/>
      <c r="AI19" s="215"/>
      <c r="AJ19" s="215"/>
      <c r="AK19" s="215"/>
      <c r="AL19" s="215"/>
      <c r="AM19" s="215"/>
      <c r="AN19" s="215"/>
      <c r="AO19" s="215"/>
      <c r="AP19" s="215"/>
      <c r="AQ19" s="215"/>
      <c r="AR19" s="215"/>
      <c r="AS19" s="215"/>
      <c r="AT19" s="215"/>
      <c r="AU19" s="215"/>
      <c r="AV19" s="215"/>
      <c r="AW19" s="215"/>
      <c r="AX19" s="215"/>
      <c r="AY19" s="215"/>
      <c r="AZ19" s="215"/>
      <c r="BA19" s="215"/>
    </row>
    <row r="20" spans="2:53" s="216" customFormat="1" x14ac:dyDescent="0.3">
      <c r="B20" s="215"/>
      <c r="C20" s="215"/>
      <c r="D20" s="215"/>
      <c r="E20" s="215"/>
      <c r="F20" s="215"/>
      <c r="G20" s="215"/>
      <c r="H20" s="215"/>
      <c r="I20" s="215"/>
      <c r="J20" s="215"/>
      <c r="K20" s="215"/>
      <c r="L20" s="215"/>
      <c r="M20" s="215"/>
      <c r="N20" s="215"/>
      <c r="O20" s="215"/>
      <c r="P20" s="215"/>
      <c r="Q20" s="215"/>
      <c r="R20" s="215"/>
      <c r="S20" s="215"/>
      <c r="T20" s="215"/>
      <c r="U20" s="215"/>
      <c r="V20" s="215"/>
      <c r="W20" s="215"/>
      <c r="X20" s="215"/>
      <c r="Y20" s="215"/>
      <c r="Z20" s="215"/>
      <c r="AA20" s="215"/>
      <c r="AB20" s="215"/>
      <c r="AC20" s="215"/>
      <c r="AD20" s="215"/>
      <c r="AE20" s="215"/>
      <c r="AF20" s="215"/>
      <c r="AG20" s="215"/>
      <c r="AH20" s="215"/>
      <c r="AI20" s="215"/>
      <c r="AJ20" s="215"/>
      <c r="AK20" s="215"/>
      <c r="AL20" s="215"/>
      <c r="AM20" s="215"/>
      <c r="AN20" s="215"/>
      <c r="AO20" s="215"/>
      <c r="AP20" s="215"/>
      <c r="AQ20" s="215"/>
      <c r="AR20" s="215"/>
      <c r="AS20" s="215"/>
      <c r="AT20" s="215"/>
      <c r="AU20" s="215"/>
      <c r="AV20" s="215"/>
      <c r="AW20" s="215"/>
      <c r="AX20" s="215"/>
      <c r="AY20" s="215"/>
      <c r="AZ20" s="215"/>
      <c r="BA20" s="215"/>
    </row>
    <row r="21" spans="2:53" s="216" customFormat="1" x14ac:dyDescent="0.3">
      <c r="B21" s="215"/>
      <c r="C21" s="215"/>
      <c r="D21" s="215"/>
      <c r="E21" s="215"/>
      <c r="F21" s="215"/>
      <c r="G21" s="215"/>
      <c r="H21" s="215"/>
      <c r="I21" s="215"/>
      <c r="J21" s="215"/>
      <c r="K21" s="215"/>
      <c r="L21" s="215"/>
      <c r="M21" s="215"/>
      <c r="N21" s="215"/>
      <c r="O21" s="215"/>
      <c r="P21" s="215"/>
      <c r="Q21" s="215"/>
      <c r="R21" s="215"/>
      <c r="S21" s="215"/>
      <c r="T21" s="215"/>
      <c r="U21" s="215"/>
      <c r="V21" s="215"/>
      <c r="W21" s="215"/>
      <c r="X21" s="215"/>
      <c r="Y21" s="215"/>
      <c r="Z21" s="215"/>
      <c r="AA21" s="215"/>
      <c r="AB21" s="215"/>
      <c r="AC21" s="215"/>
      <c r="AD21" s="215"/>
      <c r="AE21" s="215"/>
      <c r="AF21" s="215"/>
      <c r="AG21" s="215"/>
      <c r="AH21" s="215"/>
      <c r="AI21" s="215"/>
      <c r="AJ21" s="215"/>
      <c r="AK21" s="215"/>
      <c r="AL21" s="215"/>
      <c r="AM21" s="215"/>
      <c r="AN21" s="215"/>
      <c r="AO21" s="215"/>
      <c r="AP21" s="215"/>
      <c r="AQ21" s="215"/>
      <c r="AR21" s="215"/>
      <c r="AS21" s="215"/>
      <c r="AT21" s="215"/>
      <c r="AU21" s="215"/>
      <c r="AV21" s="215"/>
      <c r="AW21" s="215"/>
      <c r="AX21" s="215"/>
      <c r="AY21" s="215"/>
      <c r="AZ21" s="215"/>
      <c r="BA21" s="215"/>
    </row>
    <row r="22" spans="2:53" s="216" customFormat="1" x14ac:dyDescent="0.3">
      <c r="B22" s="215"/>
      <c r="C22" s="215"/>
      <c r="D22" s="215"/>
      <c r="E22" s="215"/>
      <c r="F22" s="215"/>
      <c r="G22" s="215"/>
      <c r="H22" s="215"/>
      <c r="I22" s="215"/>
      <c r="J22" s="215"/>
      <c r="K22" s="215"/>
      <c r="L22" s="215"/>
      <c r="M22" s="215"/>
      <c r="N22" s="215"/>
      <c r="O22" s="215"/>
      <c r="P22" s="215"/>
      <c r="Q22" s="215"/>
      <c r="R22" s="215"/>
      <c r="S22" s="215"/>
      <c r="T22" s="215"/>
      <c r="U22" s="215"/>
      <c r="V22" s="215"/>
      <c r="W22" s="215"/>
      <c r="X22" s="215"/>
      <c r="Y22" s="215"/>
      <c r="Z22" s="215"/>
      <c r="AA22" s="215"/>
      <c r="AB22" s="215"/>
      <c r="AC22" s="215"/>
      <c r="AD22" s="215"/>
      <c r="AE22" s="215"/>
      <c r="AF22" s="215"/>
      <c r="AG22" s="215"/>
      <c r="AH22" s="215"/>
      <c r="AI22" s="215"/>
      <c r="AJ22" s="215"/>
      <c r="AK22" s="215"/>
      <c r="AL22" s="215"/>
      <c r="AM22" s="215"/>
      <c r="AN22" s="215"/>
      <c r="AO22" s="215"/>
      <c r="AP22" s="215"/>
      <c r="AQ22" s="215"/>
      <c r="AR22" s="215"/>
      <c r="AS22" s="215"/>
      <c r="AT22" s="215"/>
      <c r="AU22" s="215"/>
      <c r="AV22" s="215"/>
      <c r="AW22" s="215"/>
      <c r="AX22" s="215"/>
      <c r="AY22" s="215"/>
      <c r="AZ22" s="215"/>
      <c r="BA22" s="215"/>
    </row>
    <row r="23" spans="2:53" s="216" customFormat="1" x14ac:dyDescent="0.3">
      <c r="B23" s="215"/>
      <c r="C23" s="215"/>
      <c r="D23" s="215"/>
      <c r="E23" s="215"/>
      <c r="F23" s="215"/>
      <c r="G23" s="215"/>
      <c r="H23" s="215"/>
      <c r="I23" s="215"/>
      <c r="J23" s="215"/>
      <c r="K23" s="215"/>
      <c r="L23" s="215"/>
      <c r="M23" s="215"/>
      <c r="N23" s="215"/>
      <c r="O23" s="215"/>
      <c r="P23" s="215"/>
      <c r="Q23" s="215"/>
      <c r="R23" s="215"/>
      <c r="S23" s="215"/>
      <c r="T23" s="215"/>
      <c r="U23" s="215"/>
      <c r="V23" s="215"/>
      <c r="W23" s="215"/>
      <c r="X23" s="215"/>
      <c r="Y23" s="215"/>
      <c r="Z23" s="215"/>
      <c r="AA23" s="215"/>
      <c r="AB23" s="215"/>
      <c r="AC23" s="215"/>
      <c r="AD23" s="215"/>
      <c r="AE23" s="215"/>
      <c r="AF23" s="215"/>
      <c r="AG23" s="215"/>
      <c r="AH23" s="215"/>
      <c r="AI23" s="215"/>
      <c r="AJ23" s="215"/>
      <c r="AK23" s="215"/>
      <c r="AL23" s="215"/>
      <c r="AM23" s="215"/>
      <c r="AN23" s="215"/>
      <c r="AO23" s="215"/>
      <c r="AP23" s="215"/>
      <c r="AQ23" s="215"/>
      <c r="AR23" s="215"/>
      <c r="AS23" s="215"/>
      <c r="AT23" s="215"/>
      <c r="AU23" s="215"/>
      <c r="AV23" s="215"/>
      <c r="AW23" s="215"/>
      <c r="AX23" s="215"/>
      <c r="AY23" s="215"/>
      <c r="AZ23" s="215"/>
      <c r="BA23" s="215"/>
    </row>
    <row r="24" spans="2:53" s="216" customFormat="1" x14ac:dyDescent="0.3">
      <c r="B24" s="215"/>
      <c r="C24" s="215"/>
      <c r="D24" s="215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215"/>
      <c r="R24" s="215"/>
      <c r="S24" s="215"/>
      <c r="T24" s="215"/>
      <c r="U24" s="215"/>
      <c r="V24" s="215"/>
      <c r="W24" s="215"/>
      <c r="X24" s="215"/>
      <c r="Y24" s="215"/>
      <c r="Z24" s="215"/>
      <c r="AA24" s="215"/>
      <c r="AB24" s="215"/>
      <c r="AC24" s="215"/>
      <c r="AD24" s="215"/>
      <c r="AE24" s="215"/>
      <c r="AF24" s="215"/>
      <c r="AG24" s="215"/>
      <c r="AH24" s="215"/>
      <c r="AI24" s="215"/>
      <c r="AJ24" s="215"/>
      <c r="AK24" s="215"/>
      <c r="AL24" s="215"/>
      <c r="AM24" s="215"/>
      <c r="AN24" s="215"/>
      <c r="AO24" s="215"/>
      <c r="AP24" s="215"/>
      <c r="AQ24" s="215"/>
      <c r="AR24" s="215"/>
      <c r="AS24" s="215"/>
      <c r="AT24" s="215"/>
      <c r="AU24" s="215"/>
      <c r="AV24" s="215"/>
      <c r="AW24" s="215"/>
      <c r="AX24" s="215"/>
      <c r="AY24" s="215"/>
      <c r="AZ24" s="215"/>
      <c r="BA24" s="215"/>
    </row>
    <row r="25" spans="2:53" s="216" customFormat="1" x14ac:dyDescent="0.3">
      <c r="B25" s="215"/>
      <c r="C25" s="215"/>
      <c r="D25" s="215"/>
      <c r="E25" s="215"/>
      <c r="F25" s="215"/>
      <c r="G25" s="215"/>
      <c r="H25" s="215"/>
      <c r="I25" s="215"/>
      <c r="J25" s="215"/>
      <c r="K25" s="215"/>
      <c r="L25" s="215"/>
      <c r="M25" s="215"/>
      <c r="N25" s="215"/>
      <c r="O25" s="215"/>
      <c r="P25" s="215"/>
      <c r="Q25" s="215"/>
      <c r="R25" s="215"/>
      <c r="S25" s="215"/>
      <c r="T25" s="215"/>
      <c r="U25" s="215"/>
      <c r="V25" s="215"/>
      <c r="W25" s="215"/>
      <c r="X25" s="215"/>
      <c r="Y25" s="215"/>
      <c r="Z25" s="215"/>
      <c r="AA25" s="215"/>
      <c r="AB25" s="215"/>
      <c r="AC25" s="215"/>
      <c r="AD25" s="215"/>
      <c r="AE25" s="215"/>
      <c r="AF25" s="215"/>
      <c r="AG25" s="215"/>
      <c r="AH25" s="215"/>
      <c r="AI25" s="215"/>
      <c r="AJ25" s="215"/>
      <c r="AK25" s="215"/>
      <c r="AL25" s="215"/>
      <c r="AM25" s="215"/>
      <c r="AN25" s="215"/>
      <c r="AO25" s="215"/>
      <c r="AP25" s="215"/>
      <c r="AQ25" s="215"/>
      <c r="AR25" s="215"/>
      <c r="AS25" s="215"/>
      <c r="AT25" s="215"/>
      <c r="AU25" s="215"/>
      <c r="AV25" s="215"/>
      <c r="AW25" s="215"/>
      <c r="AX25" s="215"/>
      <c r="AY25" s="215"/>
      <c r="AZ25" s="215"/>
      <c r="BA25" s="215"/>
    </row>
    <row r="26" spans="2:53" s="216" customFormat="1" x14ac:dyDescent="0.3">
      <c r="B26" s="215"/>
      <c r="C26" s="215"/>
      <c r="D26" s="215"/>
      <c r="E26" s="215"/>
      <c r="F26" s="215"/>
      <c r="G26" s="215"/>
      <c r="H26" s="215"/>
      <c r="I26" s="215"/>
      <c r="J26" s="215"/>
      <c r="K26" s="215"/>
      <c r="L26" s="215"/>
      <c r="M26" s="215"/>
      <c r="N26" s="215"/>
      <c r="O26" s="215"/>
      <c r="P26" s="215"/>
      <c r="Q26" s="215"/>
      <c r="R26" s="215"/>
      <c r="S26" s="215"/>
      <c r="T26" s="215"/>
      <c r="U26" s="215"/>
      <c r="V26" s="215"/>
      <c r="W26" s="215"/>
      <c r="X26" s="215"/>
      <c r="Y26" s="215"/>
      <c r="Z26" s="215"/>
      <c r="AA26" s="215"/>
      <c r="AB26" s="215"/>
      <c r="AC26" s="215"/>
      <c r="AD26" s="215"/>
      <c r="AE26" s="215"/>
      <c r="AF26" s="215"/>
      <c r="AG26" s="215"/>
      <c r="AH26" s="215"/>
      <c r="AI26" s="215"/>
      <c r="AJ26" s="215"/>
      <c r="AK26" s="215"/>
      <c r="AL26" s="215"/>
      <c r="AM26" s="215"/>
      <c r="AN26" s="215"/>
      <c r="AO26" s="215"/>
      <c r="AP26" s="215"/>
      <c r="AQ26" s="215"/>
      <c r="AR26" s="215"/>
      <c r="AS26" s="215"/>
      <c r="AT26" s="215"/>
      <c r="AU26" s="215"/>
      <c r="AV26" s="215"/>
      <c r="AW26" s="215"/>
      <c r="AX26" s="215"/>
      <c r="AY26" s="215"/>
      <c r="AZ26" s="215"/>
      <c r="BA26" s="215"/>
    </row>
    <row r="27" spans="2:53" s="216" customFormat="1" x14ac:dyDescent="0.3">
      <c r="B27" s="215"/>
      <c r="C27" s="215"/>
      <c r="D27" s="215"/>
      <c r="E27" s="215"/>
      <c r="F27" s="215"/>
      <c r="G27" s="215"/>
      <c r="H27" s="215"/>
      <c r="I27" s="215"/>
      <c r="J27" s="215"/>
      <c r="K27" s="215"/>
      <c r="L27" s="215"/>
      <c r="M27" s="215"/>
      <c r="N27" s="215"/>
      <c r="O27" s="215"/>
      <c r="P27" s="215"/>
      <c r="Q27" s="215"/>
      <c r="R27" s="215"/>
      <c r="S27" s="215"/>
      <c r="T27" s="215"/>
      <c r="U27" s="215"/>
      <c r="V27" s="215"/>
      <c r="W27" s="215"/>
      <c r="X27" s="215"/>
      <c r="Y27" s="215"/>
      <c r="Z27" s="215"/>
      <c r="AA27" s="215"/>
      <c r="AB27" s="215"/>
      <c r="AC27" s="215"/>
      <c r="AD27" s="215"/>
      <c r="AE27" s="215"/>
      <c r="AF27" s="215"/>
      <c r="AG27" s="215"/>
      <c r="AH27" s="215"/>
      <c r="AI27" s="215"/>
      <c r="AJ27" s="215"/>
      <c r="AK27" s="215"/>
      <c r="AL27" s="215"/>
      <c r="AM27" s="215"/>
      <c r="AN27" s="215"/>
      <c r="AO27" s="215"/>
      <c r="AP27" s="215"/>
      <c r="AQ27" s="215"/>
      <c r="AR27" s="215"/>
      <c r="AS27" s="215"/>
      <c r="AT27" s="215"/>
      <c r="AU27" s="215"/>
      <c r="AV27" s="215"/>
      <c r="AW27" s="215"/>
      <c r="AX27" s="215"/>
      <c r="AY27" s="215"/>
      <c r="AZ27" s="215"/>
      <c r="BA27" s="215"/>
    </row>
    <row r="28" spans="2:53" s="216" customFormat="1" x14ac:dyDescent="0.3">
      <c r="B28" s="215"/>
      <c r="C28" s="215"/>
      <c r="D28" s="215"/>
      <c r="E28" s="215"/>
      <c r="F28" s="215"/>
      <c r="G28" s="215"/>
      <c r="H28" s="215"/>
      <c r="I28" s="215"/>
      <c r="J28" s="215"/>
      <c r="K28" s="215"/>
      <c r="L28" s="215"/>
      <c r="M28" s="215"/>
      <c r="N28" s="215"/>
      <c r="O28" s="215"/>
      <c r="P28" s="215"/>
      <c r="Q28" s="215"/>
      <c r="R28" s="215"/>
      <c r="S28" s="215"/>
      <c r="T28" s="215"/>
      <c r="U28" s="215"/>
      <c r="V28" s="215"/>
      <c r="W28" s="215"/>
      <c r="X28" s="215"/>
      <c r="Y28" s="215"/>
      <c r="Z28" s="215"/>
      <c r="AA28" s="215"/>
      <c r="AB28" s="215"/>
      <c r="AC28" s="215"/>
      <c r="AD28" s="215"/>
      <c r="AE28" s="215"/>
      <c r="AF28" s="215"/>
      <c r="AG28" s="215"/>
      <c r="AH28" s="215"/>
      <c r="AI28" s="215"/>
      <c r="AJ28" s="215"/>
      <c r="AK28" s="215"/>
      <c r="AL28" s="215"/>
      <c r="AM28" s="215"/>
      <c r="AN28" s="215"/>
      <c r="AO28" s="215"/>
      <c r="AP28" s="215"/>
      <c r="AQ28" s="215"/>
      <c r="AR28" s="215"/>
      <c r="AS28" s="215"/>
      <c r="AT28" s="215"/>
      <c r="AU28" s="215"/>
      <c r="AV28" s="215"/>
      <c r="AW28" s="215"/>
      <c r="AX28" s="215"/>
      <c r="AY28" s="215"/>
      <c r="AZ28" s="215"/>
      <c r="BA28" s="215"/>
    </row>
    <row r="29" spans="2:53" s="216" customFormat="1" x14ac:dyDescent="0.3">
      <c r="B29" s="215"/>
      <c r="C29" s="215"/>
      <c r="D29" s="215"/>
      <c r="E29" s="215"/>
      <c r="F29" s="215"/>
      <c r="G29" s="215"/>
      <c r="H29" s="215"/>
      <c r="I29" s="215"/>
      <c r="J29" s="215"/>
      <c r="K29" s="215"/>
      <c r="L29" s="215"/>
      <c r="M29" s="215"/>
      <c r="N29" s="215"/>
      <c r="O29" s="215"/>
      <c r="P29" s="215"/>
      <c r="Q29" s="215"/>
      <c r="R29" s="215"/>
      <c r="S29" s="215"/>
      <c r="T29" s="215"/>
      <c r="U29" s="215"/>
      <c r="V29" s="215"/>
      <c r="W29" s="215"/>
      <c r="X29" s="215"/>
      <c r="Y29" s="215"/>
      <c r="Z29" s="215"/>
      <c r="AA29" s="215"/>
      <c r="AB29" s="215"/>
      <c r="AC29" s="215"/>
      <c r="AD29" s="215"/>
      <c r="AE29" s="215"/>
      <c r="AF29" s="215"/>
      <c r="AG29" s="215"/>
      <c r="AH29" s="215"/>
      <c r="AI29" s="215"/>
      <c r="AJ29" s="215"/>
      <c r="AK29" s="215"/>
      <c r="AL29" s="215"/>
      <c r="AM29" s="215"/>
      <c r="AN29" s="215"/>
      <c r="AO29" s="215"/>
      <c r="AP29" s="215"/>
      <c r="AQ29" s="215"/>
      <c r="AR29" s="215"/>
      <c r="AS29" s="215"/>
      <c r="AT29" s="215"/>
      <c r="AU29" s="215"/>
      <c r="AV29" s="215"/>
      <c r="AW29" s="215"/>
      <c r="AX29" s="215"/>
      <c r="AY29" s="215"/>
      <c r="AZ29" s="215"/>
      <c r="BA29" s="215"/>
    </row>
    <row r="30" spans="2:53" s="216" customFormat="1" x14ac:dyDescent="0.3"/>
    <row r="31" spans="2:53" s="216" customFormat="1" x14ac:dyDescent="0.3"/>
    <row r="32" spans="2:53" s="216" customFormat="1" x14ac:dyDescent="0.3"/>
    <row r="33" s="216" customFormat="1" x14ac:dyDescent="0.3"/>
    <row r="34" s="216" customFormat="1" x14ac:dyDescent="0.3"/>
    <row r="35" s="216" customFormat="1" x14ac:dyDescent="0.3"/>
    <row r="36" s="216" customFormat="1" x14ac:dyDescent="0.3"/>
    <row r="37" s="216" customFormat="1" x14ac:dyDescent="0.3"/>
    <row r="38" s="216" customFormat="1" x14ac:dyDescent="0.3"/>
    <row r="39" s="216" customFormat="1" x14ac:dyDescent="0.3"/>
    <row r="40" s="216" customFormat="1" x14ac:dyDescent="0.3"/>
    <row r="41" s="216" customFormat="1" x14ac:dyDescent="0.3"/>
    <row r="42" s="216" customFormat="1" x14ac:dyDescent="0.3"/>
    <row r="43" s="216" customFormat="1" x14ac:dyDescent="0.3"/>
    <row r="44" s="216" customFormat="1" x14ac:dyDescent="0.3"/>
    <row r="45" s="216" customFormat="1" x14ac:dyDescent="0.3"/>
    <row r="46" s="216" customFormat="1" x14ac:dyDescent="0.3"/>
    <row r="47" s="216" customFormat="1" x14ac:dyDescent="0.3"/>
    <row r="48" s="216" customFormat="1" x14ac:dyDescent="0.3"/>
    <row r="49" s="216" customFormat="1" x14ac:dyDescent="0.3"/>
    <row r="50" s="216" customFormat="1" x14ac:dyDescent="0.3"/>
    <row r="51" s="216" customFormat="1" x14ac:dyDescent="0.3"/>
    <row r="52" s="216" customFormat="1" x14ac:dyDescent="0.3"/>
    <row r="53" s="216" customFormat="1" x14ac:dyDescent="0.3"/>
    <row r="54" s="216" customFormat="1" x14ac:dyDescent="0.3"/>
    <row r="55" s="216" customFormat="1" x14ac:dyDescent="0.3"/>
    <row r="56" s="216" customFormat="1" x14ac:dyDescent="0.3"/>
    <row r="57" s="216" customFormat="1" x14ac:dyDescent="0.3"/>
    <row r="58" s="216" customFormat="1" x14ac:dyDescent="0.3"/>
    <row r="59" s="216" customFormat="1" x14ac:dyDescent="0.3"/>
    <row r="60" s="216" customFormat="1" x14ac:dyDescent="0.3"/>
    <row r="61" s="216" customFormat="1" x14ac:dyDescent="0.3"/>
    <row r="62" s="216" customFormat="1" x14ac:dyDescent="0.3"/>
    <row r="63" s="216" customFormat="1" x14ac:dyDescent="0.3"/>
    <row r="64" s="216" customFormat="1" x14ac:dyDescent="0.3"/>
    <row r="65" s="216" customFormat="1" x14ac:dyDescent="0.3"/>
    <row r="66" s="216" customFormat="1" x14ac:dyDescent="0.3"/>
    <row r="67" s="216" customFormat="1" x14ac:dyDescent="0.3"/>
    <row r="68" s="216" customFormat="1" x14ac:dyDescent="0.3"/>
    <row r="69" s="216" customFormat="1" x14ac:dyDescent="0.3"/>
    <row r="70" s="216" customFormat="1" x14ac:dyDescent="0.3"/>
    <row r="71" s="216" customFormat="1" x14ac:dyDescent="0.3"/>
    <row r="72" s="216" customFormat="1" x14ac:dyDescent="0.3"/>
    <row r="73" s="216" customFormat="1" x14ac:dyDescent="0.3"/>
    <row r="74" s="216" customFormat="1" x14ac:dyDescent="0.3"/>
    <row r="75" s="216" customFormat="1" x14ac:dyDescent="0.3"/>
    <row r="76" s="216" customFormat="1" x14ac:dyDescent="0.3"/>
    <row r="77" s="216" customFormat="1" x14ac:dyDescent="0.3"/>
    <row r="78" s="216" customFormat="1" x14ac:dyDescent="0.3"/>
    <row r="79" s="216" customFormat="1" x14ac:dyDescent="0.3"/>
    <row r="80" s="216" customFormat="1" x14ac:dyDescent="0.3"/>
    <row r="81" s="216" customFormat="1" x14ac:dyDescent="0.3"/>
    <row r="82" s="216" customFormat="1" x14ac:dyDescent="0.3"/>
    <row r="83" s="216" customFormat="1" x14ac:dyDescent="0.3"/>
    <row r="84" s="216" customFormat="1" x14ac:dyDescent="0.3"/>
    <row r="85" s="216" customFormat="1" x14ac:dyDescent="0.3"/>
    <row r="86" s="216" customFormat="1" x14ac:dyDescent="0.3"/>
    <row r="87" s="216" customFormat="1" x14ac:dyDescent="0.3"/>
    <row r="88" s="216" customFormat="1" x14ac:dyDescent="0.3"/>
    <row r="89" s="216" customFormat="1" x14ac:dyDescent="0.3"/>
    <row r="90" s="216" customFormat="1" x14ac:dyDescent="0.3"/>
    <row r="91" s="216" customFormat="1" x14ac:dyDescent="0.3"/>
    <row r="92" s="216" customFormat="1" x14ac:dyDescent="0.3"/>
    <row r="93" s="216" customFormat="1" x14ac:dyDescent="0.3"/>
    <row r="94" s="216" customFormat="1" x14ac:dyDescent="0.3"/>
    <row r="95" s="216" customFormat="1" x14ac:dyDescent="0.3"/>
    <row r="96" s="216" customFormat="1" x14ac:dyDescent="0.3"/>
    <row r="97" s="216" customFormat="1" x14ac:dyDescent="0.3"/>
    <row r="98" s="216" customFormat="1" x14ac:dyDescent="0.3"/>
    <row r="99" s="216" customFormat="1" x14ac:dyDescent="0.3"/>
    <row r="100" s="216" customFormat="1" x14ac:dyDescent="0.3"/>
    <row r="101" s="216" customFormat="1" x14ac:dyDescent="0.3"/>
    <row r="102" s="216" customFormat="1" x14ac:dyDescent="0.3"/>
    <row r="103" s="216" customFormat="1" x14ac:dyDescent="0.3"/>
    <row r="104" s="216" customFormat="1" x14ac:dyDescent="0.3"/>
    <row r="105" s="216" customFormat="1" x14ac:dyDescent="0.3"/>
    <row r="106" s="216" customFormat="1" x14ac:dyDescent="0.3"/>
    <row r="107" s="216" customFormat="1" x14ac:dyDescent="0.3"/>
    <row r="108" s="216" customFormat="1" x14ac:dyDescent="0.3"/>
    <row r="109" s="216" customFormat="1" x14ac:dyDescent="0.3"/>
    <row r="110" s="216" customFormat="1" x14ac:dyDescent="0.3"/>
    <row r="111" s="216" customFormat="1" x14ac:dyDescent="0.3"/>
    <row r="112" s="216" customFormat="1" x14ac:dyDescent="0.3"/>
    <row r="113" s="216" customFormat="1" x14ac:dyDescent="0.3"/>
    <row r="114" s="216" customFormat="1" x14ac:dyDescent="0.3"/>
    <row r="115" s="216" customFormat="1" x14ac:dyDescent="0.3"/>
    <row r="116" s="216" customFormat="1" x14ac:dyDescent="0.3"/>
    <row r="117" s="216" customFormat="1" x14ac:dyDescent="0.3"/>
    <row r="118" s="216" customFormat="1" x14ac:dyDescent="0.3"/>
    <row r="119" s="216" customFormat="1" x14ac:dyDescent="0.3"/>
    <row r="120" s="216" customFormat="1" x14ac:dyDescent="0.3"/>
    <row r="121" s="216" customFormat="1" x14ac:dyDescent="0.3"/>
    <row r="122" s="216" customFormat="1" x14ac:dyDescent="0.3"/>
    <row r="123" s="216" customFormat="1" x14ac:dyDescent="0.3"/>
    <row r="124" s="216" customFormat="1" x14ac:dyDescent="0.3"/>
    <row r="125" s="216" customFormat="1" x14ac:dyDescent="0.3"/>
    <row r="126" s="216" customFormat="1" x14ac:dyDescent="0.3"/>
    <row r="127" s="216" customFormat="1" x14ac:dyDescent="0.3"/>
    <row r="128" s="216" customFormat="1" x14ac:dyDescent="0.3"/>
    <row r="129" s="216" customFormat="1" x14ac:dyDescent="0.3"/>
    <row r="130" s="216" customFormat="1" x14ac:dyDescent="0.3"/>
    <row r="131" s="216" customFormat="1" x14ac:dyDescent="0.3"/>
    <row r="132" s="216" customFormat="1" x14ac:dyDescent="0.3"/>
    <row r="133" s="216" customFormat="1" x14ac:dyDescent="0.3"/>
    <row r="134" s="216" customFormat="1" x14ac:dyDescent="0.3"/>
    <row r="135" s="216" customFormat="1" x14ac:dyDescent="0.3"/>
    <row r="136" s="216" customFormat="1" x14ac:dyDescent="0.3"/>
    <row r="137" s="216" customFormat="1" x14ac:dyDescent="0.3"/>
    <row r="138" s="216" customFormat="1" x14ac:dyDescent="0.3"/>
    <row r="139" s="216" customFormat="1" x14ac:dyDescent="0.3"/>
    <row r="140" s="216" customFormat="1" x14ac:dyDescent="0.3"/>
    <row r="141" s="216" customFormat="1" x14ac:dyDescent="0.3"/>
    <row r="142" s="216" customFormat="1" x14ac:dyDescent="0.3"/>
    <row r="143" s="216" customFormat="1" x14ac:dyDescent="0.3"/>
    <row r="144" s="216" customFormat="1" x14ac:dyDescent="0.3"/>
    <row r="145" s="216" customFormat="1" x14ac:dyDescent="0.3"/>
    <row r="146" s="216" customFormat="1" x14ac:dyDescent="0.3"/>
    <row r="147" s="216" customFormat="1" x14ac:dyDescent="0.3"/>
    <row r="148" s="216" customFormat="1" x14ac:dyDescent="0.3"/>
    <row r="149" s="216" customFormat="1" x14ac:dyDescent="0.3"/>
    <row r="150" s="216" customFormat="1" x14ac:dyDescent="0.3"/>
    <row r="151" s="216" customFormat="1" x14ac:dyDescent="0.3"/>
    <row r="152" s="216" customFormat="1" x14ac:dyDescent="0.3"/>
    <row r="153" s="216" customFormat="1" x14ac:dyDescent="0.3"/>
    <row r="154" s="216" customFormat="1" x14ac:dyDescent="0.3"/>
    <row r="155" s="216" customFormat="1" x14ac:dyDescent="0.3"/>
    <row r="156" s="216" customFormat="1" x14ac:dyDescent="0.3"/>
    <row r="157" s="216" customFormat="1" x14ac:dyDescent="0.3"/>
    <row r="158" s="216" customFormat="1" x14ac:dyDescent="0.3"/>
    <row r="159" s="216" customFormat="1" x14ac:dyDescent="0.3"/>
    <row r="160" s="216" customFormat="1" x14ac:dyDescent="0.3"/>
    <row r="161" s="216" customFormat="1" x14ac:dyDescent="0.3"/>
    <row r="162" s="216" customFormat="1" x14ac:dyDescent="0.3"/>
    <row r="163" s="216" customFormat="1" x14ac:dyDescent="0.3"/>
    <row r="164" s="216" customFormat="1" x14ac:dyDescent="0.3"/>
    <row r="165" s="216" customFormat="1" x14ac:dyDescent="0.3"/>
    <row r="166" s="216" customFormat="1" x14ac:dyDescent="0.3"/>
    <row r="167" s="216" customFormat="1" x14ac:dyDescent="0.3"/>
    <row r="168" s="216" customFormat="1" x14ac:dyDescent="0.3"/>
    <row r="169" s="216" customFormat="1" x14ac:dyDescent="0.3"/>
    <row r="170" s="216" customFormat="1" x14ac:dyDescent="0.3"/>
    <row r="171" s="216" customFormat="1" x14ac:dyDescent="0.3"/>
    <row r="172" s="216" customFormat="1" x14ac:dyDescent="0.3"/>
    <row r="173" s="216" customFormat="1" x14ac:dyDescent="0.3"/>
    <row r="174" s="216" customFormat="1" x14ac:dyDescent="0.3"/>
    <row r="175" s="216" customFormat="1" x14ac:dyDescent="0.3"/>
    <row r="176" s="216" customFormat="1" x14ac:dyDescent="0.3"/>
    <row r="177" s="216" customFormat="1" x14ac:dyDescent="0.3"/>
    <row r="178" s="216" customFormat="1" x14ac:dyDescent="0.3"/>
    <row r="179" s="216" customFormat="1" x14ac:dyDescent="0.3"/>
    <row r="180" s="216" customFormat="1" x14ac:dyDescent="0.3"/>
    <row r="181" s="216" customFormat="1" x14ac:dyDescent="0.3"/>
    <row r="182" s="216" customFormat="1" x14ac:dyDescent="0.3"/>
    <row r="183" s="216" customFormat="1" x14ac:dyDescent="0.3"/>
    <row r="184" s="216" customFormat="1" x14ac:dyDescent="0.3"/>
    <row r="185" s="216" customFormat="1" x14ac:dyDescent="0.3"/>
    <row r="186" s="216" customFormat="1" x14ac:dyDescent="0.3"/>
    <row r="187" s="216" customFormat="1" x14ac:dyDescent="0.3"/>
    <row r="188" s="216" customFormat="1" x14ac:dyDescent="0.3"/>
    <row r="189" s="216" customFormat="1" x14ac:dyDescent="0.3"/>
    <row r="190" s="216" customFormat="1" x14ac:dyDescent="0.3"/>
    <row r="191" s="216" customFormat="1" x14ac:dyDescent="0.3"/>
    <row r="192" s="216" customFormat="1" x14ac:dyDescent="0.3"/>
    <row r="193" s="216" customFormat="1" x14ac:dyDescent="0.3"/>
    <row r="194" s="216" customFormat="1" x14ac:dyDescent="0.3"/>
    <row r="195" s="216" customFormat="1" x14ac:dyDescent="0.3"/>
    <row r="196" s="216" customFormat="1" x14ac:dyDescent="0.3"/>
    <row r="197" s="216" customFormat="1" x14ac:dyDescent="0.3"/>
    <row r="198" s="216" customFormat="1" x14ac:dyDescent="0.3"/>
    <row r="199" s="216" customFormat="1" x14ac:dyDescent="0.3"/>
    <row r="200" s="216" customFormat="1" x14ac:dyDescent="0.3"/>
    <row r="201" s="216" customFormat="1" x14ac:dyDescent="0.3"/>
    <row r="202" s="216" customFormat="1" x14ac:dyDescent="0.3"/>
    <row r="203" s="216" customFormat="1" x14ac:dyDescent="0.3"/>
    <row r="204" s="216" customFormat="1" x14ac:dyDescent="0.3"/>
    <row r="205" s="216" customFormat="1" x14ac:dyDescent="0.3"/>
    <row r="206" s="216" customFormat="1" x14ac:dyDescent="0.3"/>
    <row r="207" s="216" customFormat="1" x14ac:dyDescent="0.3"/>
    <row r="208" s="216" customFormat="1" x14ac:dyDescent="0.3"/>
    <row r="209" s="216" customFormat="1" x14ac:dyDescent="0.3"/>
    <row r="210" s="216" customFormat="1" x14ac:dyDescent="0.3"/>
    <row r="211" s="216" customFormat="1" x14ac:dyDescent="0.3"/>
    <row r="212" s="216" customFormat="1" x14ac:dyDescent="0.3"/>
    <row r="213" s="216" customFormat="1" x14ac:dyDescent="0.3"/>
    <row r="214" s="216" customFormat="1" x14ac:dyDescent="0.3"/>
    <row r="215" s="216" customFormat="1" x14ac:dyDescent="0.3"/>
    <row r="216" s="216" customFormat="1" x14ac:dyDescent="0.3"/>
    <row r="217" s="216" customFormat="1" x14ac:dyDescent="0.3"/>
    <row r="218" s="216" customFormat="1" x14ac:dyDescent="0.3"/>
    <row r="219" s="216" customFormat="1" x14ac:dyDescent="0.3"/>
    <row r="220" s="216" customFormat="1" x14ac:dyDescent="0.3"/>
    <row r="221" s="216" customFormat="1" x14ac:dyDescent="0.3"/>
    <row r="222" s="216" customFormat="1" x14ac:dyDescent="0.3"/>
    <row r="223" s="216" customFormat="1" x14ac:dyDescent="0.3"/>
    <row r="224" s="216" customFormat="1" x14ac:dyDescent="0.3"/>
    <row r="225" s="216" customFormat="1" x14ac:dyDescent="0.3"/>
    <row r="226" s="216" customFormat="1" x14ac:dyDescent="0.3"/>
    <row r="227" s="216" customFormat="1" x14ac:dyDescent="0.3"/>
    <row r="228" s="216" customFormat="1" x14ac:dyDescent="0.3"/>
    <row r="229" s="216" customFormat="1" x14ac:dyDescent="0.3"/>
    <row r="230" s="216" customFormat="1" x14ac:dyDescent="0.3"/>
    <row r="231" s="216" customFormat="1" x14ac:dyDescent="0.3"/>
    <row r="232" s="216" customFormat="1" x14ac:dyDescent="0.3"/>
    <row r="233" s="216" customFormat="1" x14ac:dyDescent="0.3"/>
    <row r="234" s="216" customFormat="1" x14ac:dyDescent="0.3"/>
    <row r="235" s="216" customFormat="1" x14ac:dyDescent="0.3"/>
    <row r="236" s="216" customFormat="1" x14ac:dyDescent="0.3"/>
    <row r="237" s="216" customFormat="1" x14ac:dyDescent="0.3"/>
    <row r="238" s="216" customFormat="1" x14ac:dyDescent="0.3"/>
    <row r="239" s="216" customFormat="1" x14ac:dyDescent="0.3"/>
    <row r="240" s="216" customFormat="1" x14ac:dyDescent="0.3"/>
    <row r="241" s="216" customFormat="1" x14ac:dyDescent="0.3"/>
    <row r="242" s="216" customFormat="1" x14ac:dyDescent="0.3"/>
    <row r="243" s="216" customFormat="1" x14ac:dyDescent="0.3"/>
    <row r="244" s="216" customFormat="1" x14ac:dyDescent="0.3"/>
    <row r="245" s="216" customFormat="1" x14ac:dyDescent="0.3"/>
    <row r="246" s="216" customFormat="1" x14ac:dyDescent="0.3"/>
    <row r="247" s="216" customFormat="1" x14ac:dyDescent="0.3"/>
    <row r="248" s="216" customFormat="1" x14ac:dyDescent="0.3"/>
    <row r="249" s="216" customFormat="1" x14ac:dyDescent="0.3"/>
    <row r="250" s="216" customFormat="1" x14ac:dyDescent="0.3"/>
    <row r="251" s="216" customFormat="1" x14ac:dyDescent="0.3"/>
    <row r="252" s="216" customFormat="1" x14ac:dyDescent="0.3"/>
    <row r="253" s="216" customFormat="1" x14ac:dyDescent="0.3"/>
    <row r="254" s="216" customFormat="1" x14ac:dyDescent="0.3"/>
    <row r="255" s="216" customFormat="1" x14ac:dyDescent="0.3"/>
    <row r="256" s="216" customFormat="1" x14ac:dyDescent="0.3"/>
    <row r="257" s="216" customFormat="1" x14ac:dyDescent="0.3"/>
    <row r="258" s="216" customFormat="1" x14ac:dyDescent="0.3"/>
    <row r="259" s="216" customFormat="1" x14ac:dyDescent="0.3"/>
    <row r="260" s="216" customFormat="1" x14ac:dyDescent="0.3"/>
    <row r="261" s="216" customFormat="1" x14ac:dyDescent="0.3"/>
    <row r="262" s="216" customFormat="1" x14ac:dyDescent="0.3"/>
    <row r="263" s="216" customFormat="1" x14ac:dyDescent="0.3"/>
    <row r="264" s="216" customFormat="1" x14ac:dyDescent="0.3"/>
    <row r="265" s="216" customFormat="1" x14ac:dyDescent="0.3"/>
    <row r="266" s="216" customFormat="1" x14ac:dyDescent="0.3"/>
    <row r="267" s="216" customFormat="1" x14ac:dyDescent="0.3"/>
    <row r="268" s="216" customFormat="1" x14ac:dyDescent="0.3"/>
    <row r="269" s="216" customFormat="1" x14ac:dyDescent="0.3"/>
    <row r="270" s="216" customFormat="1" x14ac:dyDescent="0.3"/>
    <row r="271" s="216" customFormat="1" x14ac:dyDescent="0.3"/>
    <row r="272" s="216" customFormat="1" x14ac:dyDescent="0.3"/>
    <row r="273" s="216" customFormat="1" x14ac:dyDescent="0.3"/>
    <row r="274" s="216" customFormat="1" x14ac:dyDescent="0.3"/>
    <row r="275" s="216" customFormat="1" x14ac:dyDescent="0.3"/>
    <row r="276" s="216" customFormat="1" x14ac:dyDescent="0.3"/>
    <row r="277" s="216" customFormat="1" x14ac:dyDescent="0.3"/>
    <row r="278" s="216" customFormat="1" x14ac:dyDescent="0.3"/>
    <row r="279" s="216" customFormat="1" x14ac:dyDescent="0.3"/>
    <row r="280" s="216" customFormat="1" x14ac:dyDescent="0.3"/>
    <row r="281" s="216" customFormat="1" x14ac:dyDescent="0.3"/>
    <row r="282" s="216" customFormat="1" x14ac:dyDescent="0.3"/>
    <row r="283" s="216" customFormat="1" x14ac:dyDescent="0.3"/>
    <row r="284" s="216" customFormat="1" x14ac:dyDescent="0.3"/>
    <row r="285" s="216" customFormat="1" x14ac:dyDescent="0.3"/>
    <row r="286" s="216" customFormat="1" x14ac:dyDescent="0.3"/>
    <row r="287" s="216" customFormat="1" x14ac:dyDescent="0.3"/>
    <row r="288" s="216" customFormat="1" x14ac:dyDescent="0.3"/>
    <row r="289" s="216" customFormat="1" x14ac:dyDescent="0.3"/>
    <row r="290" s="216" customFormat="1" x14ac:dyDescent="0.3"/>
    <row r="291" s="216" customFormat="1" x14ac:dyDescent="0.3"/>
    <row r="292" s="216" customFormat="1" x14ac:dyDescent="0.3"/>
    <row r="293" s="216" customFormat="1" x14ac:dyDescent="0.3"/>
    <row r="294" s="216" customFormat="1" x14ac:dyDescent="0.3"/>
    <row r="295" s="216" customFormat="1" x14ac:dyDescent="0.3"/>
    <row r="296" s="216" customFormat="1" x14ac:dyDescent="0.3"/>
    <row r="297" s="216" customFormat="1" x14ac:dyDescent="0.3"/>
    <row r="298" s="216" customFormat="1" x14ac:dyDescent="0.3"/>
    <row r="299" s="216" customFormat="1" x14ac:dyDescent="0.3"/>
    <row r="300" s="216" customFormat="1" x14ac:dyDescent="0.3"/>
    <row r="301" s="216" customFormat="1" x14ac:dyDescent="0.3"/>
    <row r="302" s="216" customFormat="1" x14ac:dyDescent="0.3"/>
    <row r="303" s="216" customFormat="1" x14ac:dyDescent="0.3"/>
    <row r="304" s="216" customFormat="1" x14ac:dyDescent="0.3"/>
    <row r="305" s="216" customFormat="1" x14ac:dyDescent="0.3"/>
    <row r="306" s="216" customFormat="1" x14ac:dyDescent="0.3"/>
    <row r="307" s="216" customFormat="1" x14ac:dyDescent="0.3"/>
    <row r="308" s="216" customFormat="1" x14ac:dyDescent="0.3"/>
    <row r="309" s="216" customFormat="1" x14ac:dyDescent="0.3"/>
    <row r="310" s="216" customFormat="1" x14ac:dyDescent="0.3"/>
    <row r="311" s="216" customFormat="1" x14ac:dyDescent="0.3"/>
    <row r="312" s="216" customFormat="1" x14ac:dyDescent="0.3"/>
    <row r="313" s="216" customFormat="1" x14ac:dyDescent="0.3"/>
    <row r="314" s="216" customFormat="1" x14ac:dyDescent="0.3"/>
    <row r="315" s="216" customFormat="1" x14ac:dyDescent="0.3"/>
    <row r="316" s="216" customFormat="1" x14ac:dyDescent="0.3"/>
    <row r="317" s="216" customFormat="1" x14ac:dyDescent="0.3"/>
    <row r="318" s="216" customFormat="1" x14ac:dyDescent="0.3"/>
    <row r="319" s="216" customFormat="1" x14ac:dyDescent="0.3"/>
    <row r="320" s="216" customFormat="1" x14ac:dyDescent="0.3"/>
    <row r="321" s="216" customFormat="1" x14ac:dyDescent="0.3"/>
    <row r="322" s="216" customFormat="1" x14ac:dyDescent="0.3"/>
    <row r="323" s="216" customFormat="1" x14ac:dyDescent="0.3"/>
    <row r="324" s="216" customFormat="1" x14ac:dyDescent="0.3"/>
    <row r="325" s="216" customFormat="1" x14ac:dyDescent="0.3"/>
    <row r="326" s="216" customFormat="1" x14ac:dyDescent="0.3"/>
    <row r="327" s="216" customFormat="1" x14ac:dyDescent="0.3"/>
    <row r="328" s="216" customFormat="1" x14ac:dyDescent="0.3"/>
    <row r="329" s="216" customFormat="1" x14ac:dyDescent="0.3"/>
    <row r="330" s="216" customFormat="1" x14ac:dyDescent="0.3"/>
    <row r="331" s="216" customFormat="1" x14ac:dyDescent="0.3"/>
    <row r="332" s="216" customFormat="1" x14ac:dyDescent="0.3"/>
    <row r="333" s="216" customFormat="1" x14ac:dyDescent="0.3"/>
    <row r="334" s="216" customFormat="1" x14ac:dyDescent="0.3"/>
    <row r="335" s="216" customFormat="1" x14ac:dyDescent="0.3"/>
    <row r="336" s="216" customFormat="1" x14ac:dyDescent="0.3"/>
    <row r="337" s="216" customFormat="1" x14ac:dyDescent="0.3"/>
    <row r="338" s="216" customFormat="1" x14ac:dyDescent="0.3"/>
    <row r="339" s="216" customFormat="1" x14ac:dyDescent="0.3"/>
    <row r="340" s="216" customFormat="1" x14ac:dyDescent="0.3"/>
    <row r="341" s="216" customFormat="1" x14ac:dyDescent="0.3"/>
    <row r="342" s="216" customFormat="1" x14ac:dyDescent="0.3"/>
    <row r="343" s="216" customFormat="1" x14ac:dyDescent="0.3"/>
    <row r="344" s="216" customFormat="1" x14ac:dyDescent="0.3"/>
    <row r="345" s="216" customFormat="1" x14ac:dyDescent="0.3"/>
    <row r="346" s="216" customFormat="1" x14ac:dyDescent="0.3"/>
    <row r="347" s="216" customFormat="1" x14ac:dyDescent="0.3"/>
    <row r="348" s="216" customFormat="1" x14ac:dyDescent="0.3"/>
    <row r="349" s="216" customFormat="1" x14ac:dyDescent="0.3"/>
    <row r="350" s="216" customFormat="1" x14ac:dyDescent="0.3"/>
    <row r="351" s="216" customFormat="1" x14ac:dyDescent="0.3"/>
    <row r="352" s="216" customFormat="1" x14ac:dyDescent="0.3"/>
    <row r="353" s="216" customFormat="1" x14ac:dyDescent="0.3"/>
    <row r="354" s="216" customFormat="1" x14ac:dyDescent="0.3"/>
    <row r="355" s="216" customFormat="1" x14ac:dyDescent="0.3"/>
    <row r="356" s="216" customFormat="1" x14ac:dyDescent="0.3"/>
    <row r="357" s="216" customFormat="1" x14ac:dyDescent="0.3"/>
    <row r="358" s="216" customFormat="1" x14ac:dyDescent="0.3"/>
    <row r="359" s="216" customFormat="1" x14ac:dyDescent="0.3"/>
    <row r="360" s="216" customFormat="1" x14ac:dyDescent="0.3"/>
    <row r="361" s="216" customFormat="1" x14ac:dyDescent="0.3"/>
    <row r="362" s="216" customFormat="1" x14ac:dyDescent="0.3"/>
    <row r="363" s="216" customFormat="1" x14ac:dyDescent="0.3"/>
    <row r="364" s="216" customFormat="1" x14ac:dyDescent="0.3"/>
    <row r="365" s="216" customFormat="1" x14ac:dyDescent="0.3"/>
    <row r="366" s="216" customFormat="1" x14ac:dyDescent="0.3"/>
    <row r="367" s="216" customFormat="1" x14ac:dyDescent="0.3"/>
    <row r="368" s="216" customFormat="1" x14ac:dyDescent="0.3"/>
    <row r="369" s="216" customFormat="1" x14ac:dyDescent="0.3"/>
    <row r="370" s="216" customFormat="1" x14ac:dyDescent="0.3"/>
    <row r="371" s="216" customFormat="1" x14ac:dyDescent="0.3"/>
    <row r="372" s="216" customFormat="1" x14ac:dyDescent="0.3"/>
    <row r="373" s="216" customFormat="1" x14ac:dyDescent="0.3"/>
    <row r="374" s="216" customFormat="1" x14ac:dyDescent="0.3"/>
    <row r="375" s="216" customFormat="1" x14ac:dyDescent="0.3"/>
    <row r="376" s="216" customFormat="1" x14ac:dyDescent="0.3"/>
    <row r="377" s="216" customFormat="1" x14ac:dyDescent="0.3"/>
    <row r="378" s="216" customFormat="1" x14ac:dyDescent="0.3"/>
    <row r="379" s="216" customFormat="1" x14ac:dyDescent="0.3"/>
    <row r="380" s="216" customFormat="1" x14ac:dyDescent="0.3"/>
    <row r="381" s="216" customFormat="1" x14ac:dyDescent="0.3"/>
    <row r="382" s="216" customFormat="1" x14ac:dyDescent="0.3"/>
    <row r="383" s="216" customFormat="1" x14ac:dyDescent="0.3"/>
    <row r="384" s="216" customFormat="1" x14ac:dyDescent="0.3"/>
    <row r="385" s="216" customFormat="1" x14ac:dyDescent="0.3"/>
    <row r="386" s="216" customFormat="1" x14ac:dyDescent="0.3"/>
    <row r="387" s="216" customFormat="1" x14ac:dyDescent="0.3"/>
    <row r="388" s="216" customFormat="1" x14ac:dyDescent="0.3"/>
    <row r="389" s="216" customFormat="1" x14ac:dyDescent="0.3"/>
    <row r="390" s="216" customFormat="1" x14ac:dyDescent="0.3"/>
    <row r="391" s="216" customFormat="1" x14ac:dyDescent="0.3"/>
    <row r="392" s="216" customFormat="1" x14ac:dyDescent="0.3"/>
    <row r="393" s="216" customFormat="1" x14ac:dyDescent="0.3"/>
    <row r="394" s="216" customFormat="1" x14ac:dyDescent="0.3"/>
    <row r="395" s="216" customFormat="1" x14ac:dyDescent="0.3"/>
    <row r="396" s="216" customFormat="1" x14ac:dyDescent="0.3"/>
    <row r="397" s="216" customFormat="1" x14ac:dyDescent="0.3"/>
    <row r="398" s="216" customFormat="1" x14ac:dyDescent="0.3"/>
    <row r="399" s="216" customFormat="1" x14ac:dyDescent="0.3"/>
    <row r="400" s="216" customFormat="1" x14ac:dyDescent="0.3"/>
    <row r="401" s="216" customFormat="1" x14ac:dyDescent="0.3"/>
    <row r="402" s="216" customFormat="1" x14ac:dyDescent="0.3"/>
    <row r="403" s="216" customFormat="1" x14ac:dyDescent="0.3"/>
    <row r="404" s="216" customFormat="1" x14ac:dyDescent="0.3"/>
    <row r="405" s="216" customFormat="1" x14ac:dyDescent="0.3"/>
    <row r="406" s="216" customFormat="1" x14ac:dyDescent="0.3"/>
    <row r="407" s="216" customFormat="1" x14ac:dyDescent="0.3"/>
    <row r="408" s="216" customFormat="1" x14ac:dyDescent="0.3"/>
    <row r="409" s="216" customFormat="1" x14ac:dyDescent="0.3"/>
    <row r="410" s="216" customFormat="1" x14ac:dyDescent="0.3"/>
    <row r="411" s="216" customFormat="1" x14ac:dyDescent="0.3"/>
    <row r="412" s="216" customFormat="1" x14ac:dyDescent="0.3"/>
    <row r="413" s="216" customFormat="1" x14ac:dyDescent="0.3"/>
    <row r="414" s="216" customFormat="1" x14ac:dyDescent="0.3"/>
    <row r="415" s="216" customFormat="1" x14ac:dyDescent="0.3"/>
    <row r="416" s="216" customFormat="1" x14ac:dyDescent="0.3"/>
    <row r="417" s="216" customFormat="1" x14ac:dyDescent="0.3"/>
    <row r="418" s="216" customFormat="1" x14ac:dyDescent="0.3"/>
    <row r="419" s="216" customFormat="1" x14ac:dyDescent="0.3"/>
    <row r="420" s="216" customFormat="1" x14ac:dyDescent="0.3"/>
    <row r="421" s="216" customFormat="1" x14ac:dyDescent="0.3"/>
    <row r="422" s="216" customFormat="1" x14ac:dyDescent="0.3"/>
    <row r="423" s="216" customFormat="1" x14ac:dyDescent="0.3"/>
    <row r="424" s="216" customFormat="1" x14ac:dyDescent="0.3"/>
    <row r="425" s="216" customFormat="1" x14ac:dyDescent="0.3"/>
    <row r="426" s="216" customFormat="1" x14ac:dyDescent="0.3"/>
    <row r="427" s="216" customFormat="1" x14ac:dyDescent="0.3"/>
    <row r="428" s="216" customFormat="1" x14ac:dyDescent="0.3"/>
    <row r="429" s="216" customFormat="1" x14ac:dyDescent="0.3"/>
    <row r="430" s="216" customFormat="1" x14ac:dyDescent="0.3"/>
    <row r="431" s="216" customFormat="1" x14ac:dyDescent="0.3"/>
    <row r="432" s="216" customFormat="1" x14ac:dyDescent="0.3"/>
    <row r="433" s="216" customFormat="1" x14ac:dyDescent="0.3"/>
    <row r="434" s="216" customFormat="1" x14ac:dyDescent="0.3"/>
    <row r="435" s="216" customFormat="1" x14ac:dyDescent="0.3"/>
    <row r="436" s="216" customFormat="1" x14ac:dyDescent="0.3"/>
    <row r="437" s="216" customFormat="1" x14ac:dyDescent="0.3"/>
    <row r="438" s="216" customFormat="1" x14ac:dyDescent="0.3"/>
    <row r="439" s="216" customFormat="1" x14ac:dyDescent="0.3"/>
    <row r="440" s="216" customFormat="1" x14ac:dyDescent="0.3"/>
    <row r="441" s="216" customFormat="1" x14ac:dyDescent="0.3"/>
    <row r="442" s="216" customFormat="1" x14ac:dyDescent="0.3"/>
    <row r="443" s="216" customFormat="1" x14ac:dyDescent="0.3"/>
    <row r="444" s="216" customFormat="1" x14ac:dyDescent="0.3"/>
    <row r="445" s="216" customFormat="1" x14ac:dyDescent="0.3"/>
    <row r="446" s="216" customFormat="1" x14ac:dyDescent="0.3"/>
    <row r="447" s="216" customFormat="1" x14ac:dyDescent="0.3"/>
    <row r="448" s="216" customFormat="1" x14ac:dyDescent="0.3"/>
    <row r="449" s="216" customFormat="1" x14ac:dyDescent="0.3"/>
    <row r="450" s="216" customFormat="1" x14ac:dyDescent="0.3"/>
    <row r="451" s="216" customFormat="1" x14ac:dyDescent="0.3"/>
    <row r="452" s="216" customFormat="1" x14ac:dyDescent="0.3"/>
    <row r="453" s="216" customFormat="1" x14ac:dyDescent="0.3"/>
    <row r="454" s="216" customFormat="1" x14ac:dyDescent="0.3"/>
    <row r="455" s="216" customFormat="1" x14ac:dyDescent="0.3"/>
    <row r="456" s="216" customFormat="1" x14ac:dyDescent="0.3"/>
    <row r="457" s="216" customFormat="1" x14ac:dyDescent="0.3"/>
    <row r="458" s="216" customFormat="1" x14ac:dyDescent="0.3"/>
    <row r="459" s="216" customFormat="1" x14ac:dyDescent="0.3"/>
    <row r="460" s="216" customFormat="1" x14ac:dyDescent="0.3"/>
    <row r="461" s="216" customFormat="1" x14ac:dyDescent="0.3"/>
    <row r="462" s="216" customFormat="1" x14ac:dyDescent="0.3"/>
    <row r="463" s="216" customFormat="1" x14ac:dyDescent="0.3"/>
    <row r="464" s="216" customFormat="1" x14ac:dyDescent="0.3"/>
    <row r="465" s="216" customFormat="1" x14ac:dyDescent="0.3"/>
    <row r="466" s="216" customFormat="1" x14ac:dyDescent="0.3"/>
    <row r="467" s="216" customFormat="1" x14ac:dyDescent="0.3"/>
    <row r="468" s="216" customFormat="1" x14ac:dyDescent="0.3"/>
    <row r="469" s="216" customFormat="1" x14ac:dyDescent="0.3"/>
    <row r="470" s="216" customFormat="1" x14ac:dyDescent="0.3"/>
    <row r="471" s="216" customFormat="1" x14ac:dyDescent="0.3"/>
    <row r="472" s="216" customFormat="1" x14ac:dyDescent="0.3"/>
    <row r="473" s="216" customFormat="1" x14ac:dyDescent="0.3"/>
    <row r="474" s="216" customFormat="1" x14ac:dyDescent="0.3"/>
    <row r="475" s="216" customFormat="1" x14ac:dyDescent="0.3"/>
    <row r="476" s="216" customFormat="1" x14ac:dyDescent="0.3"/>
    <row r="477" s="216" customFormat="1" x14ac:dyDescent="0.3"/>
    <row r="478" s="216" customFormat="1" x14ac:dyDescent="0.3"/>
    <row r="479" s="216" customFormat="1" x14ac:dyDescent="0.3"/>
    <row r="480" s="216" customFormat="1" x14ac:dyDescent="0.3"/>
    <row r="481" s="216" customFormat="1" x14ac:dyDescent="0.3"/>
    <row r="482" s="216" customFormat="1" x14ac:dyDescent="0.3"/>
    <row r="483" s="216" customFormat="1" x14ac:dyDescent="0.3"/>
    <row r="484" s="216" customFormat="1" x14ac:dyDescent="0.3"/>
    <row r="485" s="216" customFormat="1" x14ac:dyDescent="0.3"/>
    <row r="486" s="216" customFormat="1" x14ac:dyDescent="0.3"/>
    <row r="487" s="216" customFormat="1" x14ac:dyDescent="0.3"/>
    <row r="488" s="216" customFormat="1" x14ac:dyDescent="0.3"/>
    <row r="489" s="216" customFormat="1" x14ac:dyDescent="0.3"/>
    <row r="490" s="216" customFormat="1" x14ac:dyDescent="0.3"/>
    <row r="491" s="216" customFormat="1" x14ac:dyDescent="0.3"/>
    <row r="492" s="216" customFormat="1" x14ac:dyDescent="0.3"/>
    <row r="493" s="216" customFormat="1" x14ac:dyDescent="0.3"/>
    <row r="494" s="216" customFormat="1" x14ac:dyDescent="0.3"/>
    <row r="495" s="216" customFormat="1" x14ac:dyDescent="0.3"/>
    <row r="496" s="216" customFormat="1" x14ac:dyDescent="0.3"/>
    <row r="497" s="216" customFormat="1" x14ac:dyDescent="0.3"/>
    <row r="498" s="216" customFormat="1" x14ac:dyDescent="0.3"/>
    <row r="499" s="216" customFormat="1" x14ac:dyDescent="0.3"/>
    <row r="500" s="216" customFormat="1" x14ac:dyDescent="0.3"/>
    <row r="501" s="216" customFormat="1" x14ac:dyDescent="0.3"/>
    <row r="502" s="216" customFormat="1" x14ac:dyDescent="0.3"/>
    <row r="503" s="216" customFormat="1" x14ac:dyDescent="0.3"/>
    <row r="504" s="216" customFormat="1" x14ac:dyDescent="0.3"/>
    <row r="505" s="216" customFormat="1" x14ac:dyDescent="0.3"/>
    <row r="506" s="216" customFormat="1" x14ac:dyDescent="0.3"/>
    <row r="507" s="216" customFormat="1" x14ac:dyDescent="0.3"/>
    <row r="508" s="216" customFormat="1" x14ac:dyDescent="0.3"/>
    <row r="509" s="216" customFormat="1" x14ac:dyDescent="0.3"/>
    <row r="510" s="216" customFormat="1" x14ac:dyDescent="0.3"/>
    <row r="511" s="216" customFormat="1" x14ac:dyDescent="0.3"/>
    <row r="512" s="216" customFormat="1" x14ac:dyDescent="0.3"/>
    <row r="513" s="216" customFormat="1" x14ac:dyDescent="0.3"/>
    <row r="514" s="216" customFormat="1" x14ac:dyDescent="0.3"/>
    <row r="515" s="216" customFormat="1" x14ac:dyDescent="0.3"/>
    <row r="516" s="216" customFormat="1" x14ac:dyDescent="0.3"/>
    <row r="517" s="216" customFormat="1" x14ac:dyDescent="0.3"/>
    <row r="518" s="216" customFormat="1" x14ac:dyDescent="0.3"/>
    <row r="519" s="216" customFormat="1" x14ac:dyDescent="0.3"/>
    <row r="520" s="216" customFormat="1" x14ac:dyDescent="0.3"/>
    <row r="521" s="216" customFormat="1" x14ac:dyDescent="0.3"/>
    <row r="522" s="216" customFormat="1" x14ac:dyDescent="0.3"/>
    <row r="523" s="216" customFormat="1" x14ac:dyDescent="0.3"/>
    <row r="524" s="216" customFormat="1" x14ac:dyDescent="0.3"/>
    <row r="525" s="216" customFormat="1" x14ac:dyDescent="0.3"/>
    <row r="526" s="216" customFormat="1" x14ac:dyDescent="0.3"/>
    <row r="527" s="216" customFormat="1" x14ac:dyDescent="0.3"/>
    <row r="528" s="216" customFormat="1" x14ac:dyDescent="0.3"/>
    <row r="529" s="216" customFormat="1" x14ac:dyDescent="0.3"/>
    <row r="530" s="216" customFormat="1" x14ac:dyDescent="0.3"/>
    <row r="531" s="216" customFormat="1" x14ac:dyDescent="0.3"/>
    <row r="532" s="216" customFormat="1" x14ac:dyDescent="0.3"/>
    <row r="533" s="216" customFormat="1" x14ac:dyDescent="0.3"/>
    <row r="534" s="216" customFormat="1" x14ac:dyDescent="0.3"/>
    <row r="535" s="216" customFormat="1" x14ac:dyDescent="0.3"/>
    <row r="536" s="216" customFormat="1" x14ac:dyDescent="0.3"/>
    <row r="537" s="216" customFormat="1" x14ac:dyDescent="0.3"/>
    <row r="538" s="216" customFormat="1" x14ac:dyDescent="0.3"/>
    <row r="539" s="216" customFormat="1" x14ac:dyDescent="0.3"/>
    <row r="540" s="216" customFormat="1" x14ac:dyDescent="0.3"/>
    <row r="541" s="216" customFormat="1" x14ac:dyDescent="0.3"/>
    <row r="542" s="216" customFormat="1" x14ac:dyDescent="0.3"/>
    <row r="543" s="216" customFormat="1" x14ac:dyDescent="0.3"/>
    <row r="544" s="216" customFormat="1" x14ac:dyDescent="0.3"/>
    <row r="545" s="216" customFormat="1" x14ac:dyDescent="0.3"/>
    <row r="546" s="216" customFormat="1" x14ac:dyDescent="0.3"/>
    <row r="547" s="216" customFormat="1" x14ac:dyDescent="0.3"/>
    <row r="548" s="216" customFormat="1" x14ac:dyDescent="0.3"/>
    <row r="549" s="216" customFormat="1" x14ac:dyDescent="0.3"/>
    <row r="550" s="216" customFormat="1" x14ac:dyDescent="0.3"/>
    <row r="551" s="216" customFormat="1" x14ac:dyDescent="0.3"/>
    <row r="552" s="216" customFormat="1" x14ac:dyDescent="0.3"/>
    <row r="553" s="216" customFormat="1" x14ac:dyDescent="0.3"/>
    <row r="554" s="216" customFormat="1" x14ac:dyDescent="0.3"/>
    <row r="555" s="216" customFormat="1" x14ac:dyDescent="0.3"/>
    <row r="556" s="216" customFormat="1" x14ac:dyDescent="0.3"/>
    <row r="557" s="216" customFormat="1" x14ac:dyDescent="0.3"/>
    <row r="558" s="216" customFormat="1" x14ac:dyDescent="0.3"/>
    <row r="559" s="216" customFormat="1" x14ac:dyDescent="0.3"/>
    <row r="560" s="216" customFormat="1" x14ac:dyDescent="0.3"/>
    <row r="561" s="216" customFormat="1" x14ac:dyDescent="0.3"/>
    <row r="562" s="216" customFormat="1" x14ac:dyDescent="0.3"/>
    <row r="563" s="216" customFormat="1" x14ac:dyDescent="0.3"/>
    <row r="564" s="216" customFormat="1" x14ac:dyDescent="0.3"/>
    <row r="565" s="216" customFormat="1" x14ac:dyDescent="0.3"/>
    <row r="566" s="216" customFormat="1" x14ac:dyDescent="0.3"/>
    <row r="567" s="216" customFormat="1" x14ac:dyDescent="0.3"/>
    <row r="568" s="216" customFormat="1" x14ac:dyDescent="0.3"/>
    <row r="569" s="216" customFormat="1" x14ac:dyDescent="0.3"/>
    <row r="570" s="216" customFormat="1" x14ac:dyDescent="0.3"/>
    <row r="571" s="216" customFormat="1" x14ac:dyDescent="0.3"/>
    <row r="572" s="216" customFormat="1" x14ac:dyDescent="0.3"/>
    <row r="573" s="216" customFormat="1" x14ac:dyDescent="0.3"/>
    <row r="574" s="216" customFormat="1" x14ac:dyDescent="0.3"/>
    <row r="575" s="216" customFormat="1" x14ac:dyDescent="0.3"/>
    <row r="576" s="216" customFormat="1" x14ac:dyDescent="0.3"/>
    <row r="577" s="216" customFormat="1" x14ac:dyDescent="0.3"/>
    <row r="578" s="216" customFormat="1" x14ac:dyDescent="0.3"/>
    <row r="579" s="216" customFormat="1" x14ac:dyDescent="0.3"/>
    <row r="580" s="216" customFormat="1" x14ac:dyDescent="0.3"/>
    <row r="581" s="216" customFormat="1" x14ac:dyDescent="0.3"/>
    <row r="582" s="216" customFormat="1" x14ac:dyDescent="0.3"/>
    <row r="583" s="216" customFormat="1" x14ac:dyDescent="0.3"/>
    <row r="584" s="216" customFormat="1" x14ac:dyDescent="0.3"/>
    <row r="585" s="216" customFormat="1" x14ac:dyDescent="0.3"/>
    <row r="586" s="216" customFormat="1" x14ac:dyDescent="0.3"/>
    <row r="587" s="216" customFormat="1" x14ac:dyDescent="0.3"/>
    <row r="588" s="216" customFormat="1" x14ac:dyDescent="0.3"/>
    <row r="589" s="216" customFormat="1" x14ac:dyDescent="0.3"/>
    <row r="590" s="216" customFormat="1" x14ac:dyDescent="0.3"/>
    <row r="591" s="216" customFormat="1" x14ac:dyDescent="0.3"/>
    <row r="592" s="216" customFormat="1" x14ac:dyDescent="0.3"/>
    <row r="593" s="216" customFormat="1" x14ac:dyDescent="0.3"/>
    <row r="594" s="216" customFormat="1" x14ac:dyDescent="0.3"/>
    <row r="595" s="216" customFormat="1" x14ac:dyDescent="0.3"/>
    <row r="596" s="216" customFormat="1" x14ac:dyDescent="0.3"/>
    <row r="597" s="216" customFormat="1" x14ac:dyDescent="0.3"/>
    <row r="598" s="216" customFormat="1" x14ac:dyDescent="0.3"/>
    <row r="599" s="216" customFormat="1" x14ac:dyDescent="0.3"/>
    <row r="600" s="216" customFormat="1" x14ac:dyDescent="0.3"/>
    <row r="601" s="216" customFormat="1" x14ac:dyDescent="0.3"/>
    <row r="602" s="216" customFormat="1" x14ac:dyDescent="0.3"/>
    <row r="603" s="216" customFormat="1" x14ac:dyDescent="0.3"/>
    <row r="604" s="216" customFormat="1" x14ac:dyDescent="0.3"/>
    <row r="605" s="216" customFormat="1" x14ac:dyDescent="0.3"/>
    <row r="606" s="216" customFormat="1" x14ac:dyDescent="0.3"/>
    <row r="607" s="216" customFormat="1" x14ac:dyDescent="0.3"/>
    <row r="608" s="216" customFormat="1" x14ac:dyDescent="0.3"/>
    <row r="609" s="216" customFormat="1" x14ac:dyDescent="0.3"/>
    <row r="610" s="216" customFormat="1" x14ac:dyDescent="0.3"/>
    <row r="611" s="216" customFormat="1" x14ac:dyDescent="0.3"/>
    <row r="612" s="216" customFormat="1" x14ac:dyDescent="0.3"/>
    <row r="613" s="216" customFormat="1" x14ac:dyDescent="0.3"/>
    <row r="614" s="216" customFormat="1" x14ac:dyDescent="0.3"/>
    <row r="615" s="216" customFormat="1" x14ac:dyDescent="0.3"/>
    <row r="616" s="216" customFormat="1" x14ac:dyDescent="0.3"/>
    <row r="617" s="216" customFormat="1" x14ac:dyDescent="0.3"/>
    <row r="618" s="216" customFormat="1" x14ac:dyDescent="0.3"/>
    <row r="619" s="216" customFormat="1" x14ac:dyDescent="0.3"/>
    <row r="620" s="216" customFormat="1" x14ac:dyDescent="0.3"/>
    <row r="621" s="216" customFormat="1" x14ac:dyDescent="0.3"/>
    <row r="622" s="216" customFormat="1" x14ac:dyDescent="0.3"/>
    <row r="623" s="216" customFormat="1" x14ac:dyDescent="0.3"/>
    <row r="624" s="216" customFormat="1" x14ac:dyDescent="0.3"/>
    <row r="625" s="216" customFormat="1" x14ac:dyDescent="0.3"/>
    <row r="626" s="216" customFormat="1" x14ac:dyDescent="0.3"/>
    <row r="627" s="216" customFormat="1" x14ac:dyDescent="0.3"/>
    <row r="628" s="216" customFormat="1" x14ac:dyDescent="0.3"/>
    <row r="629" s="216" customFormat="1" x14ac:dyDescent="0.3"/>
    <row r="630" s="216" customFormat="1" x14ac:dyDescent="0.3"/>
    <row r="631" s="216" customFormat="1" x14ac:dyDescent="0.3"/>
    <row r="632" s="216" customFormat="1" x14ac:dyDescent="0.3"/>
    <row r="633" s="216" customFormat="1" x14ac:dyDescent="0.3"/>
    <row r="634" s="216" customFormat="1" x14ac:dyDescent="0.3"/>
    <row r="635" s="216" customFormat="1" x14ac:dyDescent="0.3"/>
    <row r="636" s="216" customFormat="1" x14ac:dyDescent="0.3"/>
    <row r="637" s="216" customFormat="1" x14ac:dyDescent="0.3"/>
    <row r="638" s="216" customFormat="1" x14ac:dyDescent="0.3"/>
    <row r="639" s="216" customFormat="1" x14ac:dyDescent="0.3"/>
    <row r="640" s="216" customFormat="1" x14ac:dyDescent="0.3"/>
    <row r="641" s="216" customFormat="1" x14ac:dyDescent="0.3"/>
    <row r="642" s="216" customFormat="1" x14ac:dyDescent="0.3"/>
    <row r="643" s="216" customFormat="1" x14ac:dyDescent="0.3"/>
    <row r="644" s="216" customFormat="1" x14ac:dyDescent="0.3"/>
    <row r="645" s="216" customFormat="1" x14ac:dyDescent="0.3"/>
    <row r="646" s="216" customFormat="1" x14ac:dyDescent="0.3"/>
    <row r="647" s="216" customFormat="1" x14ac:dyDescent="0.3"/>
    <row r="648" s="216" customFormat="1" x14ac:dyDescent="0.3"/>
    <row r="649" s="216" customFormat="1" x14ac:dyDescent="0.3"/>
    <row r="650" s="216" customFormat="1" x14ac:dyDescent="0.3"/>
    <row r="651" s="216" customFormat="1" x14ac:dyDescent="0.3"/>
    <row r="652" s="216" customFormat="1" x14ac:dyDescent="0.3"/>
    <row r="653" s="216" customFormat="1" x14ac:dyDescent="0.3"/>
    <row r="654" s="216" customFormat="1" x14ac:dyDescent="0.3"/>
    <row r="655" s="216" customFormat="1" x14ac:dyDescent="0.3"/>
    <row r="656" s="216" customFormat="1" x14ac:dyDescent="0.3"/>
    <row r="657" s="216" customFormat="1" x14ac:dyDescent="0.3"/>
    <row r="658" s="216" customFormat="1" x14ac:dyDescent="0.3"/>
    <row r="659" s="216" customFormat="1" x14ac:dyDescent="0.3"/>
    <row r="660" s="216" customFormat="1" x14ac:dyDescent="0.3"/>
    <row r="661" s="216" customFormat="1" x14ac:dyDescent="0.3"/>
    <row r="662" s="216" customFormat="1" x14ac:dyDescent="0.3"/>
    <row r="663" s="216" customFormat="1" x14ac:dyDescent="0.3"/>
    <row r="664" s="216" customFormat="1" x14ac:dyDescent="0.3"/>
    <row r="665" s="216" customFormat="1" x14ac:dyDescent="0.3"/>
    <row r="666" s="216" customFormat="1" x14ac:dyDescent="0.3"/>
    <row r="667" s="216" customFormat="1" x14ac:dyDescent="0.3"/>
    <row r="668" s="216" customFormat="1" x14ac:dyDescent="0.3"/>
    <row r="669" s="216" customFormat="1" x14ac:dyDescent="0.3"/>
    <row r="670" s="216" customFormat="1" x14ac:dyDescent="0.3"/>
    <row r="671" s="216" customFormat="1" x14ac:dyDescent="0.3"/>
    <row r="672" s="216" customFormat="1" x14ac:dyDescent="0.3"/>
    <row r="673" s="216" customFormat="1" x14ac:dyDescent="0.3"/>
    <row r="674" s="216" customFormat="1" x14ac:dyDescent="0.3"/>
    <row r="675" s="216" customFormat="1" x14ac:dyDescent="0.3"/>
    <row r="676" s="216" customFormat="1" x14ac:dyDescent="0.3"/>
    <row r="677" s="216" customFormat="1" x14ac:dyDescent="0.3"/>
    <row r="678" s="216" customFormat="1" x14ac:dyDescent="0.3"/>
    <row r="679" s="216" customFormat="1" x14ac:dyDescent="0.3"/>
    <row r="680" s="216" customFormat="1" x14ac:dyDescent="0.3"/>
    <row r="681" s="216" customFormat="1" x14ac:dyDescent="0.3"/>
    <row r="682" s="216" customFormat="1" x14ac:dyDescent="0.3"/>
    <row r="683" s="216" customFormat="1" x14ac:dyDescent="0.3"/>
    <row r="684" s="216" customFormat="1" x14ac:dyDescent="0.3"/>
    <row r="685" s="216" customFormat="1" x14ac:dyDescent="0.3"/>
    <row r="686" s="216" customFormat="1" x14ac:dyDescent="0.3"/>
    <row r="687" s="216" customFormat="1" x14ac:dyDescent="0.3"/>
    <row r="688" s="216" customFormat="1" x14ac:dyDescent="0.3"/>
    <row r="689" s="216" customFormat="1" x14ac:dyDescent="0.3"/>
    <row r="690" s="216" customFormat="1" x14ac:dyDescent="0.3"/>
    <row r="691" s="216" customFormat="1" x14ac:dyDescent="0.3"/>
    <row r="692" s="216" customFormat="1" x14ac:dyDescent="0.3"/>
    <row r="693" s="216" customFormat="1" x14ac:dyDescent="0.3"/>
    <row r="694" s="216" customFormat="1" x14ac:dyDescent="0.3"/>
    <row r="695" s="216" customFormat="1" x14ac:dyDescent="0.3"/>
    <row r="696" s="216" customFormat="1" x14ac:dyDescent="0.3"/>
    <row r="697" s="216" customFormat="1" x14ac:dyDescent="0.3"/>
    <row r="698" s="216" customFormat="1" x14ac:dyDescent="0.3"/>
    <row r="699" s="216" customFormat="1" x14ac:dyDescent="0.3"/>
    <row r="700" s="216" customFormat="1" x14ac:dyDescent="0.3"/>
    <row r="701" s="216" customFormat="1" x14ac:dyDescent="0.3"/>
    <row r="702" s="216" customFormat="1" x14ac:dyDescent="0.3"/>
    <row r="703" s="216" customFormat="1" x14ac:dyDescent="0.3"/>
    <row r="704" s="216" customFormat="1" x14ac:dyDescent="0.3"/>
    <row r="705" s="216" customFormat="1" x14ac:dyDescent="0.3"/>
    <row r="706" s="216" customFormat="1" x14ac:dyDescent="0.3"/>
    <row r="707" s="216" customFormat="1" x14ac:dyDescent="0.3"/>
    <row r="708" s="216" customFormat="1" x14ac:dyDescent="0.3"/>
    <row r="709" s="216" customFormat="1" x14ac:dyDescent="0.3"/>
    <row r="710" s="216" customFormat="1" x14ac:dyDescent="0.3"/>
    <row r="711" s="216" customFormat="1" x14ac:dyDescent="0.3"/>
    <row r="712" s="216" customFormat="1" x14ac:dyDescent="0.3"/>
    <row r="713" s="216" customFormat="1" x14ac:dyDescent="0.3"/>
    <row r="714" s="216" customFormat="1" x14ac:dyDescent="0.3"/>
    <row r="715" s="216" customFormat="1" x14ac:dyDescent="0.3"/>
    <row r="716" s="216" customFormat="1" x14ac:dyDescent="0.3"/>
    <row r="717" s="216" customFormat="1" x14ac:dyDescent="0.3"/>
    <row r="718" s="216" customFormat="1" x14ac:dyDescent="0.3"/>
    <row r="719" s="216" customFormat="1" x14ac:dyDescent="0.3"/>
    <row r="720" s="216" customFormat="1" x14ac:dyDescent="0.3"/>
    <row r="721" s="216" customFormat="1" x14ac:dyDescent="0.3"/>
    <row r="722" s="216" customFormat="1" x14ac:dyDescent="0.3"/>
    <row r="723" s="216" customFormat="1" x14ac:dyDescent="0.3"/>
    <row r="724" s="216" customFormat="1" x14ac:dyDescent="0.3"/>
    <row r="725" s="216" customFormat="1" x14ac:dyDescent="0.3"/>
    <row r="726" s="216" customFormat="1" x14ac:dyDescent="0.3"/>
    <row r="727" s="216" customFormat="1" x14ac:dyDescent="0.3"/>
    <row r="728" s="216" customFormat="1" x14ac:dyDescent="0.3"/>
    <row r="729" s="216" customFormat="1" x14ac:dyDescent="0.3"/>
    <row r="730" s="216" customFormat="1" x14ac:dyDescent="0.3"/>
    <row r="731" s="216" customFormat="1" x14ac:dyDescent="0.3"/>
    <row r="732" s="216" customFormat="1" x14ac:dyDescent="0.3"/>
    <row r="733" s="216" customFormat="1" x14ac:dyDescent="0.3"/>
    <row r="734" s="216" customFormat="1" x14ac:dyDescent="0.3"/>
    <row r="735" s="216" customFormat="1" x14ac:dyDescent="0.3"/>
    <row r="736" s="216" customFormat="1" x14ac:dyDescent="0.3"/>
    <row r="737" s="216" customFormat="1" x14ac:dyDescent="0.3"/>
    <row r="738" s="216" customFormat="1" x14ac:dyDescent="0.3"/>
    <row r="739" s="216" customFormat="1" x14ac:dyDescent="0.3"/>
    <row r="740" s="216" customFormat="1" x14ac:dyDescent="0.3"/>
    <row r="741" s="216" customFormat="1" x14ac:dyDescent="0.3"/>
    <row r="742" s="216" customFormat="1" x14ac:dyDescent="0.3"/>
    <row r="743" s="216" customFormat="1" x14ac:dyDescent="0.3"/>
    <row r="744" s="216" customFormat="1" x14ac:dyDescent="0.3"/>
    <row r="745" s="216" customFormat="1" x14ac:dyDescent="0.3"/>
    <row r="746" s="216" customFormat="1" x14ac:dyDescent="0.3"/>
    <row r="747" s="216" customFormat="1" x14ac:dyDescent="0.3"/>
    <row r="748" s="216" customFormat="1" x14ac:dyDescent="0.3"/>
    <row r="749" s="216" customFormat="1" x14ac:dyDescent="0.3"/>
    <row r="750" s="216" customFormat="1" x14ac:dyDescent="0.3"/>
    <row r="751" s="216" customFormat="1" x14ac:dyDescent="0.3"/>
    <row r="752" s="216" customFormat="1" x14ac:dyDescent="0.3"/>
    <row r="753" s="216" customFormat="1" x14ac:dyDescent="0.3"/>
    <row r="754" s="216" customFormat="1" x14ac:dyDescent="0.3"/>
    <row r="755" s="216" customFormat="1" x14ac:dyDescent="0.3"/>
    <row r="756" s="216" customFormat="1" x14ac:dyDescent="0.3"/>
    <row r="757" s="216" customFormat="1" x14ac:dyDescent="0.3"/>
    <row r="758" s="216" customFormat="1" x14ac:dyDescent="0.3"/>
    <row r="759" s="216" customFormat="1" x14ac:dyDescent="0.3"/>
    <row r="760" s="216" customFormat="1" x14ac:dyDescent="0.3"/>
    <row r="761" s="216" customFormat="1" x14ac:dyDescent="0.3"/>
    <row r="762" s="216" customFormat="1" x14ac:dyDescent="0.3"/>
    <row r="763" s="216" customFormat="1" x14ac:dyDescent="0.3"/>
    <row r="764" s="216" customFormat="1" x14ac:dyDescent="0.3"/>
    <row r="765" s="216" customFormat="1" x14ac:dyDescent="0.3"/>
    <row r="766" s="216" customFormat="1" x14ac:dyDescent="0.3"/>
    <row r="767" s="216" customFormat="1" x14ac:dyDescent="0.3"/>
    <row r="768" s="216" customFormat="1" x14ac:dyDescent="0.3"/>
    <row r="769" s="216" customFormat="1" x14ac:dyDescent="0.3"/>
    <row r="770" s="216" customFormat="1" x14ac:dyDescent="0.3"/>
    <row r="771" s="216" customFormat="1" x14ac:dyDescent="0.3"/>
    <row r="772" s="216" customFormat="1" x14ac:dyDescent="0.3"/>
    <row r="773" s="216" customFormat="1" x14ac:dyDescent="0.3"/>
    <row r="774" s="216" customFormat="1" x14ac:dyDescent="0.3"/>
    <row r="775" s="216" customFormat="1" x14ac:dyDescent="0.3"/>
    <row r="776" s="216" customFormat="1" x14ac:dyDescent="0.3"/>
    <row r="777" s="216" customFormat="1" x14ac:dyDescent="0.3"/>
    <row r="778" s="216" customFormat="1" x14ac:dyDescent="0.3"/>
    <row r="779" s="216" customFormat="1" x14ac:dyDescent="0.3"/>
    <row r="780" s="216" customFormat="1" x14ac:dyDescent="0.3"/>
    <row r="781" s="216" customFormat="1" x14ac:dyDescent="0.3"/>
    <row r="782" s="216" customFormat="1" x14ac:dyDescent="0.3"/>
    <row r="783" s="216" customFormat="1" x14ac:dyDescent="0.3"/>
    <row r="784" s="216" customFormat="1" x14ac:dyDescent="0.3"/>
    <row r="785" s="216" customFormat="1" x14ac:dyDescent="0.3"/>
    <row r="786" s="216" customFormat="1" x14ac:dyDescent="0.3"/>
    <row r="787" s="216" customFormat="1" x14ac:dyDescent="0.3"/>
    <row r="788" s="216" customFormat="1" x14ac:dyDescent="0.3"/>
    <row r="789" s="216" customFormat="1" x14ac:dyDescent="0.3"/>
    <row r="790" s="216" customFormat="1" x14ac:dyDescent="0.3"/>
    <row r="791" s="216" customFormat="1" x14ac:dyDescent="0.3"/>
    <row r="792" s="216" customFormat="1" x14ac:dyDescent="0.3"/>
    <row r="793" s="216" customFormat="1" x14ac:dyDescent="0.3"/>
    <row r="794" s="216" customFormat="1" x14ac:dyDescent="0.3"/>
    <row r="795" s="216" customFormat="1" x14ac:dyDescent="0.3"/>
    <row r="796" s="216" customFormat="1" x14ac:dyDescent="0.3"/>
    <row r="797" s="216" customFormat="1" x14ac:dyDescent="0.3"/>
    <row r="798" s="216" customFormat="1" x14ac:dyDescent="0.3"/>
    <row r="799" s="216" customFormat="1" x14ac:dyDescent="0.3"/>
    <row r="800" s="216" customFormat="1" x14ac:dyDescent="0.3"/>
    <row r="801" s="216" customFormat="1" x14ac:dyDescent="0.3"/>
    <row r="802" s="216" customFormat="1" x14ac:dyDescent="0.3"/>
    <row r="803" s="216" customFormat="1" x14ac:dyDescent="0.3"/>
    <row r="804" s="216" customFormat="1" x14ac:dyDescent="0.3"/>
    <row r="805" s="216" customFormat="1" x14ac:dyDescent="0.3"/>
    <row r="806" s="216" customFormat="1" x14ac:dyDescent="0.3"/>
    <row r="807" s="216" customFormat="1" x14ac:dyDescent="0.3"/>
    <row r="808" s="216" customFormat="1" x14ac:dyDescent="0.3"/>
    <row r="809" s="216" customFormat="1" x14ac:dyDescent="0.3"/>
    <row r="810" s="216" customFormat="1" x14ac:dyDescent="0.3"/>
    <row r="811" s="216" customFormat="1" x14ac:dyDescent="0.3"/>
    <row r="812" s="216" customFormat="1" x14ac:dyDescent="0.3"/>
    <row r="813" s="216" customFormat="1" x14ac:dyDescent="0.3"/>
    <row r="814" s="216" customFormat="1" x14ac:dyDescent="0.3"/>
    <row r="815" s="216" customFormat="1" x14ac:dyDescent="0.3"/>
    <row r="816" s="216" customFormat="1" x14ac:dyDescent="0.3"/>
    <row r="817" s="216" customFormat="1" x14ac:dyDescent="0.3"/>
    <row r="818" s="216" customFormat="1" x14ac:dyDescent="0.3"/>
    <row r="819" s="216" customFormat="1" x14ac:dyDescent="0.3"/>
    <row r="820" s="216" customFormat="1" x14ac:dyDescent="0.3"/>
    <row r="821" s="216" customFormat="1" x14ac:dyDescent="0.3"/>
    <row r="822" s="216" customFormat="1" x14ac:dyDescent="0.3"/>
    <row r="823" s="216" customFormat="1" x14ac:dyDescent="0.3"/>
    <row r="824" s="216" customFormat="1" x14ac:dyDescent="0.3"/>
    <row r="825" s="216" customFormat="1" x14ac:dyDescent="0.3"/>
    <row r="826" s="216" customFormat="1" x14ac:dyDescent="0.3"/>
    <row r="827" s="216" customFormat="1" x14ac:dyDescent="0.3"/>
    <row r="828" s="216" customFormat="1" x14ac:dyDescent="0.3"/>
    <row r="829" s="216" customFormat="1" x14ac:dyDescent="0.3"/>
    <row r="830" s="216" customFormat="1" x14ac:dyDescent="0.3"/>
    <row r="831" s="216" customFormat="1" x14ac:dyDescent="0.3"/>
    <row r="832" s="216" customFormat="1" x14ac:dyDescent="0.3"/>
    <row r="833" s="216" customFormat="1" x14ac:dyDescent="0.3"/>
    <row r="834" s="216" customFormat="1" x14ac:dyDescent="0.3"/>
    <row r="835" s="216" customFormat="1" x14ac:dyDescent="0.3"/>
    <row r="836" s="216" customFormat="1" x14ac:dyDescent="0.3"/>
    <row r="837" s="216" customFormat="1" x14ac:dyDescent="0.3"/>
    <row r="838" s="216" customFormat="1" x14ac:dyDescent="0.3"/>
    <row r="839" s="216" customFormat="1" x14ac:dyDescent="0.3"/>
    <row r="840" s="216" customFormat="1" x14ac:dyDescent="0.3"/>
    <row r="841" s="216" customFormat="1" x14ac:dyDescent="0.3"/>
    <row r="842" s="216" customFormat="1" x14ac:dyDescent="0.3"/>
    <row r="843" s="216" customFormat="1" x14ac:dyDescent="0.3"/>
    <row r="844" s="216" customFormat="1" x14ac:dyDescent="0.3"/>
    <row r="845" s="216" customFormat="1" x14ac:dyDescent="0.3"/>
    <row r="846" s="216" customFormat="1" x14ac:dyDescent="0.3"/>
    <row r="847" s="216" customFormat="1" x14ac:dyDescent="0.3"/>
    <row r="848" s="216" customFormat="1" x14ac:dyDescent="0.3"/>
    <row r="849" s="216" customFormat="1" x14ac:dyDescent="0.3"/>
    <row r="850" s="216" customFormat="1" x14ac:dyDescent="0.3"/>
    <row r="851" s="216" customFormat="1" x14ac:dyDescent="0.3"/>
    <row r="852" s="216" customFormat="1" x14ac:dyDescent="0.3"/>
    <row r="853" s="216" customFormat="1" x14ac:dyDescent="0.3"/>
    <row r="854" s="216" customFormat="1" x14ac:dyDescent="0.3"/>
    <row r="855" s="216" customFormat="1" x14ac:dyDescent="0.3"/>
    <row r="856" s="216" customFormat="1" x14ac:dyDescent="0.3"/>
    <row r="857" s="216" customFormat="1" x14ac:dyDescent="0.3"/>
    <row r="858" s="216" customFormat="1" x14ac:dyDescent="0.3"/>
    <row r="859" s="216" customFormat="1" x14ac:dyDescent="0.3"/>
    <row r="860" s="216" customFormat="1" x14ac:dyDescent="0.3"/>
    <row r="861" s="216" customFormat="1" x14ac:dyDescent="0.3"/>
    <row r="862" s="216" customFormat="1" x14ac:dyDescent="0.3"/>
    <row r="863" s="216" customFormat="1" x14ac:dyDescent="0.3"/>
    <row r="864" s="216" customFormat="1" x14ac:dyDescent="0.3"/>
    <row r="865" s="216" customFormat="1" x14ac:dyDescent="0.3"/>
    <row r="866" s="216" customFormat="1" x14ac:dyDescent="0.3"/>
    <row r="867" s="216" customFormat="1" x14ac:dyDescent="0.3"/>
    <row r="868" s="216" customFormat="1" x14ac:dyDescent="0.3"/>
    <row r="869" s="216" customFormat="1" x14ac:dyDescent="0.3"/>
    <row r="870" s="216" customFormat="1" x14ac:dyDescent="0.3"/>
    <row r="871" s="216" customFormat="1" x14ac:dyDescent="0.3"/>
    <row r="872" s="216" customFormat="1" x14ac:dyDescent="0.3"/>
    <row r="873" s="216" customFormat="1" x14ac:dyDescent="0.3"/>
    <row r="874" s="216" customFormat="1" x14ac:dyDescent="0.3"/>
    <row r="875" s="216" customFormat="1" x14ac:dyDescent="0.3"/>
    <row r="876" s="216" customFormat="1" x14ac:dyDescent="0.3"/>
    <row r="877" s="216" customFormat="1" x14ac:dyDescent="0.3"/>
    <row r="878" s="216" customFormat="1" x14ac:dyDescent="0.3"/>
    <row r="879" s="216" customFormat="1" x14ac:dyDescent="0.3"/>
    <row r="880" s="216" customFormat="1" x14ac:dyDescent="0.3"/>
    <row r="881" s="216" customFormat="1" x14ac:dyDescent="0.3"/>
    <row r="882" s="216" customFormat="1" x14ac:dyDescent="0.3"/>
    <row r="883" s="216" customFormat="1" x14ac:dyDescent="0.3"/>
    <row r="884" s="216" customFormat="1" x14ac:dyDescent="0.3"/>
    <row r="885" s="216" customFormat="1" x14ac:dyDescent="0.3"/>
    <row r="886" s="216" customFormat="1" x14ac:dyDescent="0.3"/>
    <row r="887" s="216" customFormat="1" x14ac:dyDescent="0.3"/>
    <row r="888" s="216" customFormat="1" x14ac:dyDescent="0.3"/>
    <row r="889" s="216" customFormat="1" x14ac:dyDescent="0.3"/>
    <row r="890" s="216" customFormat="1" x14ac:dyDescent="0.3"/>
    <row r="891" s="216" customFormat="1" x14ac:dyDescent="0.3"/>
    <row r="892" s="216" customFormat="1" x14ac:dyDescent="0.3"/>
    <row r="893" s="216" customFormat="1" x14ac:dyDescent="0.3"/>
    <row r="894" s="216" customFormat="1" x14ac:dyDescent="0.3"/>
    <row r="895" s="216" customFormat="1" x14ac:dyDescent="0.3"/>
    <row r="896" s="216" customFormat="1" x14ac:dyDescent="0.3"/>
    <row r="897" s="216" customFormat="1" x14ac:dyDescent="0.3"/>
    <row r="898" s="216" customFormat="1" x14ac:dyDescent="0.3"/>
    <row r="899" s="216" customFormat="1" x14ac:dyDescent="0.3"/>
    <row r="900" s="216" customFormat="1" x14ac:dyDescent="0.3"/>
    <row r="901" s="216" customFormat="1" x14ac:dyDescent="0.3"/>
    <row r="902" s="216" customFormat="1" x14ac:dyDescent="0.3"/>
    <row r="903" s="216" customFormat="1" x14ac:dyDescent="0.3"/>
    <row r="904" s="216" customFormat="1" x14ac:dyDescent="0.3"/>
    <row r="905" s="216" customFormat="1" x14ac:dyDescent="0.3"/>
    <row r="906" s="216" customFormat="1" x14ac:dyDescent="0.3"/>
    <row r="907" s="216" customFormat="1" x14ac:dyDescent="0.3"/>
    <row r="908" s="216" customFormat="1" x14ac:dyDescent="0.3"/>
    <row r="909" s="216" customFormat="1" x14ac:dyDescent="0.3"/>
    <row r="910" s="216" customFormat="1" x14ac:dyDescent="0.3"/>
    <row r="911" s="216" customFormat="1" x14ac:dyDescent="0.3"/>
    <row r="912" s="216" customFormat="1" x14ac:dyDescent="0.3"/>
    <row r="913" s="216" customFormat="1" x14ac:dyDescent="0.3"/>
    <row r="914" s="216" customFormat="1" x14ac:dyDescent="0.3"/>
    <row r="915" s="216" customFormat="1" x14ac:dyDescent="0.3"/>
    <row r="916" s="216" customFormat="1" x14ac:dyDescent="0.3"/>
    <row r="917" s="216" customFormat="1" x14ac:dyDescent="0.3"/>
    <row r="918" s="216" customFormat="1" x14ac:dyDescent="0.3"/>
    <row r="919" s="216" customFormat="1" x14ac:dyDescent="0.3"/>
    <row r="920" s="216" customFormat="1" x14ac:dyDescent="0.3"/>
    <row r="921" s="216" customFormat="1" x14ac:dyDescent="0.3"/>
    <row r="922" s="216" customFormat="1" x14ac:dyDescent="0.3"/>
    <row r="923" s="216" customFormat="1" x14ac:dyDescent="0.3"/>
    <row r="924" s="216" customFormat="1" x14ac:dyDescent="0.3"/>
    <row r="925" s="216" customFormat="1" x14ac:dyDescent="0.3"/>
    <row r="926" s="216" customFormat="1" x14ac:dyDescent="0.3"/>
    <row r="927" s="216" customFormat="1" x14ac:dyDescent="0.3"/>
    <row r="928" s="216" customFormat="1" x14ac:dyDescent="0.3"/>
    <row r="929" s="216" customFormat="1" x14ac:dyDescent="0.3"/>
    <row r="930" s="216" customFormat="1" x14ac:dyDescent="0.3"/>
    <row r="931" s="216" customFormat="1" x14ac:dyDescent="0.3"/>
    <row r="932" s="216" customFormat="1" x14ac:dyDescent="0.3"/>
    <row r="933" s="216" customFormat="1" x14ac:dyDescent="0.3"/>
    <row r="934" s="216" customFormat="1" x14ac:dyDescent="0.3"/>
    <row r="935" s="216" customFormat="1" x14ac:dyDescent="0.3"/>
    <row r="936" s="216" customFormat="1" x14ac:dyDescent="0.3"/>
    <row r="937" s="216" customFormat="1" x14ac:dyDescent="0.3"/>
    <row r="938" s="216" customFormat="1" x14ac:dyDescent="0.3"/>
    <row r="939" s="216" customFormat="1" x14ac:dyDescent="0.3"/>
    <row r="940" s="216" customFormat="1" x14ac:dyDescent="0.3"/>
    <row r="941" s="216" customFormat="1" x14ac:dyDescent="0.3"/>
    <row r="942" s="216" customFormat="1" x14ac:dyDescent="0.3"/>
    <row r="943" s="216" customFormat="1" x14ac:dyDescent="0.3"/>
    <row r="944" s="216" customFormat="1" x14ac:dyDescent="0.3"/>
    <row r="945" s="216" customFormat="1" x14ac:dyDescent="0.3"/>
    <row r="946" s="216" customFormat="1" x14ac:dyDescent="0.3"/>
    <row r="947" s="216" customFormat="1" x14ac:dyDescent="0.3"/>
    <row r="948" s="216" customFormat="1" x14ac:dyDescent="0.3"/>
    <row r="949" s="216" customFormat="1" x14ac:dyDescent="0.3"/>
    <row r="950" s="216" customFormat="1" x14ac:dyDescent="0.3"/>
    <row r="951" s="216" customFormat="1" x14ac:dyDescent="0.3"/>
    <row r="952" s="216" customFormat="1" x14ac:dyDescent="0.3"/>
    <row r="953" s="216" customFormat="1" x14ac:dyDescent="0.3"/>
    <row r="954" s="216" customFormat="1" x14ac:dyDescent="0.3"/>
    <row r="955" s="216" customFormat="1" x14ac:dyDescent="0.3"/>
    <row r="956" s="216" customFormat="1" x14ac:dyDescent="0.3"/>
    <row r="957" s="216" customFormat="1" x14ac:dyDescent="0.3"/>
    <row r="958" s="216" customFormat="1" x14ac:dyDescent="0.3"/>
    <row r="959" s="216" customFormat="1" x14ac:dyDescent="0.3"/>
    <row r="960" s="216" customFormat="1" x14ac:dyDescent="0.3"/>
    <row r="961" s="216" customFormat="1" x14ac:dyDescent="0.3"/>
    <row r="962" s="216" customFormat="1" x14ac:dyDescent="0.3"/>
    <row r="963" s="216" customFormat="1" x14ac:dyDescent="0.3"/>
    <row r="964" s="216" customFormat="1" x14ac:dyDescent="0.3"/>
    <row r="965" s="216" customFormat="1" x14ac:dyDescent="0.3"/>
    <row r="966" s="216" customFormat="1" x14ac:dyDescent="0.3"/>
    <row r="967" s="216" customFormat="1" x14ac:dyDescent="0.3"/>
    <row r="968" s="216" customFormat="1" x14ac:dyDescent="0.3"/>
    <row r="969" s="216" customFormat="1" x14ac:dyDescent="0.3"/>
    <row r="970" s="216" customFormat="1" x14ac:dyDescent="0.3"/>
    <row r="971" s="216" customFormat="1" x14ac:dyDescent="0.3"/>
    <row r="972" s="216" customFormat="1" x14ac:dyDescent="0.3"/>
    <row r="973" s="216" customFormat="1" x14ac:dyDescent="0.3"/>
    <row r="974" s="216" customFormat="1" x14ac:dyDescent="0.3"/>
    <row r="975" s="216" customFormat="1" x14ac:dyDescent="0.3"/>
    <row r="976" s="216" customFormat="1" x14ac:dyDescent="0.3"/>
    <row r="977" s="216" customFormat="1" x14ac:dyDescent="0.3"/>
    <row r="978" s="216" customFormat="1" x14ac:dyDescent="0.3"/>
    <row r="979" s="216" customFormat="1" x14ac:dyDescent="0.3"/>
    <row r="980" s="216" customFormat="1" x14ac:dyDescent="0.3"/>
    <row r="981" s="216" customFormat="1" x14ac:dyDescent="0.3"/>
    <row r="982" s="216" customFormat="1" x14ac:dyDescent="0.3"/>
    <row r="983" s="216" customFormat="1" x14ac:dyDescent="0.3"/>
    <row r="984" s="216" customFormat="1" x14ac:dyDescent="0.3"/>
    <row r="985" s="216" customFormat="1" x14ac:dyDescent="0.3"/>
    <row r="986" s="216" customFormat="1" x14ac:dyDescent="0.3"/>
    <row r="987" s="216" customFormat="1" x14ac:dyDescent="0.3"/>
    <row r="988" s="216" customFormat="1" x14ac:dyDescent="0.3"/>
    <row r="989" s="216" customFormat="1" x14ac:dyDescent="0.3"/>
    <row r="990" s="216" customFormat="1" x14ac:dyDescent="0.3"/>
    <row r="991" s="216" customFormat="1" x14ac:dyDescent="0.3"/>
    <row r="992" s="216" customFormat="1" x14ac:dyDescent="0.3"/>
    <row r="993" s="216" customFormat="1" x14ac:dyDescent="0.3"/>
    <row r="994" s="216" customFormat="1" x14ac:dyDescent="0.3"/>
    <row r="995" s="216" customFormat="1" x14ac:dyDescent="0.3"/>
    <row r="996" s="216" customFormat="1" x14ac:dyDescent="0.3"/>
    <row r="997" s="216" customFormat="1" x14ac:dyDescent="0.3"/>
    <row r="998" s="216" customFormat="1" x14ac:dyDescent="0.3"/>
    <row r="999" s="216" customFormat="1" x14ac:dyDescent="0.3"/>
    <row r="1000" s="216" customFormat="1" x14ac:dyDescent="0.3"/>
    <row r="1001" s="216" customFormat="1" x14ac:dyDescent="0.3"/>
    <row r="1002" s="216" customFormat="1" x14ac:dyDescent="0.3"/>
    <row r="1003" s="216" customFormat="1" x14ac:dyDescent="0.3"/>
    <row r="1004" s="216" customFormat="1" x14ac:dyDescent="0.3"/>
    <row r="1005" s="216" customFormat="1" x14ac:dyDescent="0.3"/>
    <row r="1006" s="216" customFormat="1" x14ac:dyDescent="0.3"/>
    <row r="1007" s="216" customFormat="1" x14ac:dyDescent="0.3"/>
    <row r="1008" s="216" customFormat="1" x14ac:dyDescent="0.3"/>
    <row r="1009" s="216" customFormat="1" x14ac:dyDescent="0.3"/>
    <row r="1010" s="216" customFormat="1" x14ac:dyDescent="0.3"/>
    <row r="1011" s="216" customFormat="1" x14ac:dyDescent="0.3"/>
    <row r="1012" s="216" customFormat="1" x14ac:dyDescent="0.3"/>
    <row r="1013" s="216" customFormat="1" x14ac:dyDescent="0.3"/>
    <row r="1014" s="216" customFormat="1" x14ac:dyDescent="0.3"/>
    <row r="1015" s="216" customFormat="1" x14ac:dyDescent="0.3"/>
    <row r="1016" s="216" customFormat="1" x14ac:dyDescent="0.3"/>
    <row r="1017" s="216" customFormat="1" x14ac:dyDescent="0.3"/>
    <row r="1018" s="216" customFormat="1" x14ac:dyDescent="0.3"/>
    <row r="1019" s="216" customFormat="1" x14ac:dyDescent="0.3"/>
    <row r="1020" s="216" customFormat="1" x14ac:dyDescent="0.3"/>
    <row r="1021" s="216" customFormat="1" x14ac:dyDescent="0.3"/>
    <row r="1022" s="216" customFormat="1" x14ac:dyDescent="0.3"/>
    <row r="1023" s="216" customFormat="1" x14ac:dyDescent="0.3"/>
    <row r="1024" s="216" customFormat="1" x14ac:dyDescent="0.3"/>
    <row r="1025" s="216" customFormat="1" x14ac:dyDescent="0.3"/>
    <row r="1026" s="216" customFormat="1" x14ac:dyDescent="0.3"/>
    <row r="1027" s="216" customFormat="1" x14ac:dyDescent="0.3"/>
    <row r="1028" s="216" customFormat="1" x14ac:dyDescent="0.3"/>
    <row r="1029" s="216" customFormat="1" x14ac:dyDescent="0.3"/>
    <row r="1030" s="216" customFormat="1" x14ac:dyDescent="0.3"/>
    <row r="1031" s="216" customFormat="1" x14ac:dyDescent="0.3"/>
    <row r="1032" s="216" customFormat="1" x14ac:dyDescent="0.3"/>
    <row r="1033" s="216" customFormat="1" x14ac:dyDescent="0.3"/>
    <row r="1034" s="216" customFormat="1" x14ac:dyDescent="0.3"/>
    <row r="1035" s="216" customFormat="1" x14ac:dyDescent="0.3"/>
    <row r="1036" s="216" customFormat="1" x14ac:dyDescent="0.3"/>
    <row r="1037" s="216" customFormat="1" x14ac:dyDescent="0.3"/>
    <row r="1038" s="216" customFormat="1" x14ac:dyDescent="0.3"/>
    <row r="1039" s="216" customFormat="1" x14ac:dyDescent="0.3"/>
    <row r="1040" s="216" customFormat="1" x14ac:dyDescent="0.3"/>
    <row r="1041" s="216" customFormat="1" x14ac:dyDescent="0.3"/>
    <row r="1042" s="216" customFormat="1" x14ac:dyDescent="0.3"/>
    <row r="1043" s="216" customFormat="1" x14ac:dyDescent="0.3"/>
    <row r="1044" s="216" customFormat="1" x14ac:dyDescent="0.3"/>
    <row r="1045" s="216" customFormat="1" x14ac:dyDescent="0.3"/>
    <row r="1046" s="216" customFormat="1" x14ac:dyDescent="0.3"/>
    <row r="1047" s="216" customFormat="1" x14ac:dyDescent="0.3"/>
    <row r="1048" s="216" customFormat="1" x14ac:dyDescent="0.3"/>
    <row r="1049" s="216" customFormat="1" x14ac:dyDescent="0.3"/>
    <row r="1050" s="216" customFormat="1" x14ac:dyDescent="0.3"/>
    <row r="1051" s="216" customFormat="1" x14ac:dyDescent="0.3"/>
    <row r="1052" s="216" customFormat="1" x14ac:dyDescent="0.3"/>
    <row r="1053" s="216" customFormat="1" x14ac:dyDescent="0.3"/>
    <row r="1054" s="216" customFormat="1" x14ac:dyDescent="0.3"/>
    <row r="1055" s="216" customFormat="1" x14ac:dyDescent="0.3"/>
    <row r="1056" s="216" customFormat="1" x14ac:dyDescent="0.3"/>
    <row r="1057" s="216" customFormat="1" x14ac:dyDescent="0.3"/>
    <row r="1058" s="216" customFormat="1" x14ac:dyDescent="0.3"/>
    <row r="1059" s="216" customFormat="1" x14ac:dyDescent="0.3"/>
    <row r="1060" s="216" customFormat="1" x14ac:dyDescent="0.3"/>
    <row r="1061" s="216" customFormat="1" x14ac:dyDescent="0.3"/>
    <row r="1062" s="216" customFormat="1" x14ac:dyDescent="0.3"/>
    <row r="1063" s="216" customFormat="1" x14ac:dyDescent="0.3"/>
    <row r="1064" s="216" customFormat="1" x14ac:dyDescent="0.3"/>
    <row r="1065" s="216" customFormat="1" x14ac:dyDescent="0.3"/>
    <row r="1066" s="216" customFormat="1" x14ac:dyDescent="0.3"/>
    <row r="1067" s="216" customFormat="1" x14ac:dyDescent="0.3"/>
    <row r="1068" s="216" customFormat="1" x14ac:dyDescent="0.3"/>
    <row r="1069" s="216" customFormat="1" x14ac:dyDescent="0.3"/>
    <row r="1070" s="216" customFormat="1" x14ac:dyDescent="0.3"/>
    <row r="1071" s="216" customFormat="1" x14ac:dyDescent="0.3"/>
    <row r="1072" s="216" customFormat="1" x14ac:dyDescent="0.3"/>
    <row r="1073" s="216" customFormat="1" x14ac:dyDescent="0.3"/>
    <row r="1074" s="216" customFormat="1" x14ac:dyDescent="0.3"/>
    <row r="1075" s="216" customFormat="1" x14ac:dyDescent="0.3"/>
    <row r="1076" s="216" customFormat="1" x14ac:dyDescent="0.3"/>
    <row r="1077" s="216" customFormat="1" x14ac:dyDescent="0.3"/>
    <row r="1078" s="216" customFormat="1" x14ac:dyDescent="0.3"/>
    <row r="1079" s="216" customFormat="1" x14ac:dyDescent="0.3"/>
    <row r="1080" s="216" customFormat="1" x14ac:dyDescent="0.3"/>
    <row r="1081" s="216" customFormat="1" x14ac:dyDescent="0.3"/>
    <row r="1082" s="216" customFormat="1" x14ac:dyDescent="0.3"/>
    <row r="1083" s="216" customFormat="1" x14ac:dyDescent="0.3"/>
    <row r="1084" s="216" customFormat="1" x14ac:dyDescent="0.3"/>
    <row r="1085" s="216" customFormat="1" x14ac:dyDescent="0.3"/>
    <row r="1086" s="216" customFormat="1" x14ac:dyDescent="0.3"/>
    <row r="1087" s="216" customFormat="1" x14ac:dyDescent="0.3"/>
    <row r="1088" s="216" customFormat="1" x14ac:dyDescent="0.3"/>
    <row r="1089" s="216" customFormat="1" x14ac:dyDescent="0.3"/>
    <row r="1090" s="216" customFormat="1" x14ac:dyDescent="0.3"/>
    <row r="1091" s="216" customFormat="1" x14ac:dyDescent="0.3"/>
    <row r="1092" s="216" customFormat="1" x14ac:dyDescent="0.3"/>
    <row r="1093" s="216" customFormat="1" x14ac:dyDescent="0.3"/>
    <row r="1094" s="216" customFormat="1" x14ac:dyDescent="0.3"/>
    <row r="1095" s="216" customFormat="1" x14ac:dyDescent="0.3"/>
    <row r="1096" s="216" customFormat="1" x14ac:dyDescent="0.3"/>
    <row r="1097" s="216" customFormat="1" x14ac:dyDescent="0.3"/>
    <row r="1098" s="216" customFormat="1" x14ac:dyDescent="0.3"/>
    <row r="1099" s="216" customFormat="1" x14ac:dyDescent="0.3"/>
    <row r="1100" s="216" customFormat="1" x14ac:dyDescent="0.3"/>
    <row r="1101" s="216" customFormat="1" x14ac:dyDescent="0.3"/>
    <row r="1102" s="216" customFormat="1" x14ac:dyDescent="0.3"/>
    <row r="1103" s="216" customFormat="1" x14ac:dyDescent="0.3"/>
    <row r="1104" s="216" customFormat="1" x14ac:dyDescent="0.3"/>
    <row r="1105" s="216" customFormat="1" x14ac:dyDescent="0.3"/>
    <row r="1106" s="216" customFormat="1" x14ac:dyDescent="0.3"/>
    <row r="1107" s="216" customFormat="1" x14ac:dyDescent="0.3"/>
    <row r="1108" s="216" customFormat="1" x14ac:dyDescent="0.3"/>
    <row r="1109" s="216" customFormat="1" x14ac:dyDescent="0.3"/>
    <row r="1110" s="216" customFormat="1" x14ac:dyDescent="0.3"/>
    <row r="1111" s="216" customFormat="1" x14ac:dyDescent="0.3"/>
    <row r="1112" s="216" customFormat="1" x14ac:dyDescent="0.3"/>
    <row r="1113" s="216" customFormat="1" x14ac:dyDescent="0.3"/>
    <row r="1114" s="216" customFormat="1" x14ac:dyDescent="0.3"/>
    <row r="1115" s="216" customFormat="1" x14ac:dyDescent="0.3"/>
    <row r="1116" s="216" customFormat="1" x14ac:dyDescent="0.3"/>
    <row r="1117" s="216" customFormat="1" x14ac:dyDescent="0.3"/>
    <row r="1118" s="216" customFormat="1" x14ac:dyDescent="0.3"/>
    <row r="1119" s="216" customFormat="1" x14ac:dyDescent="0.3"/>
    <row r="1120" s="216" customFormat="1" x14ac:dyDescent="0.3"/>
    <row r="1121" s="216" customFormat="1" x14ac:dyDescent="0.3"/>
    <row r="1122" s="216" customFormat="1" x14ac:dyDescent="0.3"/>
    <row r="1123" s="216" customFormat="1" x14ac:dyDescent="0.3"/>
    <row r="1124" s="216" customFormat="1" x14ac:dyDescent="0.3"/>
    <row r="1125" s="216" customFormat="1" x14ac:dyDescent="0.3"/>
    <row r="1126" s="216" customFormat="1" x14ac:dyDescent="0.3"/>
    <row r="1127" s="216" customFormat="1" x14ac:dyDescent="0.3"/>
    <row r="1128" s="216" customFormat="1" x14ac:dyDescent="0.3"/>
    <row r="1129" s="216" customFormat="1" x14ac:dyDescent="0.3"/>
    <row r="1130" s="216" customFormat="1" x14ac:dyDescent="0.3"/>
    <row r="1131" s="216" customFormat="1" x14ac:dyDescent="0.3"/>
    <row r="1132" s="216" customFormat="1" x14ac:dyDescent="0.3"/>
    <row r="1133" s="216" customFormat="1" x14ac:dyDescent="0.3"/>
    <row r="1134" s="216" customFormat="1" x14ac:dyDescent="0.3"/>
    <row r="1135" s="216" customFormat="1" x14ac:dyDescent="0.3"/>
    <row r="1136" s="216" customFormat="1" x14ac:dyDescent="0.3"/>
    <row r="1137" s="216" customFormat="1" x14ac:dyDescent="0.3"/>
    <row r="1138" s="216" customFormat="1" x14ac:dyDescent="0.3"/>
    <row r="1139" s="216" customFormat="1" x14ac:dyDescent="0.3"/>
    <row r="1140" s="216" customFormat="1" x14ac:dyDescent="0.3"/>
    <row r="1141" s="216" customFormat="1" x14ac:dyDescent="0.3"/>
    <row r="1142" s="216" customFormat="1" x14ac:dyDescent="0.3"/>
    <row r="1143" s="216" customFormat="1" x14ac:dyDescent="0.3"/>
    <row r="1144" s="216" customFormat="1" x14ac:dyDescent="0.3"/>
    <row r="1145" s="216" customFormat="1" x14ac:dyDescent="0.3"/>
    <row r="1146" s="216" customFormat="1" x14ac:dyDescent="0.3"/>
    <row r="1147" s="216" customFormat="1" x14ac:dyDescent="0.3"/>
    <row r="1148" s="216" customFormat="1" x14ac:dyDescent="0.3"/>
    <row r="1149" s="216" customFormat="1" x14ac:dyDescent="0.3"/>
    <row r="1150" s="216" customFormat="1" x14ac:dyDescent="0.3"/>
    <row r="1151" s="216" customFormat="1" x14ac:dyDescent="0.3"/>
    <row r="1152" s="216" customFormat="1" x14ac:dyDescent="0.3"/>
    <row r="1153" s="216" customFormat="1" x14ac:dyDescent="0.3"/>
    <row r="1154" s="216" customFormat="1" x14ac:dyDescent="0.3"/>
    <row r="1155" s="216" customFormat="1" x14ac:dyDescent="0.3"/>
    <row r="1156" s="216" customFormat="1" x14ac:dyDescent="0.3"/>
    <row r="1157" s="216" customFormat="1" x14ac:dyDescent="0.3"/>
    <row r="1158" s="216" customFormat="1" x14ac:dyDescent="0.3"/>
    <row r="1159" s="216" customFormat="1" x14ac:dyDescent="0.3"/>
    <row r="1160" s="216" customFormat="1" x14ac:dyDescent="0.3"/>
    <row r="1161" s="216" customFormat="1" x14ac:dyDescent="0.3"/>
    <row r="1162" s="216" customFormat="1" x14ac:dyDescent="0.3"/>
    <row r="1163" s="216" customFormat="1" x14ac:dyDescent="0.3"/>
    <row r="1164" s="216" customFormat="1" x14ac:dyDescent="0.3"/>
    <row r="1165" s="216" customFormat="1" x14ac:dyDescent="0.3"/>
    <row r="1166" s="216" customFormat="1" x14ac:dyDescent="0.3"/>
    <row r="1167" s="216" customFormat="1" x14ac:dyDescent="0.3"/>
    <row r="1168" s="216" customFormat="1" x14ac:dyDescent="0.3"/>
    <row r="1169" s="216" customFormat="1" x14ac:dyDescent="0.3"/>
    <row r="1170" s="216" customFormat="1" x14ac:dyDescent="0.3"/>
    <row r="1171" s="216" customFormat="1" x14ac:dyDescent="0.3"/>
    <row r="1172" s="216" customFormat="1" x14ac:dyDescent="0.3"/>
    <row r="1173" s="216" customFormat="1" x14ac:dyDescent="0.3"/>
    <row r="1174" s="216" customFormat="1" x14ac:dyDescent="0.3"/>
    <row r="1175" s="216" customFormat="1" x14ac:dyDescent="0.3"/>
    <row r="1176" s="216" customFormat="1" x14ac:dyDescent="0.3"/>
    <row r="1177" s="216" customFormat="1" x14ac:dyDescent="0.3"/>
    <row r="1178" s="216" customFormat="1" x14ac:dyDescent="0.3"/>
    <row r="1179" s="216" customFormat="1" x14ac:dyDescent="0.3"/>
    <row r="1180" s="216" customFormat="1" x14ac:dyDescent="0.3"/>
    <row r="1181" s="216" customFormat="1" x14ac:dyDescent="0.3"/>
    <row r="1182" s="216" customFormat="1" x14ac:dyDescent="0.3"/>
    <row r="1183" s="216" customFormat="1" x14ac:dyDescent="0.3"/>
    <row r="1184" s="216" customFormat="1" x14ac:dyDescent="0.3"/>
    <row r="1185" s="216" customFormat="1" x14ac:dyDescent="0.3"/>
    <row r="1186" s="216" customFormat="1" x14ac:dyDescent="0.3"/>
    <row r="1187" s="216" customFormat="1" x14ac:dyDescent="0.3"/>
    <row r="1188" s="216" customFormat="1" x14ac:dyDescent="0.3"/>
    <row r="1189" s="216" customFormat="1" x14ac:dyDescent="0.3"/>
    <row r="1190" s="216" customFormat="1" x14ac:dyDescent="0.3"/>
    <row r="1191" s="216" customFormat="1" x14ac:dyDescent="0.3"/>
    <row r="1192" s="216" customFormat="1" x14ac:dyDescent="0.3"/>
    <row r="1193" s="216" customFormat="1" x14ac:dyDescent="0.3"/>
    <row r="1194" s="216" customFormat="1" x14ac:dyDescent="0.3"/>
    <row r="1195" s="216" customFormat="1" x14ac:dyDescent="0.3"/>
    <row r="1196" s="216" customFormat="1" x14ac:dyDescent="0.3"/>
    <row r="1197" s="216" customFormat="1" x14ac:dyDescent="0.3"/>
    <row r="1198" s="216" customFormat="1" x14ac:dyDescent="0.3"/>
    <row r="1199" s="216" customFormat="1" x14ac:dyDescent="0.3"/>
    <row r="1200" s="216" customFormat="1" x14ac:dyDescent="0.3"/>
    <row r="1201" s="216" customFormat="1" x14ac:dyDescent="0.3"/>
    <row r="1202" s="216" customFormat="1" x14ac:dyDescent="0.3"/>
    <row r="1203" s="216" customFormat="1" x14ac:dyDescent="0.3"/>
    <row r="1204" s="216" customFormat="1" x14ac:dyDescent="0.3"/>
    <row r="1205" s="216" customFormat="1" x14ac:dyDescent="0.3"/>
    <row r="1206" s="216" customFormat="1" x14ac:dyDescent="0.3"/>
    <row r="1207" s="216" customFormat="1" x14ac:dyDescent="0.3"/>
    <row r="1208" s="216" customFormat="1" x14ac:dyDescent="0.3"/>
    <row r="1209" s="216" customFormat="1" x14ac:dyDescent="0.3"/>
    <row r="1210" s="216" customFormat="1" x14ac:dyDescent="0.3"/>
    <row r="1211" s="216" customFormat="1" x14ac:dyDescent="0.3"/>
    <row r="1212" s="216" customFormat="1" x14ac:dyDescent="0.3"/>
    <row r="1213" s="216" customFormat="1" x14ac:dyDescent="0.3"/>
    <row r="1214" s="216" customFormat="1" x14ac:dyDescent="0.3"/>
    <row r="1215" s="216" customFormat="1" x14ac:dyDescent="0.3"/>
    <row r="1216" s="216" customFormat="1" x14ac:dyDescent="0.3"/>
    <row r="1217" s="216" customFormat="1" x14ac:dyDescent="0.3"/>
    <row r="1218" s="216" customFormat="1" x14ac:dyDescent="0.3"/>
    <row r="1219" s="216" customFormat="1" x14ac:dyDescent="0.3"/>
    <row r="1220" s="216" customFormat="1" x14ac:dyDescent="0.3"/>
    <row r="1221" s="216" customFormat="1" x14ac:dyDescent="0.3"/>
    <row r="1222" s="216" customFormat="1" x14ac:dyDescent="0.3"/>
    <row r="1223" s="216" customFormat="1" x14ac:dyDescent="0.3"/>
    <row r="1224" s="216" customFormat="1" x14ac:dyDescent="0.3"/>
    <row r="1225" s="216" customFormat="1" x14ac:dyDescent="0.3"/>
    <row r="1226" s="216" customFormat="1" x14ac:dyDescent="0.3"/>
    <row r="1227" s="216" customFormat="1" x14ac:dyDescent="0.3"/>
    <row r="1228" s="216" customFormat="1" x14ac:dyDescent="0.3"/>
    <row r="1229" s="216" customFormat="1" x14ac:dyDescent="0.3"/>
    <row r="1230" s="216" customFormat="1" x14ac:dyDescent="0.3"/>
    <row r="1231" s="216" customFormat="1" x14ac:dyDescent="0.3"/>
    <row r="1232" s="216" customFormat="1" x14ac:dyDescent="0.3"/>
    <row r="1233" s="216" customFormat="1" x14ac:dyDescent="0.3"/>
    <row r="1234" s="216" customFormat="1" x14ac:dyDescent="0.3"/>
    <row r="1235" s="216" customFormat="1" x14ac:dyDescent="0.3"/>
    <row r="1236" s="216" customFormat="1" x14ac:dyDescent="0.3"/>
    <row r="1237" s="216" customFormat="1" x14ac:dyDescent="0.3"/>
    <row r="1238" s="216" customFormat="1" x14ac:dyDescent="0.3"/>
    <row r="1239" s="216" customFormat="1" x14ac:dyDescent="0.3"/>
    <row r="1240" s="216" customFormat="1" x14ac:dyDescent="0.3"/>
    <row r="1241" s="216" customFormat="1" x14ac:dyDescent="0.3"/>
    <row r="1242" s="216" customFormat="1" x14ac:dyDescent="0.3"/>
    <row r="1243" s="216" customFormat="1" x14ac:dyDescent="0.3"/>
    <row r="1244" s="216" customFormat="1" x14ac:dyDescent="0.3"/>
    <row r="1245" s="216" customFormat="1" x14ac:dyDescent="0.3"/>
    <row r="1246" s="216" customFormat="1" x14ac:dyDescent="0.3"/>
    <row r="1247" s="216" customFormat="1" x14ac:dyDescent="0.3"/>
    <row r="1248" s="216" customFormat="1" x14ac:dyDescent="0.3"/>
    <row r="1249" s="216" customFormat="1" x14ac:dyDescent="0.3"/>
    <row r="1250" s="216" customFormat="1" x14ac:dyDescent="0.3"/>
    <row r="1251" s="216" customFormat="1" x14ac:dyDescent="0.3"/>
    <row r="1252" s="216" customFormat="1" x14ac:dyDescent="0.3"/>
    <row r="1253" s="216" customFormat="1" x14ac:dyDescent="0.3"/>
    <row r="1254" s="216" customFormat="1" x14ac:dyDescent="0.3"/>
    <row r="1255" s="216" customFormat="1" x14ac:dyDescent="0.3"/>
    <row r="1256" s="216" customFormat="1" x14ac:dyDescent="0.3"/>
    <row r="1257" s="216" customFormat="1" x14ac:dyDescent="0.3"/>
    <row r="1258" s="216" customFormat="1" x14ac:dyDescent="0.3"/>
    <row r="1259" s="216" customFormat="1" x14ac:dyDescent="0.3"/>
    <row r="1260" s="216" customFormat="1" x14ac:dyDescent="0.3"/>
    <row r="1261" s="216" customFormat="1" x14ac:dyDescent="0.3"/>
    <row r="1262" s="216" customFormat="1" x14ac:dyDescent="0.3"/>
    <row r="1263" s="216" customFormat="1" x14ac:dyDescent="0.3"/>
    <row r="1264" s="216" customFormat="1" x14ac:dyDescent="0.3"/>
    <row r="1265" s="216" customFormat="1" x14ac:dyDescent="0.3"/>
    <row r="1266" s="216" customFormat="1" x14ac:dyDescent="0.3"/>
    <row r="1267" s="216" customFormat="1" x14ac:dyDescent="0.3"/>
    <row r="1268" s="216" customFormat="1" x14ac:dyDescent="0.3"/>
    <row r="1269" s="216" customFormat="1" x14ac:dyDescent="0.3"/>
    <row r="1270" s="216" customFormat="1" x14ac:dyDescent="0.3"/>
    <row r="1271" s="216" customFormat="1" x14ac:dyDescent="0.3"/>
    <row r="1272" s="216" customFormat="1" x14ac:dyDescent="0.3"/>
    <row r="1273" s="216" customFormat="1" x14ac:dyDescent="0.3"/>
    <row r="1274" s="216" customFormat="1" x14ac:dyDescent="0.3"/>
    <row r="1275" s="216" customFormat="1" x14ac:dyDescent="0.3"/>
    <row r="1276" s="216" customFormat="1" x14ac:dyDescent="0.3"/>
    <row r="1277" s="216" customFormat="1" x14ac:dyDescent="0.3"/>
    <row r="1278" s="216" customFormat="1" x14ac:dyDescent="0.3"/>
    <row r="1279" s="216" customFormat="1" x14ac:dyDescent="0.3"/>
    <row r="1280" s="216" customFormat="1" x14ac:dyDescent="0.3"/>
    <row r="1281" s="216" customFormat="1" x14ac:dyDescent="0.3"/>
    <row r="1282" s="216" customFormat="1" x14ac:dyDescent="0.3"/>
    <row r="1283" s="216" customFormat="1" x14ac:dyDescent="0.3"/>
    <row r="1284" s="216" customFormat="1" x14ac:dyDescent="0.3"/>
    <row r="1285" s="216" customFormat="1" x14ac:dyDescent="0.3"/>
    <row r="1286" s="216" customFormat="1" x14ac:dyDescent="0.3"/>
    <row r="1287" s="216" customFormat="1" x14ac:dyDescent="0.3"/>
    <row r="1288" s="216" customFormat="1" x14ac:dyDescent="0.3"/>
    <row r="1289" s="216" customFormat="1" x14ac:dyDescent="0.3"/>
    <row r="1290" s="216" customFormat="1" x14ac:dyDescent="0.3"/>
    <row r="1291" s="216" customFormat="1" x14ac:dyDescent="0.3"/>
    <row r="1292" s="216" customFormat="1" x14ac:dyDescent="0.3"/>
    <row r="1293" s="216" customFormat="1" x14ac:dyDescent="0.3"/>
    <row r="1294" s="216" customFormat="1" x14ac:dyDescent="0.3"/>
    <row r="1295" s="216" customFormat="1" x14ac:dyDescent="0.3"/>
    <row r="1296" s="216" customFormat="1" x14ac:dyDescent="0.3"/>
    <row r="1297" s="216" customFormat="1" x14ac:dyDescent="0.3"/>
    <row r="1298" s="216" customFormat="1" x14ac:dyDescent="0.3"/>
    <row r="1299" s="216" customFormat="1" x14ac:dyDescent="0.3"/>
    <row r="1300" s="216" customFormat="1" x14ac:dyDescent="0.3"/>
    <row r="1301" s="216" customFormat="1" x14ac:dyDescent="0.3"/>
    <row r="1302" s="216" customFormat="1" x14ac:dyDescent="0.3"/>
    <row r="1303" s="216" customFormat="1" x14ac:dyDescent="0.3"/>
    <row r="1304" s="216" customFormat="1" x14ac:dyDescent="0.3"/>
    <row r="1305" s="216" customFormat="1" x14ac:dyDescent="0.3"/>
    <row r="1306" s="216" customFormat="1" x14ac:dyDescent="0.3"/>
    <row r="1307" s="216" customFormat="1" x14ac:dyDescent="0.3"/>
    <row r="1308" s="216" customFormat="1" x14ac:dyDescent="0.3"/>
    <row r="1309" s="216" customFormat="1" x14ac:dyDescent="0.3"/>
    <row r="1310" s="216" customFormat="1" x14ac:dyDescent="0.3"/>
    <row r="1311" s="216" customFormat="1" x14ac:dyDescent="0.3"/>
    <row r="1312" s="216" customFormat="1" x14ac:dyDescent="0.3"/>
    <row r="1313" s="216" customFormat="1" x14ac:dyDescent="0.3"/>
    <row r="1314" s="216" customFormat="1" x14ac:dyDescent="0.3"/>
    <row r="1315" s="216" customFormat="1" x14ac:dyDescent="0.3"/>
    <row r="1316" s="216" customFormat="1" x14ac:dyDescent="0.3"/>
    <row r="1317" s="216" customFormat="1" x14ac:dyDescent="0.3"/>
    <row r="1318" s="216" customFormat="1" x14ac:dyDescent="0.3"/>
    <row r="1319" s="216" customFormat="1" x14ac:dyDescent="0.3"/>
    <row r="1320" s="216" customFormat="1" x14ac:dyDescent="0.3"/>
    <row r="1321" s="216" customFormat="1" x14ac:dyDescent="0.3"/>
    <row r="1322" s="216" customFormat="1" x14ac:dyDescent="0.3"/>
    <row r="1323" s="216" customFormat="1" x14ac:dyDescent="0.3"/>
    <row r="1324" s="216" customFormat="1" x14ac:dyDescent="0.3"/>
    <row r="1325" s="216" customFormat="1" x14ac:dyDescent="0.3"/>
    <row r="1326" s="216" customFormat="1" x14ac:dyDescent="0.3"/>
    <row r="1327" s="216" customFormat="1" x14ac:dyDescent="0.3"/>
    <row r="1328" s="216" customFormat="1" x14ac:dyDescent="0.3"/>
    <row r="1329" s="216" customFormat="1" x14ac:dyDescent="0.3"/>
    <row r="1330" s="216" customFormat="1" x14ac:dyDescent="0.3"/>
    <row r="1331" s="216" customFormat="1" x14ac:dyDescent="0.3"/>
    <row r="1332" s="216" customFormat="1" x14ac:dyDescent="0.3"/>
    <row r="1333" s="216" customFormat="1" x14ac:dyDescent="0.3"/>
    <row r="1334" s="216" customFormat="1" x14ac:dyDescent="0.3"/>
    <row r="1335" s="216" customFormat="1" x14ac:dyDescent="0.3"/>
    <row r="1336" s="216" customFormat="1" x14ac:dyDescent="0.3"/>
    <row r="1337" s="216" customFormat="1" x14ac:dyDescent="0.3"/>
    <row r="1338" s="216" customFormat="1" x14ac:dyDescent="0.3"/>
    <row r="1339" s="216" customFormat="1" x14ac:dyDescent="0.3"/>
    <row r="1340" s="216" customFormat="1" x14ac:dyDescent="0.3"/>
    <row r="1341" s="216" customFormat="1" x14ac:dyDescent="0.3"/>
    <row r="1342" s="216" customFormat="1" x14ac:dyDescent="0.3"/>
    <row r="1343" s="216" customFormat="1" x14ac:dyDescent="0.3"/>
    <row r="1344" s="216" customFormat="1" x14ac:dyDescent="0.3"/>
    <row r="1345" s="216" customFormat="1" x14ac:dyDescent="0.3"/>
    <row r="1346" s="216" customFormat="1" x14ac:dyDescent="0.3"/>
    <row r="1347" s="216" customFormat="1" x14ac:dyDescent="0.3"/>
    <row r="1348" s="216" customFormat="1" x14ac:dyDescent="0.3"/>
    <row r="1349" s="216" customFormat="1" x14ac:dyDescent="0.3"/>
    <row r="1350" s="216" customFormat="1" x14ac:dyDescent="0.3"/>
    <row r="1351" s="216" customFormat="1" x14ac:dyDescent="0.3"/>
    <row r="1352" s="216" customFormat="1" x14ac:dyDescent="0.3"/>
    <row r="1353" s="216" customFormat="1" x14ac:dyDescent="0.3"/>
    <row r="1354" s="216" customFormat="1" x14ac:dyDescent="0.3"/>
    <row r="1355" s="216" customFormat="1" x14ac:dyDescent="0.3"/>
    <row r="1356" s="216" customFormat="1" x14ac:dyDescent="0.3"/>
    <row r="1357" s="216" customFormat="1" x14ac:dyDescent="0.3"/>
    <row r="1358" s="216" customFormat="1" x14ac:dyDescent="0.3"/>
    <row r="1359" s="216" customFormat="1" x14ac:dyDescent="0.3"/>
    <row r="1360" s="216" customFormat="1" x14ac:dyDescent="0.3"/>
    <row r="1361" s="216" customFormat="1" x14ac:dyDescent="0.3"/>
    <row r="1362" s="216" customFormat="1" x14ac:dyDescent="0.3"/>
    <row r="1363" s="216" customFormat="1" x14ac:dyDescent="0.3"/>
    <row r="1364" s="216" customFormat="1" x14ac:dyDescent="0.3"/>
    <row r="1365" s="216" customFormat="1" x14ac:dyDescent="0.3"/>
    <row r="1366" s="216" customFormat="1" x14ac:dyDescent="0.3"/>
    <row r="1367" s="216" customFormat="1" x14ac:dyDescent="0.3"/>
    <row r="1368" s="216" customFormat="1" x14ac:dyDescent="0.3"/>
    <row r="1369" s="216" customFormat="1" x14ac:dyDescent="0.3"/>
    <row r="1370" s="216" customFormat="1" x14ac:dyDescent="0.3"/>
    <row r="1371" s="216" customFormat="1" x14ac:dyDescent="0.3"/>
    <row r="1372" s="216" customFormat="1" x14ac:dyDescent="0.3"/>
    <row r="1373" s="216" customFormat="1" x14ac:dyDescent="0.3"/>
    <row r="1374" s="216" customFormat="1" x14ac:dyDescent="0.3"/>
    <row r="1375" s="216" customFormat="1" x14ac:dyDescent="0.3"/>
    <row r="1376" s="216" customFormat="1" x14ac:dyDescent="0.3"/>
    <row r="1377" s="216" customFormat="1" x14ac:dyDescent="0.3"/>
    <row r="1378" s="216" customFormat="1" x14ac:dyDescent="0.3"/>
    <row r="1379" s="216" customFormat="1" x14ac:dyDescent="0.3"/>
    <row r="1380" s="216" customFormat="1" x14ac:dyDescent="0.3"/>
    <row r="1381" s="216" customFormat="1" x14ac:dyDescent="0.3"/>
    <row r="1382" s="216" customFormat="1" x14ac:dyDescent="0.3"/>
    <row r="1383" s="216" customFormat="1" x14ac:dyDescent="0.3"/>
    <row r="1384" s="216" customFormat="1" x14ac:dyDescent="0.3"/>
    <row r="1385" s="216" customFormat="1" x14ac:dyDescent="0.3"/>
    <row r="1386" s="216" customFormat="1" x14ac:dyDescent="0.3"/>
    <row r="1387" s="216" customFormat="1" x14ac:dyDescent="0.3"/>
    <row r="1388" s="216" customFormat="1" x14ac:dyDescent="0.3"/>
    <row r="1389" s="216" customFormat="1" x14ac:dyDescent="0.3"/>
    <row r="1390" s="216" customFormat="1" x14ac:dyDescent="0.3"/>
    <row r="1391" s="216" customFormat="1" x14ac:dyDescent="0.3"/>
    <row r="1392" s="216" customFormat="1" x14ac:dyDescent="0.3"/>
    <row r="1393" s="216" customFormat="1" x14ac:dyDescent="0.3"/>
    <row r="1394" s="216" customFormat="1" x14ac:dyDescent="0.3"/>
    <row r="1395" s="216" customFormat="1" x14ac:dyDescent="0.3"/>
    <row r="1396" s="216" customFormat="1" x14ac:dyDescent="0.3"/>
    <row r="1397" s="216" customFormat="1" x14ac:dyDescent="0.3"/>
    <row r="1398" s="216" customFormat="1" x14ac:dyDescent="0.3"/>
    <row r="1399" s="216" customFormat="1" x14ac:dyDescent="0.3"/>
    <row r="1400" s="216" customFormat="1" x14ac:dyDescent="0.3"/>
    <row r="1401" s="216" customFormat="1" x14ac:dyDescent="0.3"/>
    <row r="1402" s="216" customFormat="1" x14ac:dyDescent="0.3"/>
    <row r="1403" s="216" customFormat="1" x14ac:dyDescent="0.3"/>
    <row r="1404" s="216" customFormat="1" x14ac:dyDescent="0.3"/>
    <row r="1405" s="216" customFormat="1" x14ac:dyDescent="0.3"/>
    <row r="1406" s="216" customFormat="1" x14ac:dyDescent="0.3"/>
    <row r="1407" s="216" customFormat="1" x14ac:dyDescent="0.3"/>
    <row r="1408" s="216" customFormat="1" x14ac:dyDescent="0.3"/>
    <row r="1409" s="216" customFormat="1" x14ac:dyDescent="0.3"/>
    <row r="1410" s="216" customFormat="1" x14ac:dyDescent="0.3"/>
    <row r="1411" s="216" customFormat="1" x14ac:dyDescent="0.3"/>
    <row r="1412" s="216" customFormat="1" x14ac:dyDescent="0.3"/>
    <row r="1413" s="216" customFormat="1" x14ac:dyDescent="0.3"/>
    <row r="1414" s="216" customFormat="1" x14ac:dyDescent="0.3"/>
    <row r="1415" s="216" customFormat="1" x14ac:dyDescent="0.3"/>
    <row r="1416" s="216" customFormat="1" x14ac:dyDescent="0.3"/>
    <row r="1417" s="216" customFormat="1" x14ac:dyDescent="0.3"/>
    <row r="1418" s="216" customFormat="1" x14ac:dyDescent="0.3"/>
    <row r="1419" s="216" customFormat="1" x14ac:dyDescent="0.3"/>
    <row r="1420" s="216" customFormat="1" x14ac:dyDescent="0.3"/>
    <row r="1421" s="216" customFormat="1" x14ac:dyDescent="0.3"/>
    <row r="1422" s="216" customFormat="1" x14ac:dyDescent="0.3"/>
    <row r="1423" s="216" customFormat="1" x14ac:dyDescent="0.3"/>
    <row r="1424" s="216" customFormat="1" x14ac:dyDescent="0.3"/>
    <row r="1425" s="216" customFormat="1" x14ac:dyDescent="0.3"/>
    <row r="1426" s="216" customFormat="1" x14ac:dyDescent="0.3"/>
    <row r="1427" s="216" customFormat="1" x14ac:dyDescent="0.3"/>
    <row r="1428" s="216" customFormat="1" x14ac:dyDescent="0.3"/>
    <row r="1429" s="216" customFormat="1" x14ac:dyDescent="0.3"/>
    <row r="1430" s="216" customFormat="1" x14ac:dyDescent="0.3"/>
    <row r="1431" s="216" customFormat="1" x14ac:dyDescent="0.3"/>
    <row r="1432" s="216" customFormat="1" x14ac:dyDescent="0.3"/>
    <row r="1433" s="216" customFormat="1" x14ac:dyDescent="0.3"/>
    <row r="1434" s="216" customFormat="1" x14ac:dyDescent="0.3"/>
    <row r="1435" s="216" customFormat="1" x14ac:dyDescent="0.3"/>
    <row r="1436" s="216" customFormat="1" x14ac:dyDescent="0.3"/>
    <row r="1437" s="216" customFormat="1" x14ac:dyDescent="0.3"/>
    <row r="1438" s="216" customFormat="1" x14ac:dyDescent="0.3"/>
    <row r="1439" s="216" customFormat="1" x14ac:dyDescent="0.3"/>
    <row r="1440" s="216" customFormat="1" x14ac:dyDescent="0.3"/>
    <row r="1441" s="216" customFormat="1" x14ac:dyDescent="0.3"/>
    <row r="1442" s="216" customFormat="1" x14ac:dyDescent="0.3"/>
    <row r="1443" s="216" customFormat="1" x14ac:dyDescent="0.3"/>
    <row r="1444" s="216" customFormat="1" x14ac:dyDescent="0.3"/>
    <row r="1445" s="216" customFormat="1" x14ac:dyDescent="0.3"/>
    <row r="1446" s="216" customFormat="1" x14ac:dyDescent="0.3"/>
    <row r="1447" s="216" customFormat="1" x14ac:dyDescent="0.3"/>
    <row r="1448" s="216" customFormat="1" x14ac:dyDescent="0.3"/>
    <row r="1449" s="216" customFormat="1" x14ac:dyDescent="0.3"/>
    <row r="1450" s="216" customFormat="1" x14ac:dyDescent="0.3"/>
    <row r="1451" s="216" customFormat="1" x14ac:dyDescent="0.3"/>
    <row r="1452" s="216" customFormat="1" x14ac:dyDescent="0.3"/>
    <row r="1453" s="216" customFormat="1" x14ac:dyDescent="0.3"/>
    <row r="1454" s="216" customFormat="1" x14ac:dyDescent="0.3"/>
    <row r="1455" s="216" customFormat="1" x14ac:dyDescent="0.3"/>
    <row r="1456" s="216" customFormat="1" x14ac:dyDescent="0.3"/>
    <row r="1457" s="216" customFormat="1" x14ac:dyDescent="0.3"/>
    <row r="1458" s="216" customFormat="1" x14ac:dyDescent="0.3"/>
    <row r="1459" s="216" customFormat="1" x14ac:dyDescent="0.3"/>
    <row r="1460" s="216" customFormat="1" x14ac:dyDescent="0.3"/>
    <row r="1461" s="216" customFormat="1" x14ac:dyDescent="0.3"/>
    <row r="1462" s="216" customFormat="1" x14ac:dyDescent="0.3"/>
    <row r="1463" s="216" customFormat="1" x14ac:dyDescent="0.3"/>
    <row r="1464" s="216" customFormat="1" x14ac:dyDescent="0.3"/>
    <row r="1465" s="216" customFormat="1" x14ac:dyDescent="0.3"/>
    <row r="1466" s="216" customFormat="1" x14ac:dyDescent="0.3"/>
    <row r="1467" s="216" customFormat="1" x14ac:dyDescent="0.3"/>
    <row r="1468" s="216" customFormat="1" x14ac:dyDescent="0.3"/>
    <row r="1469" s="216" customFormat="1" x14ac:dyDescent="0.3"/>
    <row r="1470" s="216" customFormat="1" x14ac:dyDescent="0.3"/>
    <row r="1471" s="216" customFormat="1" x14ac:dyDescent="0.3"/>
    <row r="1472" s="216" customFormat="1" x14ac:dyDescent="0.3"/>
    <row r="1473" s="216" customFormat="1" x14ac:dyDescent="0.3"/>
    <row r="1474" s="216" customFormat="1" x14ac:dyDescent="0.3"/>
    <row r="1475" s="216" customFormat="1" x14ac:dyDescent="0.3"/>
    <row r="1476" s="216" customFormat="1" x14ac:dyDescent="0.3"/>
    <row r="1477" s="216" customFormat="1" x14ac:dyDescent="0.3"/>
    <row r="1478" s="216" customFormat="1" x14ac:dyDescent="0.3"/>
    <row r="1479" s="216" customFormat="1" x14ac:dyDescent="0.3"/>
    <row r="1480" s="216" customFormat="1" x14ac:dyDescent="0.3"/>
    <row r="1481" s="216" customFormat="1" x14ac:dyDescent="0.3"/>
    <row r="1482" s="216" customFormat="1" x14ac:dyDescent="0.3"/>
    <row r="1483" s="216" customFormat="1" x14ac:dyDescent="0.3"/>
    <row r="1484" s="216" customFormat="1" x14ac:dyDescent="0.3"/>
    <row r="1485" s="216" customFormat="1" x14ac:dyDescent="0.3"/>
    <row r="1486" s="216" customFormat="1" x14ac:dyDescent="0.3"/>
    <row r="1487" s="216" customFormat="1" x14ac:dyDescent="0.3"/>
    <row r="1488" s="216" customFormat="1" x14ac:dyDescent="0.3"/>
    <row r="1489" s="216" customFormat="1" x14ac:dyDescent="0.3"/>
    <row r="1490" s="216" customFormat="1" x14ac:dyDescent="0.3"/>
    <row r="1491" s="216" customFormat="1" x14ac:dyDescent="0.3"/>
    <row r="1492" s="216" customFormat="1" x14ac:dyDescent="0.3"/>
    <row r="1493" s="216" customFormat="1" x14ac:dyDescent="0.3"/>
    <row r="1494" s="216" customFormat="1" x14ac:dyDescent="0.3"/>
    <row r="1495" s="216" customFormat="1" x14ac:dyDescent="0.3"/>
    <row r="1496" s="216" customFormat="1" x14ac:dyDescent="0.3"/>
    <row r="1497" s="216" customFormat="1" x14ac:dyDescent="0.3"/>
    <row r="1498" s="216" customFormat="1" x14ac:dyDescent="0.3"/>
    <row r="1499" s="216" customFormat="1" x14ac:dyDescent="0.3"/>
    <row r="1500" s="216" customFormat="1" x14ac:dyDescent="0.3"/>
    <row r="1501" s="216" customFormat="1" x14ac:dyDescent="0.3"/>
    <row r="1502" s="216" customFormat="1" x14ac:dyDescent="0.3"/>
    <row r="1503" s="216" customFormat="1" x14ac:dyDescent="0.3"/>
    <row r="1504" s="216" customFormat="1" x14ac:dyDescent="0.3"/>
    <row r="1505" s="216" customFormat="1" x14ac:dyDescent="0.3"/>
    <row r="1506" s="216" customFormat="1" x14ac:dyDescent="0.3"/>
    <row r="1507" s="216" customFormat="1" x14ac:dyDescent="0.3"/>
    <row r="1508" s="216" customFormat="1" x14ac:dyDescent="0.3"/>
    <row r="1509" s="216" customFormat="1" x14ac:dyDescent="0.3"/>
    <row r="1510" s="216" customFormat="1" x14ac:dyDescent="0.3"/>
    <row r="1511" s="216" customFormat="1" x14ac:dyDescent="0.3"/>
    <row r="1512" s="216" customFormat="1" x14ac:dyDescent="0.3"/>
    <row r="1513" s="216" customFormat="1" x14ac:dyDescent="0.3"/>
    <row r="1514" s="216" customFormat="1" x14ac:dyDescent="0.3"/>
    <row r="1515" s="216" customFormat="1" x14ac:dyDescent="0.3"/>
    <row r="1516" s="216" customFormat="1" x14ac:dyDescent="0.3"/>
    <row r="1517" s="216" customFormat="1" x14ac:dyDescent="0.3"/>
    <row r="1518" s="216" customFormat="1" x14ac:dyDescent="0.3"/>
    <row r="1519" s="216" customFormat="1" x14ac:dyDescent="0.3"/>
    <row r="1520" s="216" customFormat="1" x14ac:dyDescent="0.3"/>
    <row r="1521" s="216" customFormat="1" x14ac:dyDescent="0.3"/>
    <row r="1522" s="216" customFormat="1" x14ac:dyDescent="0.3"/>
    <row r="1523" s="216" customFormat="1" x14ac:dyDescent="0.3"/>
    <row r="1524" s="216" customFormat="1" x14ac:dyDescent="0.3"/>
    <row r="1525" s="216" customFormat="1" x14ac:dyDescent="0.3"/>
    <row r="1526" s="216" customFormat="1" x14ac:dyDescent="0.3"/>
    <row r="1527" s="216" customFormat="1" x14ac:dyDescent="0.3"/>
    <row r="1528" s="216" customFormat="1" x14ac:dyDescent="0.3"/>
    <row r="1529" s="216" customFormat="1" x14ac:dyDescent="0.3"/>
    <row r="1530" s="216" customFormat="1" x14ac:dyDescent="0.3"/>
    <row r="1531" s="216" customFormat="1" x14ac:dyDescent="0.3"/>
    <row r="1532" s="216" customFormat="1" x14ac:dyDescent="0.3"/>
    <row r="1533" s="216" customFormat="1" x14ac:dyDescent="0.3"/>
    <row r="1534" s="216" customFormat="1" x14ac:dyDescent="0.3"/>
    <row r="1535" s="216" customFormat="1" x14ac:dyDescent="0.3"/>
    <row r="1536" s="216" customFormat="1" x14ac:dyDescent="0.3"/>
    <row r="1537" s="216" customFormat="1" x14ac:dyDescent="0.3"/>
    <row r="1538" s="216" customFormat="1" x14ac:dyDescent="0.3"/>
    <row r="1539" s="216" customFormat="1" x14ac:dyDescent="0.3"/>
    <row r="1540" s="216" customFormat="1" x14ac:dyDescent="0.3"/>
    <row r="1541" s="216" customFormat="1" x14ac:dyDescent="0.3"/>
    <row r="1542" s="216" customFormat="1" x14ac:dyDescent="0.3"/>
    <row r="1543" s="216" customFormat="1" x14ac:dyDescent="0.3"/>
    <row r="1544" s="216" customFormat="1" x14ac:dyDescent="0.3"/>
    <row r="1545" s="216" customFormat="1" x14ac:dyDescent="0.3"/>
    <row r="1546" s="216" customFormat="1" x14ac:dyDescent="0.3"/>
    <row r="1547" s="216" customFormat="1" x14ac:dyDescent="0.3"/>
    <row r="1548" s="216" customFormat="1" x14ac:dyDescent="0.3"/>
    <row r="1549" s="216" customFormat="1" x14ac:dyDescent="0.3"/>
    <row r="1550" s="216" customFormat="1" x14ac:dyDescent="0.3"/>
    <row r="1551" s="216" customFormat="1" x14ac:dyDescent="0.3"/>
    <row r="1552" s="216" customFormat="1" x14ac:dyDescent="0.3"/>
    <row r="1553" s="216" customFormat="1" x14ac:dyDescent="0.3"/>
    <row r="1554" s="216" customFormat="1" x14ac:dyDescent="0.3"/>
    <row r="1555" s="216" customFormat="1" x14ac:dyDescent="0.3"/>
    <row r="1556" s="216" customFormat="1" x14ac:dyDescent="0.3"/>
    <row r="1557" s="216" customFormat="1" x14ac:dyDescent="0.3"/>
    <row r="1558" s="216" customFormat="1" x14ac:dyDescent="0.3"/>
    <row r="1559" s="216" customFormat="1" x14ac:dyDescent="0.3"/>
    <row r="1560" s="216" customFormat="1" x14ac:dyDescent="0.3"/>
    <row r="1561" s="216" customFormat="1" x14ac:dyDescent="0.3"/>
    <row r="1562" s="216" customFormat="1" x14ac:dyDescent="0.3"/>
    <row r="1563" s="216" customFormat="1" x14ac:dyDescent="0.3"/>
    <row r="1564" s="216" customFormat="1" x14ac:dyDescent="0.3"/>
    <row r="1565" s="216" customFormat="1" x14ac:dyDescent="0.3"/>
    <row r="1566" s="216" customFormat="1" x14ac:dyDescent="0.3"/>
    <row r="1567" s="216" customFormat="1" x14ac:dyDescent="0.3"/>
    <row r="1568" s="216" customFormat="1" x14ac:dyDescent="0.3"/>
    <row r="1569" s="216" customFormat="1" x14ac:dyDescent="0.3"/>
    <row r="1570" s="216" customFormat="1" x14ac:dyDescent="0.3"/>
    <row r="1571" s="216" customFormat="1" x14ac:dyDescent="0.3"/>
    <row r="1572" s="216" customFormat="1" x14ac:dyDescent="0.3"/>
    <row r="1573" s="216" customFormat="1" x14ac:dyDescent="0.3"/>
    <row r="1574" s="216" customFormat="1" x14ac:dyDescent="0.3"/>
    <row r="1575" s="216" customFormat="1" x14ac:dyDescent="0.3"/>
    <row r="1576" s="216" customFormat="1" x14ac:dyDescent="0.3"/>
    <row r="1577" s="216" customFormat="1" x14ac:dyDescent="0.3"/>
    <row r="1578" s="216" customFormat="1" x14ac:dyDescent="0.3"/>
    <row r="1579" s="216" customFormat="1" x14ac:dyDescent="0.3"/>
    <row r="1580" s="216" customFormat="1" x14ac:dyDescent="0.3"/>
    <row r="1581" s="216" customFormat="1" x14ac:dyDescent="0.3"/>
    <row r="1582" s="216" customFormat="1" x14ac:dyDescent="0.3"/>
    <row r="1583" s="216" customFormat="1" x14ac:dyDescent="0.3"/>
    <row r="1584" s="216" customFormat="1" x14ac:dyDescent="0.3"/>
    <row r="1585" s="216" customFormat="1" x14ac:dyDescent="0.3"/>
    <row r="1586" s="216" customFormat="1" x14ac:dyDescent="0.3"/>
    <row r="1587" s="216" customFormat="1" x14ac:dyDescent="0.3"/>
    <row r="1588" s="216" customFormat="1" x14ac:dyDescent="0.3"/>
    <row r="1589" s="216" customFormat="1" x14ac:dyDescent="0.3"/>
    <row r="1590" s="216" customFormat="1" x14ac:dyDescent="0.3"/>
    <row r="1591" s="216" customFormat="1" x14ac:dyDescent="0.3"/>
    <row r="1592" s="216" customFormat="1" x14ac:dyDescent="0.3"/>
    <row r="1593" s="216" customFormat="1" x14ac:dyDescent="0.3"/>
    <row r="1594" s="216" customFormat="1" x14ac:dyDescent="0.3"/>
    <row r="1595" s="216" customFormat="1" x14ac:dyDescent="0.3"/>
    <row r="1596" s="216" customFormat="1" x14ac:dyDescent="0.3"/>
    <row r="1597" s="216" customFormat="1" x14ac:dyDescent="0.3"/>
    <row r="1598" s="216" customFormat="1" x14ac:dyDescent="0.3"/>
    <row r="1599" s="216" customFormat="1" x14ac:dyDescent="0.3"/>
    <row r="1600" s="216" customFormat="1" x14ac:dyDescent="0.3"/>
    <row r="1601" s="216" customFormat="1" x14ac:dyDescent="0.3"/>
    <row r="1602" s="216" customFormat="1" x14ac:dyDescent="0.3"/>
    <row r="1603" s="216" customFormat="1" x14ac:dyDescent="0.3"/>
    <row r="1604" s="216" customFormat="1" x14ac:dyDescent="0.3"/>
    <row r="1605" s="216" customFormat="1" x14ac:dyDescent="0.3"/>
    <row r="1606" s="216" customFormat="1" x14ac:dyDescent="0.3"/>
    <row r="1607" s="216" customFormat="1" x14ac:dyDescent="0.3"/>
    <row r="1608" s="216" customFormat="1" x14ac:dyDescent="0.3"/>
    <row r="1609" s="216" customFormat="1" x14ac:dyDescent="0.3"/>
    <row r="1610" s="216" customFormat="1" x14ac:dyDescent="0.3"/>
    <row r="1611" s="216" customFormat="1" x14ac:dyDescent="0.3"/>
    <row r="1612" s="216" customFormat="1" x14ac:dyDescent="0.3"/>
    <row r="1613" s="216" customFormat="1" x14ac:dyDescent="0.3"/>
    <row r="1614" s="216" customFormat="1" x14ac:dyDescent="0.3"/>
    <row r="1615" s="216" customFormat="1" x14ac:dyDescent="0.3"/>
    <row r="1616" s="216" customFormat="1" x14ac:dyDescent="0.3"/>
    <row r="1617" s="216" customFormat="1" x14ac:dyDescent="0.3"/>
    <row r="1618" s="216" customFormat="1" x14ac:dyDescent="0.3"/>
    <row r="1619" s="216" customFormat="1" x14ac:dyDescent="0.3"/>
    <row r="1620" s="216" customFormat="1" x14ac:dyDescent="0.3"/>
    <row r="1621" s="216" customFormat="1" x14ac:dyDescent="0.3"/>
    <row r="1622" s="216" customFormat="1" x14ac:dyDescent="0.3"/>
    <row r="1623" s="216" customFormat="1" x14ac:dyDescent="0.3"/>
    <row r="1624" s="216" customFormat="1" x14ac:dyDescent="0.3"/>
    <row r="1625" s="216" customFormat="1" x14ac:dyDescent="0.3"/>
    <row r="1626" s="216" customFormat="1" x14ac:dyDescent="0.3"/>
    <row r="1627" s="216" customFormat="1" x14ac:dyDescent="0.3"/>
    <row r="1628" s="216" customFormat="1" x14ac:dyDescent="0.3"/>
    <row r="1629" s="216" customFormat="1" x14ac:dyDescent="0.3"/>
    <row r="1630" s="216" customFormat="1" x14ac:dyDescent="0.3"/>
    <row r="1631" s="216" customFormat="1" x14ac:dyDescent="0.3"/>
    <row r="1632" s="216" customFormat="1" x14ac:dyDescent="0.3"/>
    <row r="1633" s="216" customFormat="1" x14ac:dyDescent="0.3"/>
    <row r="1634" s="216" customFormat="1" x14ac:dyDescent="0.3"/>
    <row r="1635" s="216" customFormat="1" x14ac:dyDescent="0.3"/>
    <row r="1636" s="216" customFormat="1" x14ac:dyDescent="0.3"/>
    <row r="1637" s="216" customFormat="1" x14ac:dyDescent="0.3"/>
    <row r="1638" s="216" customFormat="1" x14ac:dyDescent="0.3"/>
    <row r="1639" s="216" customFormat="1" x14ac:dyDescent="0.3"/>
    <row r="1640" s="216" customFormat="1" x14ac:dyDescent="0.3"/>
    <row r="1641" s="216" customFormat="1" x14ac:dyDescent="0.3"/>
    <row r="1642" s="216" customFormat="1" x14ac:dyDescent="0.3"/>
    <row r="1643" s="216" customFormat="1" x14ac:dyDescent="0.3"/>
    <row r="1644" s="216" customFormat="1" x14ac:dyDescent="0.3"/>
    <row r="1645" s="216" customFormat="1" x14ac:dyDescent="0.3"/>
    <row r="1646" s="216" customFormat="1" x14ac:dyDescent="0.3"/>
    <row r="1647" s="216" customFormat="1" x14ac:dyDescent="0.3"/>
    <row r="1648" s="216" customFormat="1" x14ac:dyDescent="0.3"/>
    <row r="1649" s="216" customFormat="1" x14ac:dyDescent="0.3"/>
    <row r="1650" s="216" customFormat="1" x14ac:dyDescent="0.3"/>
    <row r="1651" s="216" customFormat="1" x14ac:dyDescent="0.3"/>
    <row r="1652" s="216" customFormat="1" x14ac:dyDescent="0.3"/>
    <row r="1653" s="216" customFormat="1" x14ac:dyDescent="0.3"/>
    <row r="1654" s="216" customFormat="1" x14ac:dyDescent="0.3"/>
    <row r="1655" s="216" customFormat="1" x14ac:dyDescent="0.3"/>
    <row r="1656" s="216" customFormat="1" x14ac:dyDescent="0.3"/>
    <row r="1657" s="216" customFormat="1" x14ac:dyDescent="0.3"/>
    <row r="1658" s="216" customFormat="1" x14ac:dyDescent="0.3"/>
    <row r="1659" s="216" customFormat="1" x14ac:dyDescent="0.3"/>
    <row r="1660" s="216" customFormat="1" x14ac:dyDescent="0.3"/>
    <row r="1661" s="216" customFormat="1" x14ac:dyDescent="0.3"/>
    <row r="1662" s="216" customFormat="1" x14ac:dyDescent="0.3"/>
    <row r="1663" s="216" customFormat="1" x14ac:dyDescent="0.3"/>
    <row r="1664" s="216" customFormat="1" x14ac:dyDescent="0.3"/>
    <row r="1665" s="216" customFormat="1" x14ac:dyDescent="0.3"/>
    <row r="1666" s="216" customFormat="1" x14ac:dyDescent="0.3"/>
    <row r="1667" s="216" customFormat="1" x14ac:dyDescent="0.3"/>
    <row r="1668" s="216" customFormat="1" x14ac:dyDescent="0.3"/>
    <row r="1669" s="216" customFormat="1" x14ac:dyDescent="0.3"/>
    <row r="1670" s="216" customFormat="1" x14ac:dyDescent="0.3"/>
    <row r="1671" s="216" customFormat="1" x14ac:dyDescent="0.3"/>
    <row r="1672" s="216" customFormat="1" x14ac:dyDescent="0.3"/>
    <row r="1673" s="216" customFormat="1" x14ac:dyDescent="0.3"/>
    <row r="1674" s="216" customFormat="1" x14ac:dyDescent="0.3"/>
    <row r="1675" s="216" customFormat="1" x14ac:dyDescent="0.3"/>
    <row r="1676" s="216" customFormat="1" x14ac:dyDescent="0.3"/>
    <row r="1677" s="216" customFormat="1" x14ac:dyDescent="0.3"/>
    <row r="1678" s="216" customFormat="1" x14ac:dyDescent="0.3"/>
    <row r="1679" s="216" customFormat="1" x14ac:dyDescent="0.3"/>
    <row r="1680" s="216" customFormat="1" x14ac:dyDescent="0.3"/>
    <row r="1681" s="216" customFormat="1" x14ac:dyDescent="0.3"/>
    <row r="1682" s="216" customFormat="1" x14ac:dyDescent="0.3"/>
    <row r="1683" s="216" customFormat="1" x14ac:dyDescent="0.3"/>
    <row r="1684" s="216" customFormat="1" x14ac:dyDescent="0.3"/>
    <row r="1685" s="216" customFormat="1" x14ac:dyDescent="0.3"/>
    <row r="1686" s="216" customFormat="1" x14ac:dyDescent="0.3"/>
    <row r="1687" s="216" customFormat="1" x14ac:dyDescent="0.3"/>
    <row r="1688" s="216" customFormat="1" x14ac:dyDescent="0.3"/>
    <row r="1689" s="216" customFormat="1" x14ac:dyDescent="0.3"/>
    <row r="1690" s="216" customFormat="1" x14ac:dyDescent="0.3"/>
    <row r="1691" s="216" customFormat="1" x14ac:dyDescent="0.3"/>
    <row r="1692" s="216" customFormat="1" x14ac:dyDescent="0.3"/>
    <row r="1693" s="216" customFormat="1" x14ac:dyDescent="0.3"/>
    <row r="1694" s="216" customFormat="1" x14ac:dyDescent="0.3"/>
    <row r="1695" s="216" customFormat="1" x14ac:dyDescent="0.3"/>
    <row r="1696" s="216" customFormat="1" x14ac:dyDescent="0.3"/>
    <row r="1697" s="216" customFormat="1" x14ac:dyDescent="0.3"/>
    <row r="1698" s="216" customFormat="1" x14ac:dyDescent="0.3"/>
    <row r="1699" s="216" customFormat="1" x14ac:dyDescent="0.3"/>
    <row r="1700" s="216" customFormat="1" x14ac:dyDescent="0.3"/>
    <row r="1701" s="216" customFormat="1" x14ac:dyDescent="0.3"/>
    <row r="1702" s="216" customFormat="1" x14ac:dyDescent="0.3"/>
    <row r="1703" s="216" customFormat="1" x14ac:dyDescent="0.3"/>
    <row r="1704" s="216" customFormat="1" x14ac:dyDescent="0.3"/>
    <row r="1705" s="216" customFormat="1" x14ac:dyDescent="0.3"/>
    <row r="1706" s="216" customFormat="1" x14ac:dyDescent="0.3"/>
    <row r="1707" s="216" customFormat="1" x14ac:dyDescent="0.3"/>
    <row r="1708" s="216" customFormat="1" x14ac:dyDescent="0.3"/>
    <row r="1709" s="216" customFormat="1" x14ac:dyDescent="0.3"/>
    <row r="1710" s="216" customFormat="1" x14ac:dyDescent="0.3"/>
    <row r="1711" s="216" customFormat="1" x14ac:dyDescent="0.3"/>
    <row r="1712" s="216" customFormat="1" x14ac:dyDescent="0.3"/>
    <row r="1713" s="216" customFormat="1" x14ac:dyDescent="0.3"/>
    <row r="1714" s="216" customFormat="1" x14ac:dyDescent="0.3"/>
    <row r="1715" s="216" customFormat="1" x14ac:dyDescent="0.3"/>
    <row r="1716" s="216" customFormat="1" x14ac:dyDescent="0.3"/>
    <row r="1717" s="216" customFormat="1" x14ac:dyDescent="0.3"/>
    <row r="1718" s="216" customFormat="1" x14ac:dyDescent="0.3"/>
    <row r="1719" s="216" customFormat="1" x14ac:dyDescent="0.3"/>
    <row r="1720" s="216" customFormat="1" x14ac:dyDescent="0.3"/>
    <row r="1721" s="216" customFormat="1" x14ac:dyDescent="0.3"/>
    <row r="1722" s="216" customFormat="1" x14ac:dyDescent="0.3"/>
    <row r="1723" s="216" customFormat="1" x14ac:dyDescent="0.3"/>
    <row r="1724" s="216" customFormat="1" x14ac:dyDescent="0.3"/>
    <row r="1725" s="216" customFormat="1" x14ac:dyDescent="0.3"/>
    <row r="1726" s="216" customFormat="1" x14ac:dyDescent="0.3"/>
    <row r="1727" s="216" customFormat="1" x14ac:dyDescent="0.3"/>
    <row r="1728" s="216" customFormat="1" x14ac:dyDescent="0.3"/>
    <row r="1729" s="216" customFormat="1" x14ac:dyDescent="0.3"/>
    <row r="1730" s="216" customFormat="1" x14ac:dyDescent="0.3"/>
    <row r="1731" s="216" customFormat="1" x14ac:dyDescent="0.3"/>
    <row r="1732" s="216" customFormat="1" x14ac:dyDescent="0.3"/>
    <row r="1733" s="216" customFormat="1" x14ac:dyDescent="0.3"/>
    <row r="1734" s="216" customFormat="1" x14ac:dyDescent="0.3"/>
    <row r="1735" s="216" customFormat="1" x14ac:dyDescent="0.3"/>
    <row r="1736" s="216" customFormat="1" x14ac:dyDescent="0.3"/>
    <row r="1737" s="216" customFormat="1" x14ac:dyDescent="0.3"/>
    <row r="1738" s="216" customFormat="1" x14ac:dyDescent="0.3"/>
    <row r="1739" s="216" customFormat="1" x14ac:dyDescent="0.3"/>
    <row r="1740" s="216" customFormat="1" x14ac:dyDescent="0.3"/>
    <row r="1741" s="216" customFormat="1" x14ac:dyDescent="0.3"/>
    <row r="1742" s="216" customFormat="1" x14ac:dyDescent="0.3"/>
    <row r="1743" s="216" customFormat="1" x14ac:dyDescent="0.3"/>
    <row r="1744" s="216" customFormat="1" x14ac:dyDescent="0.3"/>
    <row r="1745" s="216" customFormat="1" x14ac:dyDescent="0.3"/>
    <row r="1746" s="216" customFormat="1" x14ac:dyDescent="0.3"/>
    <row r="1747" s="216" customFormat="1" x14ac:dyDescent="0.3"/>
    <row r="1748" s="216" customFormat="1" x14ac:dyDescent="0.3"/>
    <row r="1749" s="216" customFormat="1" x14ac:dyDescent="0.3"/>
    <row r="1750" s="216" customFormat="1" x14ac:dyDescent="0.3"/>
    <row r="1751" s="216" customFormat="1" x14ac:dyDescent="0.3"/>
    <row r="1752" s="216" customFormat="1" x14ac:dyDescent="0.3"/>
    <row r="1753" s="216" customFormat="1" x14ac:dyDescent="0.3"/>
    <row r="1754" s="216" customFormat="1" x14ac:dyDescent="0.3"/>
    <row r="1755" s="216" customFormat="1" x14ac:dyDescent="0.3"/>
    <row r="1756" s="216" customFormat="1" x14ac:dyDescent="0.3"/>
    <row r="1757" s="216" customFormat="1" x14ac:dyDescent="0.3"/>
    <row r="1758" s="216" customFormat="1" x14ac:dyDescent="0.3"/>
    <row r="1759" s="216" customFormat="1" x14ac:dyDescent="0.3"/>
    <row r="1760" s="216" customFormat="1" x14ac:dyDescent="0.3"/>
    <row r="1761" s="216" customFormat="1" x14ac:dyDescent="0.3"/>
    <row r="1762" s="216" customFormat="1" x14ac:dyDescent="0.3"/>
    <row r="1763" s="216" customFormat="1" x14ac:dyDescent="0.3"/>
    <row r="1764" s="216" customFormat="1" x14ac:dyDescent="0.3"/>
    <row r="1765" s="216" customFormat="1" x14ac:dyDescent="0.3"/>
    <row r="1766" s="216" customFormat="1" x14ac:dyDescent="0.3"/>
    <row r="1767" s="216" customFormat="1" x14ac:dyDescent="0.3"/>
    <row r="1768" s="216" customFormat="1" x14ac:dyDescent="0.3"/>
    <row r="1769" s="216" customFormat="1" x14ac:dyDescent="0.3"/>
    <row r="1770" s="216" customFormat="1" x14ac:dyDescent="0.3"/>
    <row r="1771" s="216" customFormat="1" x14ac:dyDescent="0.3"/>
    <row r="1772" s="216" customFormat="1" x14ac:dyDescent="0.3"/>
    <row r="1773" s="216" customFormat="1" x14ac:dyDescent="0.3"/>
    <row r="1774" s="216" customFormat="1" x14ac:dyDescent="0.3"/>
    <row r="1775" s="216" customFormat="1" x14ac:dyDescent="0.3"/>
    <row r="1776" s="216" customFormat="1" x14ac:dyDescent="0.3"/>
    <row r="1777" s="216" customFormat="1" x14ac:dyDescent="0.3"/>
    <row r="1778" s="216" customFormat="1" x14ac:dyDescent="0.3"/>
    <row r="1779" s="216" customFormat="1" x14ac:dyDescent="0.3"/>
    <row r="1780" s="216" customFormat="1" x14ac:dyDescent="0.3"/>
    <row r="1781" s="216" customFormat="1" x14ac:dyDescent="0.3"/>
    <row r="1782" s="216" customFormat="1" x14ac:dyDescent="0.3"/>
    <row r="1783" s="216" customFormat="1" x14ac:dyDescent="0.3"/>
    <row r="1784" s="216" customFormat="1" x14ac:dyDescent="0.3"/>
    <row r="1785" s="216" customFormat="1" x14ac:dyDescent="0.3"/>
    <row r="1786" s="216" customFormat="1" x14ac:dyDescent="0.3"/>
    <row r="1787" s="216" customFormat="1" x14ac:dyDescent="0.3"/>
    <row r="1788" s="216" customFormat="1" x14ac:dyDescent="0.3"/>
    <row r="1789" s="216" customFormat="1" x14ac:dyDescent="0.3"/>
    <row r="1790" s="216" customFormat="1" x14ac:dyDescent="0.3"/>
    <row r="1791" s="216" customFormat="1" x14ac:dyDescent="0.3"/>
    <row r="1792" s="216" customFormat="1" x14ac:dyDescent="0.3"/>
    <row r="1793" s="216" customFormat="1" x14ac:dyDescent="0.3"/>
    <row r="1794" s="216" customFormat="1" x14ac:dyDescent="0.3"/>
    <row r="1795" s="216" customFormat="1" x14ac:dyDescent="0.3"/>
    <row r="1796" s="216" customFormat="1" x14ac:dyDescent="0.3"/>
    <row r="1797" s="216" customFormat="1" x14ac:dyDescent="0.3"/>
    <row r="1798" s="216" customFormat="1" x14ac:dyDescent="0.3"/>
    <row r="1799" s="216" customFormat="1" x14ac:dyDescent="0.3"/>
    <row r="1800" s="216" customFormat="1" x14ac:dyDescent="0.3"/>
    <row r="1801" s="216" customFormat="1" x14ac:dyDescent="0.3"/>
    <row r="1802" s="216" customFormat="1" x14ac:dyDescent="0.3"/>
    <row r="1803" s="216" customFormat="1" x14ac:dyDescent="0.3"/>
    <row r="1804" s="216" customFormat="1" x14ac:dyDescent="0.3"/>
    <row r="1805" s="216" customFormat="1" x14ac:dyDescent="0.3"/>
    <row r="1806" s="216" customFormat="1" x14ac:dyDescent="0.3"/>
    <row r="1807" s="216" customFormat="1" x14ac:dyDescent="0.3"/>
    <row r="1808" s="216" customFormat="1" x14ac:dyDescent="0.3"/>
    <row r="1809" s="216" customFormat="1" x14ac:dyDescent="0.3"/>
    <row r="1810" s="216" customFormat="1" x14ac:dyDescent="0.3"/>
    <row r="1811" s="216" customFormat="1" x14ac:dyDescent="0.3"/>
    <row r="1812" s="216" customFormat="1" x14ac:dyDescent="0.3"/>
    <row r="1813" s="216" customFormat="1" x14ac:dyDescent="0.3"/>
    <row r="1814" s="216" customFormat="1" x14ac:dyDescent="0.3"/>
    <row r="1815" s="216" customFormat="1" x14ac:dyDescent="0.3"/>
    <row r="1816" s="216" customFormat="1" x14ac:dyDescent="0.3"/>
    <row r="1817" s="216" customFormat="1" x14ac:dyDescent="0.3"/>
    <row r="1818" s="216" customFormat="1" x14ac:dyDescent="0.3"/>
    <row r="1819" s="216" customFormat="1" x14ac:dyDescent="0.3"/>
    <row r="1820" s="216" customFormat="1" x14ac:dyDescent="0.3"/>
    <row r="1821" s="216" customFormat="1" x14ac:dyDescent="0.3"/>
    <row r="1822" s="216" customFormat="1" x14ac:dyDescent="0.3"/>
    <row r="1823" s="216" customFormat="1" x14ac:dyDescent="0.3"/>
    <row r="1824" s="216" customFormat="1" x14ac:dyDescent="0.3"/>
    <row r="1825" s="216" customFormat="1" x14ac:dyDescent="0.3"/>
    <row r="1826" s="216" customFormat="1" x14ac:dyDescent="0.3"/>
    <row r="1827" s="216" customFormat="1" x14ac:dyDescent="0.3"/>
    <row r="1828" s="216" customFormat="1" x14ac:dyDescent="0.3"/>
    <row r="1829" s="216" customFormat="1" x14ac:dyDescent="0.3"/>
    <row r="1830" s="216" customFormat="1" x14ac:dyDescent="0.3"/>
    <row r="1831" s="216" customFormat="1" x14ac:dyDescent="0.3"/>
    <row r="1832" s="216" customFormat="1" x14ac:dyDescent="0.3"/>
    <row r="1833" s="216" customFormat="1" x14ac:dyDescent="0.3"/>
    <row r="1834" s="216" customFormat="1" x14ac:dyDescent="0.3"/>
    <row r="1835" s="216" customFormat="1" x14ac:dyDescent="0.3"/>
    <row r="1836" s="216" customFormat="1" x14ac:dyDescent="0.3"/>
    <row r="1837" s="216" customFormat="1" x14ac:dyDescent="0.3"/>
    <row r="1838" s="216" customFormat="1" x14ac:dyDescent="0.3"/>
    <row r="1839" s="216" customFormat="1" x14ac:dyDescent="0.3"/>
    <row r="1840" s="216" customFormat="1" x14ac:dyDescent="0.3"/>
    <row r="1841" s="216" customFormat="1" x14ac:dyDescent="0.3"/>
    <row r="1842" s="216" customFormat="1" x14ac:dyDescent="0.3"/>
    <row r="1843" s="216" customFormat="1" x14ac:dyDescent="0.3"/>
    <row r="1844" s="216" customFormat="1" x14ac:dyDescent="0.3"/>
    <row r="1845" s="216" customFormat="1" x14ac:dyDescent="0.3"/>
    <row r="1846" s="216" customFormat="1" x14ac:dyDescent="0.3"/>
    <row r="1847" s="216" customFormat="1" x14ac:dyDescent="0.3"/>
    <row r="1848" s="216" customFormat="1" x14ac:dyDescent="0.3"/>
    <row r="1849" s="216" customFormat="1" x14ac:dyDescent="0.3"/>
    <row r="1850" s="216" customFormat="1" x14ac:dyDescent="0.3"/>
    <row r="1851" s="216" customFormat="1" x14ac:dyDescent="0.3"/>
    <row r="1852" s="216" customFormat="1" x14ac:dyDescent="0.3"/>
    <row r="1853" s="216" customFormat="1" x14ac:dyDescent="0.3"/>
    <row r="1854" s="216" customFormat="1" x14ac:dyDescent="0.3"/>
    <row r="1855" s="216" customFormat="1" x14ac:dyDescent="0.3"/>
    <row r="1856" s="216" customFormat="1" x14ac:dyDescent="0.3"/>
    <row r="1857" s="216" customFormat="1" x14ac:dyDescent="0.3"/>
    <row r="1858" s="216" customFormat="1" x14ac:dyDescent="0.3"/>
    <row r="1859" s="216" customFormat="1" x14ac:dyDescent="0.3"/>
    <row r="1860" s="216" customFormat="1" x14ac:dyDescent="0.3"/>
    <row r="1861" s="216" customFormat="1" x14ac:dyDescent="0.3"/>
    <row r="1862" s="216" customFormat="1" x14ac:dyDescent="0.3"/>
    <row r="1863" s="216" customFormat="1" x14ac:dyDescent="0.3"/>
    <row r="1864" s="216" customFormat="1" x14ac:dyDescent="0.3"/>
    <row r="1865" s="216" customFormat="1" x14ac:dyDescent="0.3"/>
    <row r="1866" s="216" customFormat="1" x14ac:dyDescent="0.3"/>
    <row r="1867" s="216" customFormat="1" x14ac:dyDescent="0.3"/>
    <row r="1868" s="216" customFormat="1" x14ac:dyDescent="0.3"/>
    <row r="1869" s="216" customFormat="1" x14ac:dyDescent="0.3"/>
    <row r="1870" s="216" customFormat="1" x14ac:dyDescent="0.3"/>
    <row r="1871" s="216" customFormat="1" x14ac:dyDescent="0.3"/>
    <row r="1872" s="216" customFormat="1" x14ac:dyDescent="0.3"/>
    <row r="1873" s="216" customFormat="1" x14ac:dyDescent="0.3"/>
    <row r="1874" s="216" customFormat="1" x14ac:dyDescent="0.3"/>
    <row r="1875" s="216" customFormat="1" x14ac:dyDescent="0.3"/>
    <row r="1876" s="216" customFormat="1" x14ac:dyDescent="0.3"/>
    <row r="1877" s="216" customFormat="1" x14ac:dyDescent="0.3"/>
    <row r="1878" s="216" customFormat="1" x14ac:dyDescent="0.3"/>
    <row r="1879" s="216" customFormat="1" x14ac:dyDescent="0.3"/>
    <row r="1880" s="216" customFormat="1" x14ac:dyDescent="0.3"/>
    <row r="1881" s="216" customFormat="1" x14ac:dyDescent="0.3"/>
    <row r="1882" s="216" customFormat="1" x14ac:dyDescent="0.3"/>
    <row r="1883" s="216" customFormat="1" x14ac:dyDescent="0.3"/>
    <row r="1884" s="216" customFormat="1" x14ac:dyDescent="0.3"/>
    <row r="1885" s="216" customFormat="1" x14ac:dyDescent="0.3"/>
    <row r="1886" s="216" customFormat="1" x14ac:dyDescent="0.3"/>
    <row r="1887" s="216" customFormat="1" x14ac:dyDescent="0.3"/>
    <row r="1888" s="216" customFormat="1" x14ac:dyDescent="0.3"/>
    <row r="1889" s="216" customFormat="1" x14ac:dyDescent="0.3"/>
    <row r="1890" s="216" customFormat="1" x14ac:dyDescent="0.3"/>
    <row r="1891" s="216" customFormat="1" x14ac:dyDescent="0.3"/>
    <row r="1892" s="216" customFormat="1" x14ac:dyDescent="0.3"/>
    <row r="1893" s="216" customFormat="1" x14ac:dyDescent="0.3"/>
    <row r="1894" s="216" customFormat="1" x14ac:dyDescent="0.3"/>
    <row r="1895" s="216" customFormat="1" x14ac:dyDescent="0.3"/>
    <row r="1896" s="216" customFormat="1" x14ac:dyDescent="0.3"/>
    <row r="1897" s="216" customFormat="1" x14ac:dyDescent="0.3"/>
    <row r="1898" s="216" customFormat="1" x14ac:dyDescent="0.3"/>
    <row r="1899" s="216" customFormat="1" x14ac:dyDescent="0.3"/>
    <row r="1900" s="216" customFormat="1" x14ac:dyDescent="0.3"/>
    <row r="1901" s="216" customFormat="1" x14ac:dyDescent="0.3"/>
    <row r="1902" s="216" customFormat="1" x14ac:dyDescent="0.3"/>
    <row r="1903" s="216" customFormat="1" x14ac:dyDescent="0.3"/>
    <row r="1904" s="216" customFormat="1" x14ac:dyDescent="0.3"/>
    <row r="1905" s="216" customFormat="1" x14ac:dyDescent="0.3"/>
    <row r="1906" s="216" customFormat="1" x14ac:dyDescent="0.3"/>
    <row r="1907" s="216" customFormat="1" x14ac:dyDescent="0.3"/>
    <row r="1908" s="216" customFormat="1" x14ac:dyDescent="0.3"/>
    <row r="1909" s="216" customFormat="1" x14ac:dyDescent="0.3"/>
    <row r="1910" s="216" customFormat="1" x14ac:dyDescent="0.3"/>
    <row r="1911" s="216" customFormat="1" x14ac:dyDescent="0.3"/>
    <row r="1912" s="216" customFormat="1" x14ac:dyDescent="0.3"/>
    <row r="1913" s="216" customFormat="1" x14ac:dyDescent="0.3"/>
    <row r="1914" s="216" customFormat="1" x14ac:dyDescent="0.3"/>
    <row r="1915" s="216" customFormat="1" x14ac:dyDescent="0.3"/>
    <row r="1916" s="216" customFormat="1" x14ac:dyDescent="0.3"/>
    <row r="1917" s="216" customFormat="1" x14ac:dyDescent="0.3"/>
    <row r="1918" s="216" customFormat="1" x14ac:dyDescent="0.3"/>
    <row r="1919" s="216" customFormat="1" x14ac:dyDescent="0.3"/>
    <row r="1920" s="216" customFormat="1" x14ac:dyDescent="0.3"/>
    <row r="1921" s="216" customFormat="1" x14ac:dyDescent="0.3"/>
    <row r="1922" s="216" customFormat="1" x14ac:dyDescent="0.3"/>
    <row r="1923" s="216" customFormat="1" x14ac:dyDescent="0.3"/>
    <row r="1924" s="216" customFormat="1" x14ac:dyDescent="0.3"/>
    <row r="1925" s="216" customFormat="1" x14ac:dyDescent="0.3"/>
    <row r="1926" s="216" customFormat="1" x14ac:dyDescent="0.3"/>
    <row r="1927" s="216" customFormat="1" x14ac:dyDescent="0.3"/>
    <row r="1928" s="216" customFormat="1" x14ac:dyDescent="0.3"/>
    <row r="1929" s="216" customFormat="1" x14ac:dyDescent="0.3"/>
    <row r="1930" s="216" customFormat="1" x14ac:dyDescent="0.3"/>
    <row r="1931" s="216" customFormat="1" x14ac:dyDescent="0.3"/>
    <row r="1932" s="216" customFormat="1" x14ac:dyDescent="0.3"/>
    <row r="1933" s="216" customFormat="1" x14ac:dyDescent="0.3"/>
    <row r="1934" s="216" customFormat="1" x14ac:dyDescent="0.3"/>
    <row r="1935" s="216" customFormat="1" x14ac:dyDescent="0.3"/>
    <row r="1936" s="216" customFormat="1" x14ac:dyDescent="0.3"/>
    <row r="1937" s="216" customFormat="1" x14ac:dyDescent="0.3"/>
    <row r="1938" s="216" customFormat="1" x14ac:dyDescent="0.3"/>
    <row r="1939" s="216" customFormat="1" x14ac:dyDescent="0.3"/>
    <row r="1940" s="216" customFormat="1" x14ac:dyDescent="0.3"/>
    <row r="1941" s="216" customFormat="1" x14ac:dyDescent="0.3"/>
    <row r="1942" s="216" customFormat="1" x14ac:dyDescent="0.3"/>
    <row r="1943" s="216" customFormat="1" x14ac:dyDescent="0.3"/>
    <row r="1944" s="216" customFormat="1" x14ac:dyDescent="0.3"/>
    <row r="1945" s="216" customFormat="1" x14ac:dyDescent="0.3"/>
    <row r="1946" s="216" customFormat="1" x14ac:dyDescent="0.3"/>
    <row r="1947" s="216" customFormat="1" x14ac:dyDescent="0.3"/>
    <row r="1948" s="216" customFormat="1" x14ac:dyDescent="0.3"/>
    <row r="1949" s="216" customFormat="1" x14ac:dyDescent="0.3"/>
    <row r="1950" s="216" customFormat="1" x14ac:dyDescent="0.3"/>
    <row r="1951" s="216" customFormat="1" x14ac:dyDescent="0.3"/>
    <row r="1952" s="216" customFormat="1" x14ac:dyDescent="0.3"/>
    <row r="1953" s="216" customFormat="1" x14ac:dyDescent="0.3"/>
    <row r="1954" s="216" customFormat="1" x14ac:dyDescent="0.3"/>
    <row r="1955" s="216" customFormat="1" x14ac:dyDescent="0.3"/>
    <row r="1956" s="216" customFormat="1" x14ac:dyDescent="0.3"/>
    <row r="1957" s="216" customFormat="1" x14ac:dyDescent="0.3"/>
    <row r="1958" s="216" customFormat="1" x14ac:dyDescent="0.3"/>
    <row r="1959" s="216" customFormat="1" x14ac:dyDescent="0.3"/>
    <row r="1960" s="216" customFormat="1" x14ac:dyDescent="0.3"/>
    <row r="1961" s="216" customFormat="1" x14ac:dyDescent="0.3"/>
    <row r="1962" s="216" customFormat="1" x14ac:dyDescent="0.3"/>
    <row r="1963" s="216" customFormat="1" x14ac:dyDescent="0.3"/>
    <row r="1964" s="216" customFormat="1" x14ac:dyDescent="0.3"/>
    <row r="1965" s="216" customFormat="1" x14ac:dyDescent="0.3"/>
    <row r="1966" s="216" customFormat="1" x14ac:dyDescent="0.3"/>
    <row r="1967" s="216" customFormat="1" x14ac:dyDescent="0.3"/>
    <row r="1968" s="216" customFormat="1" x14ac:dyDescent="0.3"/>
    <row r="1969" s="216" customFormat="1" x14ac:dyDescent="0.3"/>
    <row r="1970" s="216" customFormat="1" x14ac:dyDescent="0.3"/>
    <row r="1971" s="216" customFormat="1" x14ac:dyDescent="0.3"/>
    <row r="1972" s="216" customFormat="1" x14ac:dyDescent="0.3"/>
    <row r="1973" s="216" customFormat="1" x14ac:dyDescent="0.3"/>
    <row r="1974" s="216" customFormat="1" x14ac:dyDescent="0.3"/>
    <row r="1975" s="216" customFormat="1" x14ac:dyDescent="0.3"/>
    <row r="1976" s="216" customFormat="1" x14ac:dyDescent="0.3"/>
    <row r="1977" s="216" customFormat="1" x14ac:dyDescent="0.3"/>
    <row r="1978" s="216" customFormat="1" x14ac:dyDescent="0.3"/>
    <row r="1979" s="216" customFormat="1" x14ac:dyDescent="0.3"/>
    <row r="1980" s="216" customFormat="1" x14ac:dyDescent="0.3"/>
    <row r="1981" s="216" customFormat="1" x14ac:dyDescent="0.3"/>
    <row r="1982" s="216" customFormat="1" x14ac:dyDescent="0.3"/>
    <row r="1983" s="216" customFormat="1" x14ac:dyDescent="0.3"/>
    <row r="1984" s="216" customFormat="1" x14ac:dyDescent="0.3"/>
    <row r="1985" s="216" customFormat="1" x14ac:dyDescent="0.3"/>
    <row r="1986" s="216" customFormat="1" x14ac:dyDescent="0.3"/>
    <row r="1987" s="216" customFormat="1" x14ac:dyDescent="0.3"/>
    <row r="1988" s="216" customFormat="1" x14ac:dyDescent="0.3"/>
    <row r="1989" s="216" customFormat="1" x14ac:dyDescent="0.3"/>
    <row r="1990" s="216" customFormat="1" x14ac:dyDescent="0.3"/>
    <row r="1991" s="216" customFormat="1" x14ac:dyDescent="0.3"/>
    <row r="1992" s="216" customFormat="1" x14ac:dyDescent="0.3"/>
    <row r="1993" s="216" customFormat="1" x14ac:dyDescent="0.3"/>
    <row r="1994" s="216" customFormat="1" x14ac:dyDescent="0.3"/>
    <row r="1995" s="216" customFormat="1" x14ac:dyDescent="0.3"/>
    <row r="1996" s="216" customFormat="1" x14ac:dyDescent="0.3"/>
    <row r="1997" s="216" customFormat="1" x14ac:dyDescent="0.3"/>
    <row r="1998" s="216" customFormat="1" x14ac:dyDescent="0.3"/>
    <row r="1999" s="216" customFormat="1" x14ac:dyDescent="0.3"/>
    <row r="2000" s="216" customFormat="1" x14ac:dyDescent="0.3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98</vt:i4>
      </vt:variant>
    </vt:vector>
  </HeadingPairs>
  <TitlesOfParts>
    <vt:vector size="101" baseType="lpstr">
      <vt:lpstr>Calculations</vt:lpstr>
      <vt:lpstr>Dashboard</vt:lpstr>
      <vt:lpstr>Flowchart</vt:lpstr>
      <vt:lpstr>ArrowColor</vt:lpstr>
      <vt:lpstr>BaseChartArea</vt:lpstr>
      <vt:lpstr>ColorsRange</vt:lpstr>
      <vt:lpstr>Calculations!ConnectionsFallbackRange</vt:lpstr>
      <vt:lpstr>ConnectionsFallbackRange</vt:lpstr>
      <vt:lpstr>Calculations!ConnectionsMax</vt:lpstr>
      <vt:lpstr>ConnectionsMax</vt:lpstr>
      <vt:lpstr>Calculations!ConnectionsNextNodeRange</vt:lpstr>
      <vt:lpstr>ConnectionsNextNodeRange</vt:lpstr>
      <vt:lpstr>Calculations!ConnectionsNodeSectionRange</vt:lpstr>
      <vt:lpstr>ConnectionsNodeSectionRange</vt:lpstr>
      <vt:lpstr>Calculations!ConnectionsThisNodeRange</vt:lpstr>
      <vt:lpstr>ConnectionsThisNodeRange</vt:lpstr>
      <vt:lpstr>Calculations!ConvertedNodesRange</vt:lpstr>
      <vt:lpstr>ConvertedNodesRange</vt:lpstr>
      <vt:lpstr>Calculations!DependentsDirectionRange</vt:lpstr>
      <vt:lpstr>DependentsDirectionRange</vt:lpstr>
      <vt:lpstr>Calculations!DependentsIndexRange</vt:lpstr>
      <vt:lpstr>DependentsIndexRange</vt:lpstr>
      <vt:lpstr>Calculations!DependentsNodeRange</vt:lpstr>
      <vt:lpstr>DependentsNodeRange</vt:lpstr>
      <vt:lpstr>Calculations!DirectionSelector</vt:lpstr>
      <vt:lpstr>DirectionSelector</vt:lpstr>
      <vt:lpstr>Calculations!DirectPrecedentRange</vt:lpstr>
      <vt:lpstr>DirectPrecedentRange</vt:lpstr>
      <vt:lpstr>Calculations!ErrorCount</vt:lpstr>
      <vt:lpstr>ErrorCount</vt:lpstr>
      <vt:lpstr>FinalChartArea</vt:lpstr>
      <vt:lpstr>Calculations!GapXDiff</vt:lpstr>
      <vt:lpstr>GapXDiff</vt:lpstr>
      <vt:lpstr>Calculations!GapYDiff</vt:lpstr>
      <vt:lpstr>GapYDiff</vt:lpstr>
      <vt:lpstr>Calculations!GridCombinedRange</vt:lpstr>
      <vt:lpstr>GridCombinedRange</vt:lpstr>
      <vt:lpstr>Calculations!GridXRange</vt:lpstr>
      <vt:lpstr>GridXRange</vt:lpstr>
      <vt:lpstr>Calculations!GridYRange</vt:lpstr>
      <vt:lpstr>GridYRange</vt:lpstr>
      <vt:lpstr>Calculations!IDSourceRange</vt:lpstr>
      <vt:lpstr>IDSourceRange</vt:lpstr>
      <vt:lpstr>Calculations!LabelsRange</vt:lpstr>
      <vt:lpstr>LabelsRange</vt:lpstr>
      <vt:lpstr>Calculations!MaxColumn</vt:lpstr>
      <vt:lpstr>MaxColumn</vt:lpstr>
      <vt:lpstr>Calculations!MaxRow</vt:lpstr>
      <vt:lpstr>MaxRow</vt:lpstr>
      <vt:lpstr>Calculations!NextIDFormula</vt:lpstr>
      <vt:lpstr>NextIDFormula</vt:lpstr>
      <vt:lpstr>Calculations!NextIDSourceRange</vt:lpstr>
      <vt:lpstr>NextIDSourceRange</vt:lpstr>
      <vt:lpstr>Calculations!Node1UseRange</vt:lpstr>
      <vt:lpstr>Node1UseRange</vt:lpstr>
      <vt:lpstr>Calculations!Node2UseRange</vt:lpstr>
      <vt:lpstr>Node2UseRange</vt:lpstr>
      <vt:lpstr>Calculations!Node3UseRange</vt:lpstr>
      <vt:lpstr>Node3UseRange</vt:lpstr>
      <vt:lpstr>Calculations!Node4UseRange</vt:lpstr>
      <vt:lpstr>Node4UseRange</vt:lpstr>
      <vt:lpstr>Calculations!ProcessIndex</vt:lpstr>
      <vt:lpstr>ProcessIndex</vt:lpstr>
      <vt:lpstr>Calculations!ProcessOrderFallback</vt:lpstr>
      <vt:lpstr>ProcessOrderFallback</vt:lpstr>
      <vt:lpstr>Calculations!ProcessOrderRange</vt:lpstr>
      <vt:lpstr>ProcessOrderRange</vt:lpstr>
      <vt:lpstr>Calculations!ShapeColorRange</vt:lpstr>
      <vt:lpstr>ShapeColorRange</vt:lpstr>
      <vt:lpstr>ShapeFontColor</vt:lpstr>
      <vt:lpstr>ShapeFontSize</vt:lpstr>
      <vt:lpstr>ShapeHeight</vt:lpstr>
      <vt:lpstr>Calculations!ShapeHeightRange</vt:lpstr>
      <vt:lpstr>ShapeHeightRange</vt:lpstr>
      <vt:lpstr>Calculations!ShapeTextRange</vt:lpstr>
      <vt:lpstr>ShapeTextRange</vt:lpstr>
      <vt:lpstr>Calculations!ShapeTypeRange</vt:lpstr>
      <vt:lpstr>ShapeTypeRange</vt:lpstr>
      <vt:lpstr>ShapeWidth</vt:lpstr>
      <vt:lpstr>Calculations!ShapeWidthRange</vt:lpstr>
      <vt:lpstr>ShapeWidthRange</vt:lpstr>
      <vt:lpstr>Calculations!ShapeXRange</vt:lpstr>
      <vt:lpstr>ShapeXRange</vt:lpstr>
      <vt:lpstr>Calculations!ShapeYRange</vt:lpstr>
      <vt:lpstr>ShapeYRange</vt:lpstr>
      <vt:lpstr>Calculations!StartGridX</vt:lpstr>
      <vt:lpstr>StartGridX</vt:lpstr>
      <vt:lpstr>Calculations!StartGridY</vt:lpstr>
      <vt:lpstr>StartGridY</vt:lpstr>
      <vt:lpstr>Calculations!StartShapeIndex</vt:lpstr>
      <vt:lpstr>StartShapeIndex</vt:lpstr>
      <vt:lpstr>Calculations!StartX</vt:lpstr>
      <vt:lpstr>StartX</vt:lpstr>
      <vt:lpstr>Calculations!StartY</vt:lpstr>
      <vt:lpstr>StartY</vt:lpstr>
      <vt:lpstr>Calculations!TotalDependentsRange</vt:lpstr>
      <vt:lpstr>TotalDependentsRange</vt:lpstr>
      <vt:lpstr>Calculations!TotalPrecedentsRange</vt:lpstr>
      <vt:lpstr>TotalPrecedentsRange</vt:lpstr>
      <vt:lpstr>Calculations!ValidRange</vt:lpstr>
      <vt:lpstr>ValidRange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</dc:creator>
  <cp:lastModifiedBy>Lenovo</cp:lastModifiedBy>
  <dcterms:created xsi:type="dcterms:W3CDTF">2022-01-12T14:13:47Z</dcterms:created>
  <dcterms:modified xsi:type="dcterms:W3CDTF">2022-02-09T01:18:21Z</dcterms:modified>
</cp:coreProperties>
</file>